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3170" activeTab="2"/>
  </bookViews>
  <sheets>
    <sheet name="Sales" sheetId="1" r:id="rId1"/>
    <sheet name="Feb-25" sheetId="2" r:id="rId2"/>
    <sheet name="Ads_Cost" sheetId="3" r:id="rId3"/>
    <sheet name="Customer_Insights" sheetId="4" r:id="rId4"/>
    <sheet name="Returns" sheetId="5" r:id="rId5"/>
    <sheet name="Inventory" sheetId="6" r:id="rId6"/>
    <sheet name="Disbursements" sheetId="7" r:id="rId7"/>
    <sheet name="Added_Stock" sheetId="8" r:id="rId8"/>
    <sheet name="Target_List" sheetId="9" r:id="rId9"/>
    <sheet name="Review Purchase" sheetId="12" r:id="rId10"/>
    <sheet name="Data_Validation" sheetId="10" r:id="rId11"/>
  </sheets>
  <definedNames>
    <definedName name="Zone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" roundtripDataChecksum="yGskCugSwfhasIFMOyHBQI8NrZ9Ox+3Nowb3B7xIB6o="/>
    </ext>
  </extLst>
</workbook>
</file>

<file path=xl/calcChain.xml><?xml version="1.0" encoding="utf-8"?>
<calcChain xmlns="http://schemas.openxmlformats.org/spreadsheetml/2006/main">
  <c r="E64" i="2" l="1"/>
  <c r="F94" i="2"/>
  <c r="D94" i="2"/>
  <c r="C94" i="2"/>
  <c r="B94" i="2"/>
  <c r="E94" i="2"/>
  <c r="H94" i="2"/>
  <c r="I94" i="2"/>
  <c r="C687" i="1"/>
  <c r="C686" i="1"/>
  <c r="C685" i="1"/>
  <c r="C684" i="1"/>
  <c r="C683" i="1"/>
  <c r="C682" i="1" l="1"/>
  <c r="C681" i="1"/>
  <c r="I93" i="2"/>
  <c r="H93" i="2"/>
  <c r="E93" i="2"/>
  <c r="C93" i="2"/>
  <c r="B93" i="2"/>
  <c r="C680" i="1"/>
  <c r="C679" i="1"/>
  <c r="C678" i="1"/>
  <c r="C677" i="1"/>
  <c r="C676" i="1"/>
  <c r="C675" i="1"/>
  <c r="C674" i="1"/>
  <c r="C673" i="1"/>
  <c r="C672" i="1"/>
  <c r="C671" i="1"/>
  <c r="B92" i="2"/>
  <c r="C92" i="2"/>
  <c r="E92" i="2"/>
  <c r="H92" i="2"/>
  <c r="I92" i="2"/>
  <c r="B91" i="2"/>
  <c r="C91" i="2"/>
  <c r="E91" i="2"/>
  <c r="H91" i="2"/>
  <c r="I91" i="2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 l="1"/>
  <c r="C656" i="1"/>
  <c r="C655" i="1"/>
  <c r="C654" i="1"/>
  <c r="C653" i="1"/>
  <c r="B90" i="2"/>
  <c r="C90" i="2"/>
  <c r="E90" i="2"/>
  <c r="H90" i="2"/>
  <c r="I90" i="2"/>
  <c r="C652" i="1"/>
  <c r="C651" i="1"/>
  <c r="C650" i="1"/>
  <c r="C649" i="1"/>
  <c r="C648" i="1"/>
  <c r="C647" i="1"/>
  <c r="C646" i="1"/>
  <c r="C645" i="1"/>
  <c r="B89" i="2"/>
  <c r="C89" i="2"/>
  <c r="E89" i="2"/>
  <c r="H89" i="2"/>
  <c r="I89" i="2"/>
  <c r="C644" i="1"/>
  <c r="C643" i="1"/>
  <c r="C642" i="1"/>
  <c r="C641" i="1"/>
  <c r="C640" i="1"/>
  <c r="C639" i="1"/>
  <c r="C638" i="1"/>
  <c r="C637" i="1"/>
  <c r="B88" i="2"/>
  <c r="C88" i="2"/>
  <c r="E88" i="2"/>
  <c r="H88" i="2"/>
  <c r="I88" i="2"/>
  <c r="C636" i="1"/>
  <c r="C635" i="1"/>
  <c r="C634" i="1"/>
  <c r="C633" i="1"/>
  <c r="C632" i="1"/>
  <c r="C631" i="1"/>
  <c r="C630" i="1" l="1"/>
  <c r="B87" i="2"/>
  <c r="C87" i="2"/>
  <c r="E87" i="2"/>
  <c r="H87" i="2"/>
  <c r="I87" i="2"/>
  <c r="C629" i="1"/>
  <c r="C628" i="1"/>
  <c r="C627" i="1"/>
  <c r="C626" i="1"/>
  <c r="C625" i="1"/>
  <c r="C624" i="1"/>
  <c r="C623" i="1"/>
  <c r="C622" i="1"/>
  <c r="C621" i="1"/>
  <c r="C620" i="1"/>
  <c r="C619" i="1" l="1"/>
  <c r="I86" i="2"/>
  <c r="H86" i="2"/>
  <c r="H85" i="2"/>
  <c r="I85" i="2"/>
  <c r="I84" i="2"/>
  <c r="H84" i="2"/>
  <c r="E86" i="2"/>
  <c r="C86" i="2"/>
  <c r="B86" i="2"/>
  <c r="E85" i="2"/>
  <c r="C85" i="2"/>
  <c r="B85" i="2"/>
  <c r="E84" i="2"/>
  <c r="C84" i="2"/>
  <c r="B84" i="2"/>
  <c r="B83" i="2"/>
  <c r="C83" i="2"/>
  <c r="E83" i="2"/>
  <c r="H83" i="2"/>
  <c r="I83" i="2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 l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B82" i="2"/>
  <c r="C82" i="2"/>
  <c r="E82" i="2"/>
  <c r="H82" i="2"/>
  <c r="I82" i="2"/>
  <c r="C590" i="1"/>
  <c r="C589" i="1"/>
  <c r="C588" i="1"/>
  <c r="C587" i="1"/>
  <c r="C586" i="1"/>
  <c r="C585" i="1"/>
  <c r="C584" i="1" l="1"/>
  <c r="C583" i="1"/>
  <c r="B81" i="2"/>
  <c r="C81" i="2"/>
  <c r="E81" i="2"/>
  <c r="H81" i="2"/>
  <c r="I81" i="2"/>
  <c r="C582" i="1"/>
  <c r="C581" i="1"/>
  <c r="C580" i="1"/>
  <c r="C579" i="1" l="1"/>
  <c r="B80" i="2"/>
  <c r="C80" i="2"/>
  <c r="E80" i="2"/>
  <c r="H80" i="2"/>
  <c r="I80" i="2"/>
  <c r="C578" i="1"/>
  <c r="C577" i="1"/>
  <c r="C576" i="1"/>
  <c r="C575" i="1"/>
  <c r="C574" i="1"/>
  <c r="C573" i="1"/>
  <c r="C572" i="1"/>
  <c r="C571" i="1"/>
  <c r="C570" i="1"/>
  <c r="C569" i="1" l="1"/>
  <c r="C568" i="1"/>
  <c r="C567" i="1"/>
  <c r="C566" i="1"/>
  <c r="C565" i="1"/>
  <c r="C564" i="1"/>
  <c r="L92" i="3"/>
  <c r="L93" i="3"/>
  <c r="L94" i="3"/>
  <c r="L95" i="3"/>
  <c r="L96" i="3"/>
  <c r="L97" i="3"/>
  <c r="L98" i="3"/>
  <c r="L99" i="3"/>
  <c r="L100" i="3"/>
  <c r="L101" i="3"/>
  <c r="L102" i="3"/>
  <c r="L103" i="3"/>
  <c r="J92" i="3"/>
  <c r="J93" i="3"/>
  <c r="J94" i="3"/>
  <c r="J95" i="3"/>
  <c r="J96" i="3"/>
  <c r="J97" i="3"/>
  <c r="J98" i="3"/>
  <c r="J99" i="3"/>
  <c r="J100" i="3"/>
  <c r="J101" i="3"/>
  <c r="J102" i="3"/>
  <c r="H92" i="3"/>
  <c r="H93" i="3"/>
  <c r="H94" i="3"/>
  <c r="H95" i="3"/>
  <c r="H96" i="3"/>
  <c r="H97" i="3"/>
  <c r="H98" i="3"/>
  <c r="H99" i="3"/>
  <c r="H100" i="3"/>
  <c r="H101" i="3"/>
  <c r="H102" i="3"/>
  <c r="H103" i="3"/>
  <c r="G92" i="3"/>
  <c r="G93" i="3"/>
  <c r="G94" i="3"/>
  <c r="G95" i="3"/>
  <c r="G96" i="3"/>
  <c r="G97" i="3"/>
  <c r="G98" i="3"/>
  <c r="G99" i="3"/>
  <c r="G100" i="3"/>
  <c r="G101" i="3"/>
  <c r="G102" i="3"/>
  <c r="G103" i="3"/>
  <c r="I79" i="2" l="1"/>
  <c r="H79" i="2"/>
  <c r="E79" i="2"/>
  <c r="C79" i="2"/>
  <c r="B79" i="2"/>
  <c r="I78" i="2"/>
  <c r="H78" i="2"/>
  <c r="E78" i="2"/>
  <c r="C78" i="2"/>
  <c r="B78" i="2"/>
  <c r="I77" i="2"/>
  <c r="H77" i="2"/>
  <c r="E77" i="2"/>
  <c r="C77" i="2"/>
  <c r="B77" i="2"/>
  <c r="I76" i="2"/>
  <c r="H76" i="2"/>
  <c r="E76" i="2"/>
  <c r="C76" i="2"/>
  <c r="B76" i="2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B75" i="2"/>
  <c r="C75" i="2"/>
  <c r="E75" i="2"/>
  <c r="H75" i="2"/>
  <c r="I75" i="2"/>
  <c r="C547" i="1"/>
  <c r="C546" i="1"/>
  <c r="C545" i="1"/>
  <c r="C544" i="1"/>
  <c r="C543" i="1"/>
  <c r="C542" i="1"/>
  <c r="C541" i="1"/>
  <c r="B74" i="2"/>
  <c r="C74" i="2"/>
  <c r="E74" i="2"/>
  <c r="H74" i="2"/>
  <c r="I74" i="2"/>
  <c r="C540" i="1"/>
  <c r="C539" i="1"/>
  <c r="C538" i="1"/>
  <c r="C537" i="1"/>
  <c r="C536" i="1"/>
  <c r="C535" i="1"/>
  <c r="C534" i="1"/>
  <c r="C533" i="1"/>
  <c r="C532" i="1" l="1"/>
  <c r="C531" i="1"/>
  <c r="B73" i="2"/>
  <c r="C73" i="2"/>
  <c r="E73" i="2"/>
  <c r="H73" i="2"/>
  <c r="I73" i="2"/>
  <c r="C530" i="1"/>
  <c r="C529" i="1"/>
  <c r="C528" i="1"/>
  <c r="C527" i="1"/>
  <c r="C526" i="1"/>
  <c r="C525" i="1"/>
  <c r="C524" i="1"/>
  <c r="B72" i="2" l="1"/>
  <c r="C72" i="2"/>
  <c r="E72" i="2"/>
  <c r="H72" i="2"/>
  <c r="I72" i="2"/>
  <c r="C518" i="1"/>
  <c r="C519" i="1"/>
  <c r="C520" i="1"/>
  <c r="C521" i="1"/>
  <c r="C522" i="1"/>
  <c r="C523" i="1"/>
  <c r="C517" i="1"/>
  <c r="C516" i="1"/>
  <c r="C515" i="1"/>
  <c r="C514" i="1"/>
  <c r="C513" i="1"/>
  <c r="C512" i="1"/>
  <c r="C511" i="1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I71" i="2"/>
  <c r="H71" i="2"/>
  <c r="E71" i="2"/>
  <c r="C71" i="2"/>
  <c r="B71" i="2"/>
  <c r="C510" i="1"/>
  <c r="C509" i="1" l="1"/>
  <c r="I70" i="2"/>
  <c r="H70" i="2"/>
  <c r="E70" i="2"/>
  <c r="C70" i="2"/>
  <c r="B70" i="2"/>
  <c r="C508" i="1"/>
  <c r="C507" i="1"/>
  <c r="C506" i="1"/>
  <c r="C505" i="1"/>
  <c r="C504" i="1"/>
  <c r="C503" i="1"/>
  <c r="C502" i="1"/>
  <c r="C501" i="1"/>
  <c r="C500" i="1"/>
  <c r="I69" i="2"/>
  <c r="H69" i="2"/>
  <c r="E69" i="2"/>
  <c r="C69" i="2"/>
  <c r="B69" i="2"/>
  <c r="C499" i="1"/>
  <c r="C498" i="1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H68" i="2" l="1"/>
  <c r="I68" i="2"/>
  <c r="E68" i="2"/>
  <c r="C68" i="2"/>
  <c r="B68" i="2"/>
  <c r="C497" i="1"/>
  <c r="C496" i="1"/>
  <c r="C495" i="1"/>
  <c r="C494" i="1"/>
  <c r="C493" i="1"/>
  <c r="C492" i="1"/>
  <c r="C491" i="1"/>
  <c r="C490" i="1"/>
  <c r="C489" i="1"/>
  <c r="D252" i="8"/>
  <c r="C252" i="8"/>
  <c r="G22" i="6"/>
  <c r="F22" i="6"/>
  <c r="E22" i="6"/>
  <c r="C22" i="6"/>
  <c r="G21" i="6"/>
  <c r="F21" i="6"/>
  <c r="E21" i="6"/>
  <c r="C21" i="6"/>
  <c r="G20" i="6"/>
  <c r="F20" i="6"/>
  <c r="E20" i="6"/>
  <c r="C20" i="6"/>
  <c r="G19" i="6"/>
  <c r="F19" i="6"/>
  <c r="E19" i="6"/>
  <c r="C19" i="6"/>
  <c r="G18" i="6"/>
  <c r="F18" i="6"/>
  <c r="E18" i="6"/>
  <c r="C18" i="6"/>
  <c r="G17" i="6"/>
  <c r="F17" i="6"/>
  <c r="E17" i="6"/>
  <c r="C17" i="6"/>
  <c r="G16" i="6"/>
  <c r="F16" i="6"/>
  <c r="E16" i="6"/>
  <c r="C16" i="6"/>
  <c r="G15" i="6"/>
  <c r="F15" i="6"/>
  <c r="E15" i="6"/>
  <c r="C15" i="6"/>
  <c r="G14" i="6"/>
  <c r="F14" i="6"/>
  <c r="E14" i="6"/>
  <c r="C14" i="6"/>
  <c r="G13" i="6"/>
  <c r="F13" i="6"/>
  <c r="E13" i="6"/>
  <c r="C13" i="6"/>
  <c r="G12" i="6"/>
  <c r="F12" i="6"/>
  <c r="E12" i="6"/>
  <c r="C12" i="6"/>
  <c r="G11" i="6"/>
  <c r="F11" i="6"/>
  <c r="E11" i="6"/>
  <c r="C11" i="6"/>
  <c r="G10" i="6"/>
  <c r="F10" i="6"/>
  <c r="E10" i="6"/>
  <c r="C10" i="6"/>
  <c r="G9" i="6"/>
  <c r="F9" i="6"/>
  <c r="E9" i="6"/>
  <c r="C9" i="6"/>
  <c r="G8" i="6"/>
  <c r="F8" i="6"/>
  <c r="E8" i="6"/>
  <c r="C8" i="6"/>
  <c r="G7" i="6"/>
  <c r="F7" i="6"/>
  <c r="E7" i="6"/>
  <c r="C7" i="6"/>
  <c r="G6" i="6"/>
  <c r="F6" i="6"/>
  <c r="E6" i="6"/>
  <c r="C6" i="6"/>
  <c r="G5" i="6"/>
  <c r="F5" i="6"/>
  <c r="E5" i="6"/>
  <c r="C5" i="6"/>
  <c r="G4" i="6"/>
  <c r="F4" i="6"/>
  <c r="E4" i="6"/>
  <c r="C4" i="6"/>
  <c r="G3" i="6"/>
  <c r="F3" i="6"/>
  <c r="E3" i="6"/>
  <c r="C3" i="6"/>
  <c r="G2" i="6"/>
  <c r="F2" i="6"/>
  <c r="E2" i="6"/>
  <c r="C2" i="6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L73" i="3"/>
  <c r="J73" i="3"/>
  <c r="H73" i="3"/>
  <c r="G73" i="3"/>
  <c r="L72" i="3"/>
  <c r="J72" i="3"/>
  <c r="H72" i="3"/>
  <c r="G72" i="3"/>
  <c r="L71" i="3"/>
  <c r="J71" i="3"/>
  <c r="H71" i="3"/>
  <c r="G71" i="3"/>
  <c r="L70" i="3"/>
  <c r="J70" i="3"/>
  <c r="H70" i="3"/>
  <c r="G70" i="3"/>
  <c r="L69" i="3"/>
  <c r="J69" i="3"/>
  <c r="H69" i="3"/>
  <c r="G69" i="3"/>
  <c r="L68" i="3"/>
  <c r="J68" i="3"/>
  <c r="H68" i="3"/>
  <c r="G68" i="3"/>
  <c r="L67" i="3"/>
  <c r="J67" i="3"/>
  <c r="H67" i="3"/>
  <c r="G67" i="3"/>
  <c r="L66" i="3"/>
  <c r="J66" i="3"/>
  <c r="H66" i="3"/>
  <c r="G66" i="3"/>
  <c r="L65" i="3"/>
  <c r="J65" i="3"/>
  <c r="H65" i="3"/>
  <c r="G65" i="3"/>
  <c r="L64" i="3"/>
  <c r="J64" i="3"/>
  <c r="H64" i="3"/>
  <c r="G64" i="3"/>
  <c r="L63" i="3"/>
  <c r="J63" i="3"/>
  <c r="H63" i="3"/>
  <c r="G63" i="3"/>
  <c r="L62" i="3"/>
  <c r="J62" i="3"/>
  <c r="H62" i="3"/>
  <c r="G62" i="3"/>
  <c r="L61" i="3"/>
  <c r="J61" i="3"/>
  <c r="H61" i="3"/>
  <c r="G61" i="3"/>
  <c r="L60" i="3"/>
  <c r="J60" i="3"/>
  <c r="H60" i="3"/>
  <c r="G60" i="3"/>
  <c r="L59" i="3"/>
  <c r="J59" i="3"/>
  <c r="H59" i="3"/>
  <c r="G59" i="3"/>
  <c r="L58" i="3"/>
  <c r="J58" i="3"/>
  <c r="H58" i="3"/>
  <c r="G58" i="3"/>
  <c r="L57" i="3"/>
  <c r="J57" i="3"/>
  <c r="H57" i="3"/>
  <c r="G57" i="3"/>
  <c r="L56" i="3"/>
  <c r="J56" i="3"/>
  <c r="H56" i="3"/>
  <c r="G56" i="3"/>
  <c r="L55" i="3"/>
  <c r="J55" i="3"/>
  <c r="H55" i="3"/>
  <c r="G55" i="3"/>
  <c r="L54" i="3"/>
  <c r="J54" i="3"/>
  <c r="H54" i="3"/>
  <c r="G54" i="3"/>
  <c r="L53" i="3"/>
  <c r="J53" i="3"/>
  <c r="H53" i="3"/>
  <c r="G53" i="3"/>
  <c r="L52" i="3"/>
  <c r="J52" i="3"/>
  <c r="H52" i="3"/>
  <c r="G52" i="3"/>
  <c r="L51" i="3"/>
  <c r="J51" i="3"/>
  <c r="H51" i="3"/>
  <c r="G51" i="3"/>
  <c r="L50" i="3"/>
  <c r="J50" i="3"/>
  <c r="H50" i="3"/>
  <c r="G50" i="3"/>
  <c r="L49" i="3"/>
  <c r="J49" i="3"/>
  <c r="H49" i="3"/>
  <c r="G49" i="3"/>
  <c r="L48" i="3"/>
  <c r="J48" i="3"/>
  <c r="H48" i="3"/>
  <c r="G48" i="3"/>
  <c r="L47" i="3"/>
  <c r="J47" i="3"/>
  <c r="H47" i="3"/>
  <c r="G47" i="3"/>
  <c r="L46" i="3"/>
  <c r="J46" i="3"/>
  <c r="H46" i="3"/>
  <c r="G46" i="3"/>
  <c r="L45" i="3"/>
  <c r="J45" i="3"/>
  <c r="H45" i="3"/>
  <c r="G45" i="3"/>
  <c r="L44" i="3"/>
  <c r="J44" i="3"/>
  <c r="H44" i="3"/>
  <c r="G44" i="3"/>
  <c r="L43" i="3"/>
  <c r="J43" i="3"/>
  <c r="H43" i="3"/>
  <c r="G43" i="3"/>
  <c r="L42" i="3"/>
  <c r="J42" i="3"/>
  <c r="H42" i="3"/>
  <c r="G42" i="3"/>
  <c r="L41" i="3"/>
  <c r="J41" i="3"/>
  <c r="H41" i="3"/>
  <c r="G41" i="3"/>
  <c r="L40" i="3"/>
  <c r="J40" i="3"/>
  <c r="H40" i="3"/>
  <c r="G40" i="3"/>
  <c r="L39" i="3"/>
  <c r="J39" i="3"/>
  <c r="H39" i="3"/>
  <c r="G39" i="3"/>
  <c r="L38" i="3"/>
  <c r="J38" i="3"/>
  <c r="H38" i="3"/>
  <c r="G38" i="3"/>
  <c r="L37" i="3"/>
  <c r="J37" i="3"/>
  <c r="H37" i="3"/>
  <c r="G37" i="3"/>
  <c r="L36" i="3"/>
  <c r="J36" i="3"/>
  <c r="H36" i="3"/>
  <c r="G36" i="3"/>
  <c r="L35" i="3"/>
  <c r="J35" i="3"/>
  <c r="H35" i="3"/>
  <c r="G35" i="3"/>
  <c r="L34" i="3"/>
  <c r="J34" i="3"/>
  <c r="H34" i="3"/>
  <c r="G34" i="3"/>
  <c r="L33" i="3"/>
  <c r="J33" i="3"/>
  <c r="H33" i="3"/>
  <c r="G33" i="3"/>
  <c r="L32" i="3"/>
  <c r="J32" i="3"/>
  <c r="H32" i="3"/>
  <c r="G32" i="3"/>
  <c r="L31" i="3"/>
  <c r="J31" i="3"/>
  <c r="H31" i="3"/>
  <c r="G31" i="3"/>
  <c r="L30" i="3"/>
  <c r="J30" i="3"/>
  <c r="H30" i="3"/>
  <c r="G30" i="3"/>
  <c r="L29" i="3"/>
  <c r="J29" i="3"/>
  <c r="H29" i="3"/>
  <c r="G29" i="3"/>
  <c r="L28" i="3"/>
  <c r="J28" i="3"/>
  <c r="H28" i="3"/>
  <c r="G28" i="3"/>
  <c r="L27" i="3"/>
  <c r="J27" i="3"/>
  <c r="H27" i="3"/>
  <c r="G27" i="3"/>
  <c r="L26" i="3"/>
  <c r="J26" i="3"/>
  <c r="H26" i="3"/>
  <c r="G26" i="3"/>
  <c r="L25" i="3"/>
  <c r="J25" i="3"/>
  <c r="H25" i="3"/>
  <c r="G25" i="3"/>
  <c r="L24" i="3"/>
  <c r="J24" i="3"/>
  <c r="H24" i="3"/>
  <c r="G24" i="3"/>
  <c r="L23" i="3"/>
  <c r="J23" i="3"/>
  <c r="H23" i="3"/>
  <c r="G23" i="3"/>
  <c r="L22" i="3"/>
  <c r="J22" i="3"/>
  <c r="H22" i="3"/>
  <c r="G22" i="3"/>
  <c r="L21" i="3"/>
  <c r="J21" i="3"/>
  <c r="H21" i="3"/>
  <c r="G21" i="3"/>
  <c r="L20" i="3"/>
  <c r="J20" i="3"/>
  <c r="H20" i="3"/>
  <c r="G20" i="3"/>
  <c r="L19" i="3"/>
  <c r="J19" i="3"/>
  <c r="H19" i="3"/>
  <c r="G19" i="3"/>
  <c r="L18" i="3"/>
  <c r="J18" i="3"/>
  <c r="H18" i="3"/>
  <c r="G18" i="3"/>
  <c r="L17" i="3"/>
  <c r="J17" i="3"/>
  <c r="H17" i="3"/>
  <c r="G17" i="3"/>
  <c r="L16" i="3"/>
  <c r="J16" i="3"/>
  <c r="H16" i="3"/>
  <c r="G16" i="3"/>
  <c r="L15" i="3"/>
  <c r="J15" i="3"/>
  <c r="H15" i="3"/>
  <c r="G15" i="3"/>
  <c r="L14" i="3"/>
  <c r="J14" i="3"/>
  <c r="H14" i="3"/>
  <c r="G14" i="3"/>
  <c r="L13" i="3"/>
  <c r="J13" i="3"/>
  <c r="H13" i="3"/>
  <c r="G13" i="3"/>
  <c r="L12" i="3"/>
  <c r="J12" i="3"/>
  <c r="H12" i="3"/>
  <c r="G12" i="3"/>
  <c r="L11" i="3"/>
  <c r="J11" i="3"/>
  <c r="H11" i="3"/>
  <c r="G11" i="3"/>
  <c r="L10" i="3"/>
  <c r="J10" i="3"/>
  <c r="H10" i="3"/>
  <c r="G10" i="3"/>
  <c r="L9" i="3"/>
  <c r="J9" i="3"/>
  <c r="H9" i="3"/>
  <c r="G9" i="3"/>
  <c r="L8" i="3"/>
  <c r="J8" i="3"/>
  <c r="H8" i="3"/>
  <c r="G8" i="3"/>
  <c r="L7" i="3"/>
  <c r="J7" i="3"/>
  <c r="H7" i="3"/>
  <c r="G7" i="3"/>
  <c r="L6" i="3"/>
  <c r="J6" i="3"/>
  <c r="H6" i="3"/>
  <c r="G6" i="3"/>
  <c r="L5" i="3"/>
  <c r="J5" i="3"/>
  <c r="H5" i="3"/>
  <c r="G5" i="3"/>
  <c r="L4" i="3"/>
  <c r="J4" i="3"/>
  <c r="H4" i="3"/>
  <c r="G4" i="3"/>
  <c r="L3" i="3"/>
  <c r="J3" i="3"/>
  <c r="H3" i="3"/>
  <c r="G3" i="3"/>
  <c r="L2" i="3"/>
  <c r="J2" i="3"/>
  <c r="I67" i="2"/>
  <c r="H67" i="2"/>
  <c r="E67" i="2"/>
  <c r="C67" i="2"/>
  <c r="B67" i="2"/>
  <c r="I66" i="2"/>
  <c r="H66" i="2"/>
  <c r="E66" i="2"/>
  <c r="C66" i="2"/>
  <c r="B66" i="2"/>
  <c r="C62" i="2"/>
  <c r="B62" i="2"/>
  <c r="I61" i="2"/>
  <c r="H61" i="2"/>
  <c r="E61" i="2"/>
  <c r="C61" i="2"/>
  <c r="B61" i="2"/>
  <c r="I60" i="2"/>
  <c r="H60" i="2"/>
  <c r="E60" i="2"/>
  <c r="C60" i="2"/>
  <c r="B60" i="2"/>
  <c r="I59" i="2"/>
  <c r="H59" i="2"/>
  <c r="E59" i="2"/>
  <c r="C59" i="2"/>
  <c r="B59" i="2"/>
  <c r="I58" i="2"/>
  <c r="H58" i="2"/>
  <c r="E58" i="2"/>
  <c r="C58" i="2"/>
  <c r="B58" i="2"/>
  <c r="I57" i="2"/>
  <c r="H57" i="2"/>
  <c r="E57" i="2"/>
  <c r="C57" i="2"/>
  <c r="B57" i="2"/>
  <c r="I56" i="2"/>
  <c r="H56" i="2"/>
  <c r="E56" i="2"/>
  <c r="C56" i="2"/>
  <c r="B56" i="2"/>
  <c r="I55" i="2"/>
  <c r="H55" i="2"/>
  <c r="E55" i="2"/>
  <c r="C55" i="2"/>
  <c r="B55" i="2"/>
  <c r="I54" i="2"/>
  <c r="H54" i="2"/>
  <c r="E54" i="2"/>
  <c r="C54" i="2"/>
  <c r="B54" i="2"/>
  <c r="I53" i="2"/>
  <c r="H53" i="2"/>
  <c r="E53" i="2"/>
  <c r="C53" i="2"/>
  <c r="B53" i="2"/>
  <c r="I52" i="2"/>
  <c r="H52" i="2"/>
  <c r="E52" i="2"/>
  <c r="C52" i="2"/>
  <c r="B52" i="2"/>
  <c r="I51" i="2"/>
  <c r="H51" i="2"/>
  <c r="E51" i="2"/>
  <c r="C51" i="2"/>
  <c r="B51" i="2"/>
  <c r="I50" i="2"/>
  <c r="H50" i="2"/>
  <c r="E50" i="2"/>
  <c r="C50" i="2"/>
  <c r="B50" i="2"/>
  <c r="I49" i="2"/>
  <c r="H49" i="2"/>
  <c r="E49" i="2"/>
  <c r="C49" i="2"/>
  <c r="B49" i="2"/>
  <c r="I48" i="2"/>
  <c r="H48" i="2"/>
  <c r="E48" i="2"/>
  <c r="C48" i="2"/>
  <c r="B48" i="2"/>
  <c r="I47" i="2"/>
  <c r="H47" i="2"/>
  <c r="E47" i="2"/>
  <c r="C47" i="2"/>
  <c r="B47" i="2"/>
  <c r="I46" i="2"/>
  <c r="H46" i="2"/>
  <c r="E46" i="2"/>
  <c r="C46" i="2"/>
  <c r="B46" i="2"/>
  <c r="I45" i="2"/>
  <c r="H45" i="2"/>
  <c r="E45" i="2"/>
  <c r="C45" i="2"/>
  <c r="B45" i="2"/>
  <c r="I44" i="2"/>
  <c r="H44" i="2"/>
  <c r="E44" i="2"/>
  <c r="C44" i="2"/>
  <c r="B44" i="2"/>
  <c r="I43" i="2"/>
  <c r="H43" i="2"/>
  <c r="E43" i="2"/>
  <c r="C43" i="2"/>
  <c r="B43" i="2"/>
  <c r="I42" i="2"/>
  <c r="H42" i="2"/>
  <c r="E42" i="2"/>
  <c r="C42" i="2"/>
  <c r="B42" i="2"/>
  <c r="I41" i="2"/>
  <c r="H41" i="2"/>
  <c r="E41" i="2"/>
  <c r="C41" i="2"/>
  <c r="B41" i="2"/>
  <c r="I40" i="2"/>
  <c r="H40" i="2"/>
  <c r="E40" i="2"/>
  <c r="C40" i="2"/>
  <c r="B40" i="2"/>
  <c r="A39" i="2"/>
  <c r="C39" i="2" s="1"/>
  <c r="A38" i="2"/>
  <c r="I38" i="2" s="1"/>
  <c r="A37" i="2"/>
  <c r="C37" i="2" s="1"/>
  <c r="A36" i="2"/>
  <c r="I36" i="2" s="1"/>
  <c r="A35" i="2"/>
  <c r="C35" i="2" s="1"/>
  <c r="A34" i="2"/>
  <c r="C34" i="2" s="1"/>
  <c r="A33" i="2"/>
  <c r="C33" i="2" s="1"/>
  <c r="A32" i="2"/>
  <c r="I32" i="2" s="1"/>
  <c r="A31" i="2"/>
  <c r="C31" i="2" s="1"/>
  <c r="D31" i="2" s="1"/>
  <c r="H28" i="2"/>
  <c r="H27" i="2"/>
  <c r="H26" i="2"/>
  <c r="H25" i="2"/>
  <c r="E12" i="2"/>
  <c r="A12" i="2"/>
  <c r="C12" i="2" s="1"/>
  <c r="E11" i="2"/>
  <c r="A11" i="2"/>
  <c r="C11" i="2" s="1"/>
  <c r="E10" i="2"/>
  <c r="A10" i="2"/>
  <c r="B10" i="2" s="1"/>
  <c r="E9" i="2"/>
  <c r="A9" i="2"/>
  <c r="C9" i="2" s="1"/>
  <c r="E8" i="2"/>
  <c r="A8" i="2"/>
  <c r="B8" i="2" s="1"/>
  <c r="E7" i="2"/>
  <c r="A7" i="2"/>
  <c r="C7" i="2" s="1"/>
  <c r="F6" i="2"/>
  <c r="E6" i="2"/>
  <c r="A6" i="2"/>
  <c r="B6" i="2" s="1"/>
  <c r="E5" i="2"/>
  <c r="A5" i="2"/>
  <c r="C5" i="2" s="1"/>
  <c r="E4" i="2"/>
  <c r="A4" i="2"/>
  <c r="C4" i="2" s="1"/>
  <c r="E3" i="2"/>
  <c r="A3" i="2"/>
  <c r="B3" i="2" s="1"/>
  <c r="E2" i="2"/>
  <c r="A2" i="2"/>
  <c r="C2" i="2" s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170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F93" i="2" l="1"/>
  <c r="D93" i="2"/>
  <c r="D92" i="2"/>
  <c r="D91" i="2"/>
  <c r="F92" i="2"/>
  <c r="F91" i="2"/>
  <c r="F90" i="2"/>
  <c r="D90" i="2"/>
  <c r="D89" i="2"/>
  <c r="F88" i="2"/>
  <c r="F89" i="2"/>
  <c r="D88" i="2"/>
  <c r="F83" i="2"/>
  <c r="F85" i="2"/>
  <c r="F86" i="2"/>
  <c r="F87" i="2"/>
  <c r="F82" i="2"/>
  <c r="F80" i="2"/>
  <c r="F81" i="2"/>
  <c r="F84" i="2"/>
  <c r="D66" i="2"/>
  <c r="D71" i="2"/>
  <c r="D83" i="2"/>
  <c r="D78" i="2"/>
  <c r="D79" i="2"/>
  <c r="D80" i="2"/>
  <c r="D81" i="2"/>
  <c r="D82" i="2"/>
  <c r="D72" i="2"/>
  <c r="D84" i="2"/>
  <c r="D77" i="2"/>
  <c r="D73" i="2"/>
  <c r="D85" i="2"/>
  <c r="D74" i="2"/>
  <c r="D86" i="2"/>
  <c r="D75" i="2"/>
  <c r="D87" i="2"/>
  <c r="D76" i="2"/>
  <c r="F66" i="2"/>
  <c r="F22" i="2"/>
  <c r="F78" i="2"/>
  <c r="F77" i="2"/>
  <c r="F76" i="2"/>
  <c r="F28" i="2"/>
  <c r="F24" i="2"/>
  <c r="F5" i="2"/>
  <c r="F20" i="2"/>
  <c r="F23" i="2"/>
  <c r="F79" i="2"/>
  <c r="F75" i="2"/>
  <c r="F74" i="2"/>
  <c r="H37" i="2"/>
  <c r="F73" i="2"/>
  <c r="H31" i="2"/>
  <c r="C3" i="2"/>
  <c r="D3" i="2" s="1"/>
  <c r="E39" i="2"/>
  <c r="E37" i="2"/>
  <c r="I37" i="2"/>
  <c r="C10" i="2"/>
  <c r="E33" i="2"/>
  <c r="H39" i="2"/>
  <c r="I33" i="2"/>
  <c r="F72" i="2"/>
  <c r="F71" i="2"/>
  <c r="H4" i="6"/>
  <c r="I4" i="6" s="1"/>
  <c r="J4" i="6" s="1"/>
  <c r="H10" i="6"/>
  <c r="I10" i="6" s="1"/>
  <c r="J10" i="6" s="1"/>
  <c r="H16" i="6"/>
  <c r="I16" i="6" s="1"/>
  <c r="J16" i="6" s="1"/>
  <c r="H8" i="6"/>
  <c r="I8" i="6" s="1"/>
  <c r="J8" i="6" s="1"/>
  <c r="H11" i="6"/>
  <c r="I11" i="6" s="1"/>
  <c r="J11" i="6" s="1"/>
  <c r="D70" i="2"/>
  <c r="F70" i="2"/>
  <c r="D69" i="2"/>
  <c r="F69" i="2"/>
  <c r="D68" i="2"/>
  <c r="F68" i="2"/>
  <c r="F3" i="2"/>
  <c r="B7" i="2"/>
  <c r="F14" i="2"/>
  <c r="H22" i="6"/>
  <c r="I22" i="6" s="1"/>
  <c r="J22" i="6" s="1"/>
  <c r="H33" i="2"/>
  <c r="F12" i="2"/>
  <c r="F13" i="2"/>
  <c r="F25" i="2"/>
  <c r="F15" i="2"/>
  <c r="B4" i="2"/>
  <c r="F16" i="2"/>
  <c r="F7" i="2"/>
  <c r="F10" i="2"/>
  <c r="F17" i="2"/>
  <c r="F27" i="2"/>
  <c r="F18" i="2"/>
  <c r="H20" i="6"/>
  <c r="I20" i="6" s="1"/>
  <c r="J20" i="6" s="1"/>
  <c r="I39" i="2"/>
  <c r="H35" i="2"/>
  <c r="F9" i="2"/>
  <c r="F4" i="2"/>
  <c r="B2" i="2"/>
  <c r="C8" i="2"/>
  <c r="F11" i="2"/>
  <c r="E35" i="2"/>
  <c r="F21" i="2"/>
  <c r="F8" i="2"/>
  <c r="B12" i="2"/>
  <c r="E31" i="2"/>
  <c r="F31" i="2" s="1"/>
  <c r="I35" i="2"/>
  <c r="F26" i="2"/>
  <c r="F19" i="2"/>
  <c r="H12" i="6"/>
  <c r="I12" i="6" s="1"/>
  <c r="J12" i="6" s="1"/>
  <c r="I31" i="2"/>
  <c r="C6" i="2"/>
  <c r="B11" i="2"/>
  <c r="B32" i="2"/>
  <c r="B34" i="2"/>
  <c r="B36" i="2"/>
  <c r="B38" i="2"/>
  <c r="C38" i="2"/>
  <c r="C32" i="2"/>
  <c r="D33" i="2" s="1"/>
  <c r="C36" i="2"/>
  <c r="B9" i="2"/>
  <c r="E32" i="2"/>
  <c r="E34" i="2"/>
  <c r="E36" i="2"/>
  <c r="E38" i="2"/>
  <c r="H32" i="2"/>
  <c r="H34" i="2"/>
  <c r="H36" i="2"/>
  <c r="H38" i="2"/>
  <c r="I34" i="2"/>
  <c r="B5" i="2"/>
  <c r="B31" i="2"/>
  <c r="B33" i="2"/>
  <c r="B35" i="2"/>
  <c r="B37" i="2"/>
  <c r="B39" i="2"/>
  <c r="F67" i="2"/>
  <c r="D67" i="2"/>
  <c r="H13" i="6"/>
  <c r="I13" i="6" s="1"/>
  <c r="J13" i="6" s="1"/>
  <c r="H17" i="6"/>
  <c r="I17" i="6" s="1"/>
  <c r="J17" i="6" s="1"/>
  <c r="H21" i="6"/>
  <c r="I21" i="6" s="1"/>
  <c r="J21" i="6" s="1"/>
  <c r="H5" i="6"/>
  <c r="I5" i="6" s="1"/>
  <c r="J5" i="6" s="1"/>
  <c r="H7" i="6"/>
  <c r="I7" i="6" s="1"/>
  <c r="J7" i="6" s="1"/>
  <c r="H9" i="6"/>
  <c r="I9" i="6" s="1"/>
  <c r="J9" i="6" s="1"/>
  <c r="H15" i="6"/>
  <c r="I15" i="6" s="1"/>
  <c r="J15" i="6" s="1"/>
  <c r="H3" i="6"/>
  <c r="I3" i="6" s="1"/>
  <c r="J3" i="6" s="1"/>
  <c r="H14" i="6"/>
  <c r="I14" i="6" s="1"/>
  <c r="J14" i="6" s="1"/>
  <c r="H18" i="6"/>
  <c r="I18" i="6" s="1"/>
  <c r="J18" i="6" s="1"/>
  <c r="H2" i="6"/>
  <c r="I2" i="6" s="1"/>
  <c r="J2" i="6" s="1"/>
  <c r="H6" i="6"/>
  <c r="I6" i="6" s="1"/>
  <c r="J6" i="6" s="1"/>
  <c r="H19" i="6"/>
  <c r="I19" i="6" s="1"/>
  <c r="J19" i="6" s="1"/>
  <c r="D2" i="2"/>
  <c r="F2" i="2"/>
  <c r="G64" i="2" l="1"/>
  <c r="D4" i="2"/>
  <c r="D5" i="2"/>
  <c r="F64" i="2"/>
  <c r="D15" i="2"/>
  <c r="D37" i="2"/>
  <c r="D39" i="2"/>
  <c r="D11" i="2"/>
  <c r="D19" i="2"/>
  <c r="D9" i="2"/>
  <c r="D7" i="2"/>
  <c r="D26" i="2"/>
  <c r="D13" i="2"/>
  <c r="D23" i="2"/>
  <c r="D17" i="2"/>
  <c r="D28" i="2"/>
  <c r="D22" i="2"/>
  <c r="D14" i="2"/>
  <c r="F34" i="2"/>
  <c r="D18" i="2"/>
  <c r="D27" i="2"/>
  <c r="D20" i="2"/>
  <c r="D12" i="2"/>
  <c r="D16" i="2"/>
  <c r="D25" i="2"/>
  <c r="D10" i="2"/>
  <c r="D21" i="2"/>
  <c r="D24" i="2"/>
  <c r="D8" i="2"/>
  <c r="D6" i="2"/>
  <c r="D59" i="2"/>
  <c r="F35" i="2"/>
  <c r="D48" i="2"/>
  <c r="D61" i="2"/>
  <c r="D38" i="2"/>
  <c r="D32" i="2"/>
  <c r="D36" i="2"/>
  <c r="F46" i="2"/>
  <c r="F59" i="2"/>
  <c r="D45" i="2"/>
  <c r="D49" i="2"/>
  <c r="D55" i="2"/>
  <c r="D40" i="2"/>
  <c r="F51" i="2"/>
  <c r="F47" i="2"/>
  <c r="F38" i="2"/>
  <c r="D47" i="2"/>
  <c r="D53" i="2"/>
  <c r="F45" i="2"/>
  <c r="F50" i="2"/>
  <c r="F43" i="2"/>
  <c r="F53" i="2"/>
  <c r="D34" i="2"/>
  <c r="F57" i="2"/>
  <c r="F54" i="2"/>
  <c r="F32" i="2"/>
  <c r="F36" i="2"/>
  <c r="F42" i="2"/>
  <c r="F55" i="2"/>
  <c r="F60" i="2"/>
  <c r="F33" i="2"/>
  <c r="D54" i="2"/>
  <c r="F44" i="2"/>
  <c r="F52" i="2"/>
  <c r="D42" i="2"/>
  <c r="D52" i="2"/>
  <c r="D41" i="2"/>
  <c r="D43" i="2"/>
  <c r="D58" i="2"/>
  <c r="F41" i="2"/>
  <c r="F56" i="2"/>
  <c r="D46" i="2"/>
  <c r="D60" i="2"/>
  <c r="D56" i="2"/>
  <c r="F39" i="2"/>
  <c r="D44" i="2"/>
  <c r="D57" i="2"/>
  <c r="D35" i="2"/>
  <c r="D50" i="2"/>
  <c r="F48" i="2"/>
  <c r="F61" i="2"/>
  <c r="D51" i="2"/>
  <c r="F37" i="2"/>
  <c r="F40" i="2"/>
  <c r="F58" i="2"/>
  <c r="F49" i="2"/>
</calcChain>
</file>

<file path=xl/sharedStrings.xml><?xml version="1.0" encoding="utf-8"?>
<sst xmlns="http://schemas.openxmlformats.org/spreadsheetml/2006/main" count="5905" uniqueCount="293">
  <si>
    <t>Date</t>
  </si>
  <si>
    <t>Quarter</t>
  </si>
  <si>
    <t>Locations</t>
  </si>
  <si>
    <t>Platforms</t>
  </si>
  <si>
    <t>Fullfilled_By</t>
  </si>
  <si>
    <t>Product Name</t>
  </si>
  <si>
    <t>Product Type</t>
  </si>
  <si>
    <t>Product_ID</t>
  </si>
  <si>
    <t>Orders</t>
  </si>
  <si>
    <t>Order_Type</t>
  </si>
  <si>
    <t>Sales_Volume</t>
  </si>
  <si>
    <t>Sales_Revenue</t>
  </si>
  <si>
    <t>Payout</t>
  </si>
  <si>
    <t>N/A</t>
  </si>
  <si>
    <t>Amazon</t>
  </si>
  <si>
    <t>MFN</t>
  </si>
  <si>
    <t>Zody Diaper</t>
  </si>
  <si>
    <t>Single</t>
  </si>
  <si>
    <t>ZODY DIAPER - NVYBLU</t>
  </si>
  <si>
    <t>Review Purchase</t>
  </si>
  <si>
    <t>Bundle</t>
  </si>
  <si>
    <t>ZODY DIAPER-2PCS-MC1+MC2</t>
  </si>
  <si>
    <t>Organic</t>
  </si>
  <si>
    <t>ZODY DIAPER-MC5</t>
  </si>
  <si>
    <t>Diaper Pad</t>
  </si>
  <si>
    <t>DIAPER PAD-3PCS</t>
  </si>
  <si>
    <t>DIAPER PAD-6PCS</t>
  </si>
  <si>
    <t>ZODY DIAPER-MC7</t>
  </si>
  <si>
    <t>Feeding Bed</t>
  </si>
  <si>
    <t>FEEDING BED-RED&amp;WT</t>
  </si>
  <si>
    <t>meesho</t>
  </si>
  <si>
    <t>ZODY DIAPER-7PCS</t>
  </si>
  <si>
    <t>Jabala Mist</t>
  </si>
  <si>
    <t>JABALA MIST-5PCS- 0-3M</t>
  </si>
  <si>
    <t>ZODY DIAPER-MC1</t>
  </si>
  <si>
    <t>Jabala Wings</t>
  </si>
  <si>
    <t>JABALA WINGS-5PCS- 0-3M-S1</t>
  </si>
  <si>
    <t>Dry Sheet (S)</t>
  </si>
  <si>
    <t>DRY SHEET-SKY-S</t>
  </si>
  <si>
    <t>Kang De Bed</t>
  </si>
  <si>
    <t>KANG DE BED-ROSE</t>
  </si>
  <si>
    <t>ZODY DIAPER-MC4</t>
  </si>
  <si>
    <t>JABALA WINGS-3PCS- 3-6M-S1</t>
  </si>
  <si>
    <t>JABALA WINGS-6PCS- 3-6M-S2</t>
  </si>
  <si>
    <t>ZODY DIAPER-5PCS</t>
  </si>
  <si>
    <t>JABALA WINGS-5PCS- 0-3M-S2</t>
  </si>
  <si>
    <t>Kang De Bed-PRO</t>
  </si>
  <si>
    <t>ZODY DIAPER-MC2</t>
  </si>
  <si>
    <t>Free</t>
  </si>
  <si>
    <t>ZODY DIAPER-3PCS-S1</t>
  </si>
  <si>
    <t>KANG DE BED-PRO-ROSE</t>
  </si>
  <si>
    <t>JABALA WINGS-6PCS- 0-3M-S2</t>
  </si>
  <si>
    <t>DIAPER PAD-5PCS</t>
  </si>
  <si>
    <t>ZODY DIAPER-2PCS-MC3+MC4</t>
  </si>
  <si>
    <t>ZODY DIAPER-MC6</t>
  </si>
  <si>
    <t>ZODY DIAPER-MC3</t>
  </si>
  <si>
    <t>West Bengal</t>
  </si>
  <si>
    <t>Rajasthan</t>
  </si>
  <si>
    <t>Kerala</t>
  </si>
  <si>
    <t>Andhra Pradesh</t>
  </si>
  <si>
    <t>Tamil Nadu</t>
  </si>
  <si>
    <t xml:space="preserve"> 8:19 pm</t>
  </si>
  <si>
    <t>Maharashtra</t>
  </si>
  <si>
    <t>Uttar Pradesh</t>
  </si>
  <si>
    <t>Gujarat</t>
  </si>
  <si>
    <t>JABALA WINGS-3PCS- 0-3M-S2</t>
  </si>
  <si>
    <t>Telangana</t>
  </si>
  <si>
    <t>JABALA WINGS-3PCS- 3-6M-S2</t>
  </si>
  <si>
    <t>Karnataka</t>
  </si>
  <si>
    <t>Madhya Pradesh</t>
  </si>
  <si>
    <t>JABALA WINGS-3PCS-S1</t>
  </si>
  <si>
    <t>Delhi</t>
  </si>
  <si>
    <t>ZODY DIAPER-2PCS</t>
  </si>
  <si>
    <t>Q1_2025</t>
  </si>
  <si>
    <t>Odisha</t>
  </si>
  <si>
    <t>Haryana</t>
  </si>
  <si>
    <t>Manipur</t>
  </si>
  <si>
    <t>Jharkhand</t>
  </si>
  <si>
    <t>Assam</t>
  </si>
  <si>
    <t>JABALA WINGS-6PCS- 0-3M-S1</t>
  </si>
  <si>
    <t>JABALA WINGS-5PCS- 3-6M-S2</t>
  </si>
  <si>
    <t>DIAPER PAD-9PCS</t>
  </si>
  <si>
    <t>Punjab</t>
  </si>
  <si>
    <t>JABALA WINGS-6PCS- 3-6M-S1</t>
  </si>
  <si>
    <t>Exchange</t>
  </si>
  <si>
    <t>Uttarakhand</t>
  </si>
  <si>
    <t>FEEDING BED-GRY&amp;WHT</t>
  </si>
  <si>
    <t>Window Cradle Stand</t>
  </si>
  <si>
    <t>WND CRADLE STAND-1M-GRP</t>
  </si>
  <si>
    <t>ZODY DIAPER-3PCS-S2</t>
  </si>
  <si>
    <t>FEEDING BED-PNK&amp;WT</t>
  </si>
  <si>
    <t>Jammu and Kashmir</t>
  </si>
  <si>
    <t>Whatsapp</t>
  </si>
  <si>
    <t>Hanger Plus</t>
  </si>
  <si>
    <t>HANGER PLUS-SILVER</t>
  </si>
  <si>
    <t>Chhattisgarh</t>
  </si>
  <si>
    <t>DIAPER PAD-2PCS</t>
  </si>
  <si>
    <t>JABALA WINGS-5PCS- 3-6M-S1</t>
  </si>
  <si>
    <t>JABALA MIST-3PCS</t>
  </si>
  <si>
    <t>Aroz Socks Size 1</t>
  </si>
  <si>
    <t>AROZ SOCKS-(12-24M)-6PCS</t>
  </si>
  <si>
    <t>Himachal Pradesh</t>
  </si>
  <si>
    <t>Cradle Spring with Hanger</t>
  </si>
  <si>
    <t>Window Cradle Stand + Spring + Hanger</t>
  </si>
  <si>
    <t>WND_CRADLE_STAND+SPRING+HANGER</t>
  </si>
  <si>
    <t>MOQ</t>
  </si>
  <si>
    <t>Meghalaya</t>
  </si>
  <si>
    <t>Meesho</t>
  </si>
  <si>
    <t>Flipkart</t>
  </si>
  <si>
    <t>DIAPER PAD-1PCS</t>
  </si>
  <si>
    <t>Bihar</t>
  </si>
  <si>
    <t>FEEDING BED-BLU&amp;WT</t>
  </si>
  <si>
    <t>Arunachal Pradesh</t>
  </si>
  <si>
    <t>ZODY DIAPER-3PCS-S3</t>
  </si>
  <si>
    <t>Jabala Rain</t>
  </si>
  <si>
    <t>JABALA RAIN-3PCS-S2</t>
  </si>
  <si>
    <t xml:space="preserve"> DIAPER PAD-3PCS</t>
  </si>
  <si>
    <t>Baby Pillow</t>
  </si>
  <si>
    <t>CAMMY BABY PILLOW-GRY</t>
  </si>
  <si>
    <t>Order qty</t>
  </si>
  <si>
    <t>Order Value</t>
  </si>
  <si>
    <t>O_Total</t>
  </si>
  <si>
    <t>setlement</t>
  </si>
  <si>
    <t>S_Total</t>
  </si>
  <si>
    <t>Advertisment spend</t>
  </si>
  <si>
    <t>Returns_Amt</t>
  </si>
  <si>
    <t>Returns_Vol</t>
  </si>
  <si>
    <t>Returns</t>
  </si>
  <si>
    <t>Spent</t>
  </si>
  <si>
    <t>Sales</t>
  </si>
  <si>
    <t>Order Tpe</t>
  </si>
  <si>
    <t>ROAS</t>
  </si>
  <si>
    <t>ACOS</t>
  </si>
  <si>
    <t>Clicks</t>
  </si>
  <si>
    <t>CTR</t>
  </si>
  <si>
    <t>Impressions</t>
  </si>
  <si>
    <t>CPC</t>
  </si>
  <si>
    <t>Paid</t>
  </si>
  <si>
    <t>Product ID</t>
  </si>
  <si>
    <t>Feedbacks</t>
  </si>
  <si>
    <t>Rating</t>
  </si>
  <si>
    <t>Best diaper till now I have used.packaging is so pretty and cloth is so soft</t>
  </si>
  <si>
    <t>Great quality and very soft!</t>
  </si>
  <si>
    <t>Comfortable and easy to clean.</t>
  </si>
  <si>
    <t>Smells amazing and lasts long!</t>
  </si>
  <si>
    <t>Absorbent and good material.</t>
  </si>
  <si>
    <t>Soft and comfortable for babies.</t>
  </si>
  <si>
    <t>Dry Sheet (L)</t>
  </si>
  <si>
    <t>Perfect for overnight use.</t>
  </si>
  <si>
    <t>Sturdy and comfortable.</t>
  </si>
  <si>
    <t xml:space="preserve"> </t>
  </si>
  <si>
    <t>Pluto Bed Cradle</t>
  </si>
  <si>
    <t>Nice design and very safe.</t>
  </si>
  <si>
    <t>Order_Date</t>
  </si>
  <si>
    <t>Delivery_Date</t>
  </si>
  <si>
    <t>Return_Type</t>
  </si>
  <si>
    <t>Return_Reason</t>
  </si>
  <si>
    <t>Product_Condition</t>
  </si>
  <si>
    <t>Return_Qty</t>
  </si>
  <si>
    <t>Order_Qty</t>
  </si>
  <si>
    <t>Return_Volume</t>
  </si>
  <si>
    <t>Order_Volume</t>
  </si>
  <si>
    <t>Refund_Amount</t>
  </si>
  <si>
    <t>Resllable_Qty</t>
  </si>
  <si>
    <t>Safe-T Claim</t>
  </si>
  <si>
    <t>Order_Amount</t>
  </si>
  <si>
    <t>C-Returns</t>
  </si>
  <si>
    <t>AMZ-PG-APP-TOO-SMALL</t>
  </si>
  <si>
    <t>Damaged</t>
  </si>
  <si>
    <t>Rejected</t>
  </si>
  <si>
    <t>UND-UNKNOWN</t>
  </si>
  <si>
    <t>Box Damaged</t>
  </si>
  <si>
    <t>Good</t>
  </si>
  <si>
    <t>Missing quantity</t>
  </si>
  <si>
    <t>Product Mismatch</t>
  </si>
  <si>
    <t>Goa</t>
  </si>
  <si>
    <t>CR-QUALITY_UNACCEPTABLE</t>
  </si>
  <si>
    <t>CR-SWITCHEROO</t>
  </si>
  <si>
    <t>Item Name</t>
  </si>
  <si>
    <t>Initial Qty</t>
  </si>
  <si>
    <t>Added Qty</t>
  </si>
  <si>
    <t>Review Return</t>
  </si>
  <si>
    <t>Sold Qty</t>
  </si>
  <si>
    <t>Return Qty</t>
  </si>
  <si>
    <t>Transferred Qty</t>
  </si>
  <si>
    <t>Remaining Qty</t>
  </si>
  <si>
    <t>Total Qty</t>
  </si>
  <si>
    <t>Total Pack of</t>
  </si>
  <si>
    <t>Dry Sheet (M)</t>
  </si>
  <si>
    <t>MICO Baby Pillow</t>
  </si>
  <si>
    <t>Gold Cradle Cloth</t>
  </si>
  <si>
    <t>Bliss Bed Cover 6.25X6</t>
  </si>
  <si>
    <t>Cradle Spring</t>
  </si>
  <si>
    <t>Payement Type</t>
  </si>
  <si>
    <t>Amount</t>
  </si>
  <si>
    <t>Electronic Transaction</t>
  </si>
  <si>
    <t>COD Transaction</t>
  </si>
  <si>
    <t>Added/Transferred Quantity</t>
  </si>
  <si>
    <t>Type</t>
  </si>
  <si>
    <t>Added</t>
  </si>
  <si>
    <t>Transferred</t>
  </si>
  <si>
    <t>Total</t>
  </si>
  <si>
    <t>Period</t>
  </si>
  <si>
    <t>Year</t>
  </si>
  <si>
    <t>Currency</t>
  </si>
  <si>
    <t>TargetAmount</t>
  </si>
  <si>
    <t>Quarter_1</t>
  </si>
  <si>
    <t>INR</t>
  </si>
  <si>
    <t>Quarter_2</t>
  </si>
  <si>
    <t>Quarter_3</t>
  </si>
  <si>
    <t>Quarter_4</t>
  </si>
  <si>
    <t>Fulfilled by</t>
  </si>
  <si>
    <t>Platform</t>
  </si>
  <si>
    <t>Location</t>
  </si>
  <si>
    <t xml:space="preserve">Product Type </t>
  </si>
  <si>
    <t>Stock Transfer Type</t>
  </si>
  <si>
    <t>Review Length</t>
  </si>
  <si>
    <t>Disbursement_Type</t>
  </si>
  <si>
    <t>Sentiment</t>
  </si>
  <si>
    <t>Review Status</t>
  </si>
  <si>
    <t>Short</t>
  </si>
  <si>
    <t>Positive</t>
  </si>
  <si>
    <t>FBA</t>
  </si>
  <si>
    <t>Long</t>
  </si>
  <si>
    <t>Neutral</t>
  </si>
  <si>
    <t>Flex</t>
  </si>
  <si>
    <t>Myntra</t>
  </si>
  <si>
    <t>Negative</t>
  </si>
  <si>
    <t>FBF</t>
  </si>
  <si>
    <t>IndiaMART</t>
  </si>
  <si>
    <t>Mizoram</t>
  </si>
  <si>
    <t>Nagaland</t>
  </si>
  <si>
    <t>Sikkim</t>
  </si>
  <si>
    <t>Tripura</t>
  </si>
  <si>
    <t>AROZ SOCKS-(6-12M)-6PCS</t>
  </si>
  <si>
    <t>WND_HANGER+SPRING+HANGER</t>
  </si>
  <si>
    <t>Target</t>
  </si>
  <si>
    <t>Achieved</t>
  </si>
  <si>
    <t>Gap</t>
  </si>
  <si>
    <t>CAMMY BABY PILLOW-GRY&amp;WHT(STR)</t>
  </si>
  <si>
    <t>ANGEL_CRADLE_HANGER-GLD</t>
  </si>
  <si>
    <t>JABALA-FSTFIT-3PCS-S2</t>
  </si>
  <si>
    <t>Jabala First Fit</t>
  </si>
  <si>
    <t>CR-UNWANTED_ITEM</t>
  </si>
  <si>
    <t xml:space="preserve"> ZODY DIAPER-MC1</t>
  </si>
  <si>
    <t>CAMMY BABY PILLOW-WHT(PNT)</t>
  </si>
  <si>
    <t>Order ID</t>
  </si>
  <si>
    <t>ASIN</t>
  </si>
  <si>
    <t>Keywords</t>
  </si>
  <si>
    <t>Buyer Name</t>
  </si>
  <si>
    <t>Status</t>
  </si>
  <si>
    <t>Product</t>
  </si>
  <si>
    <t>Order Date</t>
  </si>
  <si>
    <t>Achieved (In %)</t>
  </si>
  <si>
    <t>403-4960461-5443535</t>
  </si>
  <si>
    <t>B0DWDGWR8X</t>
  </si>
  <si>
    <t>Cloth Diaper Pad</t>
  </si>
  <si>
    <t>Shikha Sharma</t>
  </si>
  <si>
    <t>Purchased</t>
  </si>
  <si>
    <t>Delivered</t>
  </si>
  <si>
    <t>Reviewd</t>
  </si>
  <si>
    <t>Invoice</t>
  </si>
  <si>
    <t>Submitted</t>
  </si>
  <si>
    <t>Not Submitted</t>
  </si>
  <si>
    <t>WND Hanger + Angel Spring</t>
  </si>
  <si>
    <t>WND_HANGER+ANGEL_SPRING</t>
  </si>
  <si>
    <t>404-2972091-2841918</t>
  </si>
  <si>
    <t>Lijo Jose</t>
  </si>
  <si>
    <t>403-3883286-9205166</t>
  </si>
  <si>
    <t>B0DY4CTFRB</t>
  </si>
  <si>
    <t>Cradle Hanger</t>
  </si>
  <si>
    <t>142935359852546368_1</t>
  </si>
  <si>
    <t>8E9F1H3I4</t>
  </si>
  <si>
    <t>Naji</t>
  </si>
  <si>
    <t>146487789684097152_1</t>
  </si>
  <si>
    <t>9D8F3A4C5</t>
  </si>
  <si>
    <t>Alina</t>
  </si>
  <si>
    <t>ALINA-2PCS</t>
  </si>
  <si>
    <t>Link</t>
  </si>
  <si>
    <t>Jaseel</t>
  </si>
  <si>
    <t>JABALA RAIN-7PCS</t>
  </si>
  <si>
    <t>Hanger Plus + HK Spring</t>
  </si>
  <si>
    <t>CRADLE SPRING&amp;HANGER</t>
  </si>
  <si>
    <t>12:27 AM</t>
  </si>
  <si>
    <t>ROYAL_NET_BED-BLUE</t>
  </si>
  <si>
    <t>Royal Net Bed</t>
  </si>
  <si>
    <t>WND_HANGER+ANGEL_SPRING+CLOTH+NET</t>
  </si>
  <si>
    <t>Window Cradle Stand + Spring + Hanger + Cloth +Net</t>
  </si>
  <si>
    <t>Diaper Bag</t>
  </si>
  <si>
    <t>Diaper_Bag-Org</t>
  </si>
  <si>
    <t>Fionaya</t>
  </si>
  <si>
    <t>FIONAYA-PNK</t>
  </si>
  <si>
    <t>CAMMY BABY PILLOW-RED&amp;WHT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</si>
</sst>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-F800]dddd\,\ mmmm\ dd\,\ yyyy"/>
    <numFmt numFmtId="165" formatCode="[$-10409]hh:mm\ AM/PM"/>
    <numFmt numFmtId="166" formatCode="[$-14009]dd\-mm\-yyyy"/>
    <numFmt numFmtId="167" formatCode="[$-14009]dd\-mm\-yy"/>
    <numFmt numFmtId="168" formatCode="[$-14009]dd/mm/yyyy"/>
    <numFmt numFmtId="169" formatCode="[$-14009]dd/mm/yyyy;@"/>
  </numFmts>
  <fonts count="3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CCFF99"/>
      <name val="Calibri"/>
      <family val="2"/>
    </font>
    <font>
      <b/>
      <sz val="12"/>
      <color rgb="FFFFC000"/>
      <name val="Calibri"/>
      <family val="2"/>
    </font>
    <font>
      <b/>
      <sz val="14"/>
      <color rgb="FFFFFF00"/>
      <name val="Calibri"/>
      <family val="2"/>
    </font>
    <font>
      <b/>
      <sz val="14"/>
      <color rgb="FFFFC00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2"/>
      <color theme="0"/>
      <name val="Calibri"/>
      <family val="2"/>
    </font>
    <font>
      <b/>
      <sz val="12"/>
      <color theme="0"/>
      <name val="Calibri"/>
      <family val="2"/>
    </font>
    <font>
      <sz val="12"/>
      <color theme="0"/>
      <name val="Arial"/>
      <family val="2"/>
    </font>
    <font>
      <sz val="12"/>
      <color theme="0"/>
      <name val="Calibri"/>
      <family val="2"/>
    </font>
    <font>
      <sz val="11"/>
      <color theme="0"/>
      <name val="Calibr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</font>
    <font>
      <sz val="11"/>
      <color theme="0"/>
      <name val="Calibri"/>
    </font>
    <font>
      <b/>
      <sz val="11"/>
      <color theme="5" tint="-0.249977111117893"/>
      <name val="Calibri"/>
      <family val="2"/>
      <scheme val="minor"/>
    </font>
    <font>
      <sz val="7"/>
      <color rgb="FF69696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0C7C5"/>
        <bgColor rgb="FFA0C7C5"/>
      </patternFill>
    </fill>
    <fill>
      <patternFill patternType="solid">
        <fgColor rgb="FF1C6294"/>
        <bgColor rgb="FF1C6294"/>
      </patternFill>
    </fill>
    <fill>
      <patternFill patternType="solid">
        <fgColor rgb="FFCFDFEA"/>
        <bgColor rgb="FFCFDFEA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center"/>
    </xf>
    <xf numFmtId="164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164" fontId="10" fillId="0" borderId="0" xfId="0" applyNumberFormat="1" applyFont="1"/>
    <xf numFmtId="165" fontId="10" fillId="0" borderId="0" xfId="0" applyNumberFormat="1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4" fontId="10" fillId="0" borderId="1" xfId="0" applyNumberFormat="1" applyFont="1" applyBorder="1"/>
    <xf numFmtId="0" fontId="10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0" fillId="0" borderId="3" xfId="0" applyFont="1" applyBorder="1"/>
    <xf numFmtId="1" fontId="10" fillId="0" borderId="1" xfId="0" applyNumberFormat="1" applyFont="1" applyBorder="1"/>
    <xf numFmtId="0" fontId="10" fillId="2" borderId="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2" borderId="4" xfId="0" applyFont="1" applyFill="1" applyBorder="1" applyAlignment="1">
      <alignment horizontal="center" vertical="center" wrapText="1"/>
    </xf>
    <xf numFmtId="0" fontId="14" fillId="0" borderId="0" xfId="0" applyFont="1"/>
    <xf numFmtId="14" fontId="10" fillId="0" borderId="0" xfId="0" applyNumberFormat="1" applyFont="1" applyAlignment="1">
      <alignment horizontal="center" vertical="center"/>
    </xf>
    <xf numFmtId="14" fontId="10" fillId="3" borderId="5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0" borderId="0" xfId="0" applyFont="1"/>
    <xf numFmtId="14" fontId="10" fillId="4" borderId="5" xfId="0" applyNumberFormat="1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10" fontId="10" fillId="4" borderId="5" xfId="0" applyNumberFormat="1" applyFont="1" applyFill="1" applyBorder="1" applyAlignment="1">
      <alignment horizontal="center" vertical="center"/>
    </xf>
    <xf numFmtId="2" fontId="10" fillId="4" borderId="5" xfId="0" applyNumberFormat="1" applyFont="1" applyFill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4" fontId="10" fillId="0" borderId="0" xfId="0" applyNumberFormat="1" applyFont="1"/>
    <xf numFmtId="10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7" fontId="11" fillId="0" borderId="0" xfId="0" applyNumberFormat="1" applyFont="1" applyAlignment="1">
      <alignment horizontal="center"/>
    </xf>
    <xf numFmtId="167" fontId="10" fillId="0" borderId="0" xfId="0" applyNumberFormat="1" applyFont="1"/>
    <xf numFmtId="0" fontId="1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17" fillId="0" borderId="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/>
    <xf numFmtId="14" fontId="10" fillId="0" borderId="7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" fontId="10" fillId="0" borderId="0" xfId="0" applyNumberFormat="1" applyFont="1"/>
    <xf numFmtId="0" fontId="10" fillId="0" borderId="7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" fontId="10" fillId="0" borderId="12" xfId="0" applyNumberFormat="1" applyFont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9" fillId="5" borderId="13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0" fontId="8" fillId="0" borderId="0" xfId="0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64" fontId="24" fillId="0" borderId="1" xfId="0" applyNumberFormat="1" applyFont="1" applyBorder="1" applyAlignment="1">
      <alignment horizontal="center"/>
    </xf>
    <xf numFmtId="165" fontId="24" fillId="0" borderId="1" xfId="0" applyNumberFormat="1" applyFont="1" applyBorder="1" applyAlignment="1">
      <alignment horizontal="center"/>
    </xf>
    <xf numFmtId="166" fontId="24" fillId="0" borderId="1" xfId="0" applyNumberFormat="1" applyFont="1" applyBorder="1" applyAlignment="1">
      <alignment horizontal="center"/>
    </xf>
    <xf numFmtId="14" fontId="24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1" fontId="24" fillId="0" borderId="1" xfId="0" applyNumberFormat="1" applyFont="1" applyBorder="1" applyAlignment="1">
      <alignment horizontal="center"/>
    </xf>
    <xf numFmtId="2" fontId="24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2" fontId="24" fillId="0" borderId="1" xfId="0" applyNumberFormat="1" applyFont="1" applyBorder="1" applyAlignment="1">
      <alignment horizontal="center" vertical="center"/>
    </xf>
    <xf numFmtId="2" fontId="24" fillId="0" borderId="1" xfId="0" applyNumberFormat="1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0" fontId="25" fillId="0" borderId="1" xfId="0" applyFont="1" applyBorder="1" applyAlignment="1">
      <alignment horizontal="center"/>
    </xf>
    <xf numFmtId="164" fontId="24" fillId="0" borderId="0" xfId="0" applyNumberFormat="1" applyFont="1" applyAlignment="1">
      <alignment horizontal="center"/>
    </xf>
    <xf numFmtId="165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1" fontId="24" fillId="0" borderId="0" xfId="0" applyNumberFormat="1" applyFont="1" applyAlignment="1">
      <alignment horizontal="center"/>
    </xf>
    <xf numFmtId="2" fontId="24" fillId="0" borderId="0" xfId="0" applyNumberFormat="1" applyFont="1" applyAlignment="1">
      <alignment horizontal="center"/>
    </xf>
    <xf numFmtId="164" fontId="25" fillId="0" borderId="0" xfId="0" applyNumberFormat="1" applyFont="1" applyAlignment="1">
      <alignment horizontal="center"/>
    </xf>
    <xf numFmtId="165" fontId="25" fillId="0" borderId="0" xfId="0" applyNumberFormat="1" applyFont="1" applyAlignment="1">
      <alignment horizontal="center"/>
    </xf>
    <xf numFmtId="1" fontId="25" fillId="0" borderId="0" xfId="0" applyNumberFormat="1" applyFont="1" applyAlignment="1">
      <alignment horizontal="center"/>
    </xf>
    <xf numFmtId="2" fontId="25" fillId="0" borderId="0" xfId="0" applyNumberFormat="1" applyFont="1" applyAlignment="1">
      <alignment horizontal="center"/>
    </xf>
    <xf numFmtId="166" fontId="25" fillId="0" borderId="0" xfId="0" applyNumberFormat="1" applyFont="1" applyAlignment="1">
      <alignment horizontal="center"/>
    </xf>
    <xf numFmtId="0" fontId="26" fillId="0" borderId="0" xfId="0" applyFont="1" applyAlignment="1">
      <alignment horizontal="center" vertical="center"/>
    </xf>
    <xf numFmtId="164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3" fillId="0" borderId="0" xfId="0" applyFont="1"/>
    <xf numFmtId="0" fontId="10" fillId="0" borderId="13" xfId="0" applyFont="1" applyBorder="1"/>
    <xf numFmtId="167" fontId="26" fillId="0" borderId="0" xfId="0" applyNumberFormat="1" applyFont="1" applyAlignment="1">
      <alignment horizontal="center" vertical="center"/>
    </xf>
    <xf numFmtId="168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167" fontId="24" fillId="0" borderId="1" xfId="0" applyNumberFormat="1" applyFont="1" applyBorder="1" applyAlignment="1">
      <alignment horizontal="center"/>
    </xf>
    <xf numFmtId="168" fontId="24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164" fontId="28" fillId="0" borderId="0" xfId="0" applyNumberFormat="1" applyFont="1" applyAlignment="1">
      <alignment horizontal="center"/>
    </xf>
    <xf numFmtId="165" fontId="28" fillId="0" borderId="0" xfId="0" applyNumberFormat="1" applyFont="1" applyAlignment="1">
      <alignment horizontal="center"/>
    </xf>
    <xf numFmtId="166" fontId="28" fillId="0" borderId="0" xfId="0" applyNumberFormat="1" applyFont="1" applyAlignment="1">
      <alignment horizontal="center"/>
    </xf>
    <xf numFmtId="0" fontId="29" fillId="0" borderId="5" xfId="0" applyFont="1" applyBorder="1" applyAlignment="1">
      <alignment horizontal="center"/>
    </xf>
    <xf numFmtId="0" fontId="28" fillId="0" borderId="0" xfId="0" applyFont="1" applyAlignment="1">
      <alignment horizontal="center"/>
    </xf>
    <xf numFmtId="1" fontId="28" fillId="0" borderId="0" xfId="0" applyNumberFormat="1" applyFont="1" applyAlignment="1">
      <alignment horizontal="center"/>
    </xf>
    <xf numFmtId="2" fontId="28" fillId="0" borderId="0" xfId="0" applyNumberFormat="1" applyFont="1" applyAlignment="1">
      <alignment horizontal="center"/>
    </xf>
    <xf numFmtId="14" fontId="29" fillId="0" borderId="1" xfId="0" applyNumberFormat="1" applyFont="1" applyBorder="1" applyAlignment="1">
      <alignment horizontal="center"/>
    </xf>
    <xf numFmtId="1" fontId="29" fillId="0" borderId="5" xfId="0" applyNumberFormat="1" applyFont="1" applyBorder="1" applyAlignment="1">
      <alignment horizontal="center"/>
    </xf>
    <xf numFmtId="2" fontId="29" fillId="0" borderId="5" xfId="0" applyNumberFormat="1" applyFont="1" applyBorder="1" applyAlignment="1">
      <alignment horizontal="center"/>
    </xf>
    <xf numFmtId="0" fontId="29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/>
    </xf>
    <xf numFmtId="0" fontId="7" fillId="0" borderId="0" xfId="0" applyFont="1"/>
    <xf numFmtId="14" fontId="24" fillId="0" borderId="5" xfId="0" applyNumberFormat="1" applyFont="1" applyBorder="1" applyAlignment="1">
      <alignment horizontal="center"/>
    </xf>
    <xf numFmtId="1" fontId="24" fillId="0" borderId="5" xfId="0" applyNumberFormat="1" applyFont="1" applyBorder="1" applyAlignment="1">
      <alignment horizontal="center"/>
    </xf>
    <xf numFmtId="2" fontId="24" fillId="0" borderId="5" xfId="0" applyNumberFormat="1" applyFont="1" applyBorder="1" applyAlignment="1">
      <alignment horizontal="center"/>
    </xf>
    <xf numFmtId="0" fontId="24" fillId="0" borderId="5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169" fontId="32" fillId="0" borderId="17" xfId="0" applyNumberFormat="1" applyFont="1" applyBorder="1" applyAlignment="1">
      <alignment horizontal="center" vertical="center"/>
    </xf>
    <xf numFmtId="169" fontId="0" fillId="0" borderId="0" xfId="0" applyNumberFormat="1"/>
    <xf numFmtId="169" fontId="31" fillId="0" borderId="15" xfId="0" applyNumberFormat="1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169" fontId="31" fillId="0" borderId="20" xfId="0" applyNumberFormat="1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164" fontId="33" fillId="0" borderId="0" xfId="0" applyNumberFormat="1" applyFont="1" applyAlignment="1">
      <alignment horizontal="center"/>
    </xf>
    <xf numFmtId="165" fontId="33" fillId="0" borderId="0" xfId="0" applyNumberFormat="1" applyFont="1" applyAlignment="1">
      <alignment horizontal="center"/>
    </xf>
    <xf numFmtId="166" fontId="33" fillId="0" borderId="0" xfId="0" applyNumberFormat="1" applyFont="1" applyAlignment="1">
      <alignment horizontal="center"/>
    </xf>
    <xf numFmtId="14" fontId="34" fillId="0" borderId="5" xfId="0" applyNumberFormat="1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1" fontId="34" fillId="0" borderId="5" xfId="0" applyNumberFormat="1" applyFont="1" applyBorder="1" applyAlignment="1">
      <alignment horizontal="center"/>
    </xf>
    <xf numFmtId="2" fontId="34" fillId="0" borderId="5" xfId="0" applyNumberFormat="1" applyFont="1" applyBorder="1" applyAlignment="1">
      <alignment horizontal="center"/>
    </xf>
    <xf numFmtId="0" fontId="34" fillId="0" borderId="5" xfId="0" applyFont="1" applyBorder="1" applyAlignment="1">
      <alignment horizontal="center" vertical="center"/>
    </xf>
    <xf numFmtId="10" fontId="35" fillId="0" borderId="0" xfId="0" applyNumberFormat="1" applyFont="1" applyAlignment="1">
      <alignment horizontal="center" vertical="center"/>
    </xf>
    <xf numFmtId="0" fontId="6" fillId="0" borderId="0" xfId="0" applyFont="1"/>
    <xf numFmtId="0" fontId="32" fillId="0" borderId="5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/>
    <xf numFmtId="18" fontId="36" fillId="0" borderId="0" xfId="0" applyNumberFormat="1" applyFont="1"/>
    <xf numFmtId="0" fontId="3" fillId="0" borderId="0" xfId="0" applyFont="1"/>
    <xf numFmtId="14" fontId="33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25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9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9" formatCode="[$-14009]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color theme="0"/>
        <name val="Calibri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[$-14009]dd\-mm\-yyyy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10409]hh:mm\ AM/PM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ill>
        <patternFill patternType="solid">
          <fgColor rgb="FFA4DEF4"/>
          <bgColor rgb="FFA4DEF4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3F5F7"/>
          <bgColor rgb="FFD3F5F7"/>
        </patternFill>
      </fill>
    </dxf>
    <dxf>
      <fill>
        <patternFill patternType="solid">
          <fgColor rgb="FFA8EBEF"/>
          <bgColor rgb="FFA8EBE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A4DEF4"/>
          <bgColor rgb="FFA4DEF4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2E663E"/>
          <bgColor rgb="FF2E663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487B78"/>
          <bgColor rgb="FF487B7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A4DEF4"/>
          <bgColor rgb="FFA4DEF4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2E663E"/>
          <bgColor rgb="FF2E663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487B78"/>
          <bgColor rgb="FF487B78"/>
        </patternFill>
      </fill>
    </dxf>
    <dxf>
      <fill>
        <patternFill patternType="solid">
          <fgColor rgb="FF305250"/>
          <bgColor rgb="FF305250"/>
        </patternFill>
      </fill>
    </dxf>
    <dxf>
      <fill>
        <patternFill patternType="solid">
          <fgColor theme="1"/>
          <bgColor theme="1"/>
        </patternFill>
      </fill>
    </dxf>
  </dxfs>
  <tableStyles count="8">
    <tableStyle name="Sales-style" pivot="0" count="4">
      <tableStyleElement type="headerRow" dxfId="93"/>
      <tableStyleElement type="totalRow" dxfId="92"/>
      <tableStyleElement type="firstRowStripe" dxfId="91"/>
      <tableStyleElement type="secondRowStripe" dxfId="90"/>
    </tableStyle>
    <tableStyle name="Ads_Cost-style" pivot="0" count="3">
      <tableStyleElement type="headerRow" dxfId="89"/>
      <tableStyleElement type="firstRowStripe" dxfId="88"/>
      <tableStyleElement type="secondRowStripe" dxfId="87"/>
    </tableStyle>
    <tableStyle name="Customer_Insights-style" pivot="0" count="3">
      <tableStyleElement type="headerRow" dxfId="86"/>
      <tableStyleElement type="firstRowStripe" dxfId="85"/>
      <tableStyleElement type="secondRowStripe" dxfId="84"/>
    </tableStyle>
    <tableStyle name="Returns-style" pivot="0" count="3">
      <tableStyleElement type="headerRow" dxfId="83"/>
      <tableStyleElement type="firstRowStripe" dxfId="82"/>
      <tableStyleElement type="secondRowStripe" dxfId="81"/>
    </tableStyle>
    <tableStyle name="Inventory-style" pivot="0" count="3">
      <tableStyleElement type="headerRow" dxfId="80"/>
      <tableStyleElement type="firstRowStripe" dxfId="79"/>
      <tableStyleElement type="secondRowStripe" dxfId="78"/>
    </tableStyle>
    <tableStyle name="Disbursements-style" pivot="0" count="3">
      <tableStyleElement type="headerRow" dxfId="77"/>
      <tableStyleElement type="firstRowStripe" dxfId="76"/>
      <tableStyleElement type="secondRowStripe" dxfId="75"/>
    </tableStyle>
    <tableStyle name="Added_Stock-style" pivot="0" count="4">
      <tableStyleElement type="headerRow" dxfId="74"/>
      <tableStyleElement type="totalRow" dxfId="73"/>
      <tableStyleElement type="firstRowStripe" dxfId="72"/>
      <tableStyleElement type="secondRowStripe" dxfId="71"/>
    </tableStyle>
    <tableStyle name="Target_List-style" pivot="0" count="4">
      <tableStyleElement type="headerRow" dxfId="70"/>
      <tableStyleElement type="totalRow" dxfId="69"/>
      <tableStyleElement type="firstRowStripe" dxfId="68"/>
      <tableStyleElement type="secondRowStripe" dxfId="6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N687" headerRowDxfId="66" dataDxfId="65">
  <autoFilter ref="A1:N687"/>
  <tableColumns count="14">
    <tableColumn id="1" name="Date" dataDxfId="64" totalsRowDxfId="63"/>
    <tableColumn id="2" name="12:27 AM" dataDxfId="62" totalsRowDxfId="61"/>
    <tableColumn id="3" name="Quarter" totalsRowFunction="custom" dataDxfId="60" totalsRowDxfId="59">
      <totalsRowFormula>"Q" &amp; CHOOSE(MONTH(Sales!#REF!), "1", "1", "1", "2", "2", "2", "3", "3", "3", "4", "4", "4") &amp; "_" &amp; YEAR(Sales!#REF!)</totalsRowFormula>
    </tableColumn>
    <tableColumn id="4" name="Locations" dataDxfId="58" totalsRowDxfId="57"/>
    <tableColumn id="5" name="Platforms" dataDxfId="56" totalsRowDxfId="55"/>
    <tableColumn id="6" name="Fullfilled_By" dataDxfId="54" totalsRowDxfId="53"/>
    <tableColumn id="7" name="Product Name" dataDxfId="52" totalsRowDxfId="51"/>
    <tableColumn id="8" name="Product Type" dataDxfId="50" totalsRowDxfId="49"/>
    <tableColumn id="9" name="Product_ID" dataDxfId="48" totalsRowDxfId="47"/>
    <tableColumn id="10" name="Orders" dataDxfId="46" totalsRowDxfId="45"/>
    <tableColumn id="11" name="Order_Type" dataDxfId="44" totalsRowDxfId="43"/>
    <tableColumn id="12" name="Sales_Volume" dataDxfId="42" totalsRowDxfId="41"/>
    <tableColumn id="13" name="Sales_Revenue" dataDxfId="40" totalsRowDxfId="39"/>
    <tableColumn id="14" name="Payout" dataDxfId="38" totalsRowDxfId="37"/>
  </tableColumns>
  <tableStyleInfo name="Sale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L130">
  <tableColumns count="12">
    <tableColumn id="1" name="Date"/>
    <tableColumn id="2" name="Platforms"/>
    <tableColumn id="3" name="Spent"/>
    <tableColumn id="4" name="Sales"/>
    <tableColumn id="5" name="Order Tpe"/>
    <tableColumn id="6" name="Orders"/>
    <tableColumn id="7" name="ROAS"/>
    <tableColumn id="8" name="ACOS"/>
    <tableColumn id="9" name="Clicks"/>
    <tableColumn id="10" name="CTR"/>
    <tableColumn id="11" name="Impressions"/>
    <tableColumn id="12" name="CPC"/>
  </tableColumns>
  <tableStyleInfo name="Ads_Cost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F56">
  <tableColumns count="6">
    <tableColumn id="1" name="Date"/>
    <tableColumn id="2" name="Platforms"/>
    <tableColumn id="3" name="Product Name"/>
    <tableColumn id="4" name="Product ID"/>
    <tableColumn id="5" name="Feedbacks"/>
    <tableColumn id="6" name="Rating"/>
  </tableColumns>
  <tableStyleInfo name="Customer_Insights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1:S149" headerRowDxfId="36" dataDxfId="35" totalsRowDxfId="34">
  <tableColumns count="19">
    <tableColumn id="1" name="Order_Date" dataDxfId="33"/>
    <tableColumn id="2" name="Delivery_Date" dataDxfId="32"/>
    <tableColumn id="3" name="Quarter" dataDxfId="31"/>
    <tableColumn id="4" name="Locations" dataDxfId="30"/>
    <tableColumn id="5" name="Platforms" dataDxfId="29"/>
    <tableColumn id="6" name="Fullfilled_By" dataDxfId="28"/>
    <tableColumn id="7" name="Product Name" dataDxfId="27"/>
    <tableColumn id="8" name="Product_ID" dataDxfId="26"/>
    <tableColumn id="9" name="Return_Type" dataDxfId="25"/>
    <tableColumn id="10" name="Return_Reason" dataDxfId="24"/>
    <tableColumn id="11" name="Product_Condition" dataDxfId="23"/>
    <tableColumn id="12" name="Return_Qty" dataDxfId="22"/>
    <tableColumn id="13" name="Order_Qty" dataDxfId="21"/>
    <tableColumn id="14" name="Return_Volume" dataDxfId="20"/>
    <tableColumn id="15" name="Order_Volume" dataDxfId="19"/>
    <tableColumn id="16" name="Refund_Amount" dataDxfId="18"/>
    <tableColumn id="17" name="Resllable_Qty" dataDxfId="17"/>
    <tableColumn id="18" name="Safe-T Claim" dataDxfId="16"/>
    <tableColumn id="19" name="Order_Amount" dataDxfId="15"/>
  </tableColumns>
  <tableStyleInfo name="Return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1:J22">
  <tableColumns count="10">
    <tableColumn id="1" name="Item Name"/>
    <tableColumn id="2" name="Initial Qty"/>
    <tableColumn id="3" name="Added Qty"/>
    <tableColumn id="4" name="Review Return"/>
    <tableColumn id="5" name="Sold Qty"/>
    <tableColumn id="6" name="Return Qty"/>
    <tableColumn id="7" name="Transferred Qty"/>
    <tableColumn id="8" name="Remaining Qty"/>
    <tableColumn id="9" name="Total Qty"/>
    <tableColumn id="10" name="Total Pack of"/>
  </tableColumns>
  <tableStyleInfo name="Inventory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35">
  <tableColumns count="4">
    <tableColumn id="1" name="Date"/>
    <tableColumn id="2" name="Payement Type"/>
    <tableColumn id="3" name="Platforms"/>
    <tableColumn id="4" name="Amount"/>
  </tableColumns>
  <tableStyleInfo name="Disbursements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252">
  <tableColumns count="4">
    <tableColumn id="1" name="Date"/>
    <tableColumn id="2" name="Item Name"/>
    <tableColumn id="3" name="Added/Transferred Quantity"/>
    <tableColumn id="4" name="Type"/>
  </tableColumns>
  <tableStyleInfo name="Added_Stock-style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A1:D6">
  <tableColumns count="4">
    <tableColumn id="1" name="Period"/>
    <tableColumn id="2" name="Year"/>
    <tableColumn id="3" name="Currency"/>
    <tableColumn id="4" name="TargetAmount"/>
  </tableColumns>
  <tableStyleInfo name="Target_List-style" showFirstColumn="1" showLastColumn="1" showRowStripes="1" showColumnStripes="0"/>
</table>
</file>

<file path=xl/tables/table9.xml><?xml version="1.0" encoding="utf-8"?>
<table xmlns="http://schemas.openxmlformats.org/spreadsheetml/2006/main" id="11" name="Table11" displayName="Table11" ref="A1:J12" totalsRowShown="0" headerRowDxfId="14" dataDxfId="12" headerRowBorderDxfId="13" tableBorderDxfId="11" totalsRowBorderDxfId="10">
  <autoFilter ref="A1:J12"/>
  <tableColumns count="10">
    <tableColumn id="1" name="Order Date" dataDxfId="9"/>
    <tableColumn id="9" name="Platform" dataDxfId="8"/>
    <tableColumn id="2" name="Order ID" dataDxfId="7"/>
    <tableColumn id="3" name="ASIN" dataDxfId="6"/>
    <tableColumn id="4" name="Product" dataDxfId="5"/>
    <tableColumn id="5" name="Keywords" dataDxfId="4"/>
    <tableColumn id="6" name="Buyer Name" dataDxfId="3"/>
    <tableColumn id="7" name="Amount" dataDxfId="2"/>
    <tableColumn id="10" name="Invoice" dataDxfId="1"/>
    <tableColumn id="8" name="Status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6EAC1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53"/>
  <sheetViews>
    <sheetView workbookViewId="0">
      <pane ySplit="1" topLeftCell="A675" activePane="bottomLeft" state="frozen"/>
      <selection pane="bottomLeft" activeCell="A688" sqref="A688"/>
    </sheetView>
  </sheetViews>
  <sheetFormatPr defaultColWidth="14.42578125" defaultRowHeight="15" customHeight="1" x14ac:dyDescent="0.25"/>
  <cols>
    <col min="1" max="1" width="29" customWidth="1"/>
    <col min="2" max="2" width="14.28515625" customWidth="1"/>
    <col min="3" max="3" width="11" customWidth="1"/>
    <col min="4" max="4" width="19.85546875" bestFit="1" customWidth="1"/>
    <col min="5" max="5" width="17.7109375" customWidth="1"/>
    <col min="6" max="6" width="12.7109375" customWidth="1"/>
    <col min="7" max="7" width="44.42578125" style="159" bestFit="1" customWidth="1"/>
    <col min="8" max="8" width="13.7109375" customWidth="1"/>
    <col min="9" max="9" width="37.140625" bestFit="1" customWidth="1"/>
    <col min="10" max="10" width="26.28515625" customWidth="1"/>
    <col min="11" max="13" width="15.42578125" customWidth="1"/>
    <col min="14" max="14" width="19.42578125" customWidth="1"/>
    <col min="15" max="26" width="8.7109375" customWidth="1"/>
  </cols>
  <sheetData>
    <row r="1" spans="1:26" s="103" customFormat="1" ht="21" customHeight="1" x14ac:dyDescent="0.25">
      <c r="A1" s="101" t="s">
        <v>0</v>
      </c>
      <c r="B1" s="154" t="s">
        <v>283</v>
      </c>
      <c r="C1" s="100" t="s">
        <v>1</v>
      </c>
      <c r="D1" s="100" t="s">
        <v>2</v>
      </c>
      <c r="E1" s="100" t="s">
        <v>3</v>
      </c>
      <c r="F1" s="100" t="s">
        <v>4</v>
      </c>
      <c r="G1" s="100" t="s">
        <v>5</v>
      </c>
      <c r="H1" s="100" t="s">
        <v>6</v>
      </c>
      <c r="I1" s="102" t="s">
        <v>7</v>
      </c>
      <c r="J1" s="100" t="s">
        <v>8</v>
      </c>
      <c r="K1" s="100" t="s">
        <v>9</v>
      </c>
      <c r="L1" s="100" t="s">
        <v>10</v>
      </c>
      <c r="M1" s="100" t="s">
        <v>11</v>
      </c>
      <c r="N1" s="100" t="s">
        <v>12</v>
      </c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spans="1:26" ht="14.25" customHeight="1" x14ac:dyDescent="0.25">
      <c r="A2" s="78">
        <v>45666</v>
      </c>
      <c r="B2" s="79">
        <v>0.76388888888888884</v>
      </c>
      <c r="C2" s="78" t="str">
        <f>"Q" &amp; CHOOSE(MONTH(Sales!$A2), "1", "1", "1", "2", "2", "2", "3", "3", "3", "4", "4", "4") &amp; "_" &amp; YEAR(Sales!$A2)</f>
        <v>Q1_2025</v>
      </c>
      <c r="D2" s="80" t="s">
        <v>13</v>
      </c>
      <c r="E2" s="81" t="s">
        <v>14</v>
      </c>
      <c r="F2" s="82" t="s">
        <v>15</v>
      </c>
      <c r="G2" s="82" t="s">
        <v>16</v>
      </c>
      <c r="H2" s="82" t="s">
        <v>17</v>
      </c>
      <c r="I2" s="82" t="s">
        <v>18</v>
      </c>
      <c r="J2" s="82">
        <v>1</v>
      </c>
      <c r="K2" s="82" t="s">
        <v>19</v>
      </c>
      <c r="L2" s="83">
        <v>1</v>
      </c>
      <c r="M2" s="84">
        <v>299</v>
      </c>
      <c r="N2" s="85">
        <v>0</v>
      </c>
    </row>
    <row r="3" spans="1:26" ht="14.25" customHeight="1" x14ac:dyDescent="0.25">
      <c r="A3" s="78">
        <v>45668</v>
      </c>
      <c r="B3" s="79">
        <v>0.74722222222222223</v>
      </c>
      <c r="C3" s="78" t="str">
        <f>"Q" &amp; CHOOSE(MONTH(Sales!$A3), "1", "1", "1", "2", "2", "2", "3", "3", "3", "4", "4", "4") &amp; "_" &amp; YEAR(Sales!$A3)</f>
        <v>Q1_2025</v>
      </c>
      <c r="D3" s="80" t="s">
        <v>13</v>
      </c>
      <c r="E3" s="81" t="s">
        <v>14</v>
      </c>
      <c r="F3" s="82" t="s">
        <v>15</v>
      </c>
      <c r="G3" s="82" t="s">
        <v>16</v>
      </c>
      <c r="H3" s="82" t="s">
        <v>20</v>
      </c>
      <c r="I3" s="82" t="s">
        <v>21</v>
      </c>
      <c r="J3" s="82">
        <v>1</v>
      </c>
      <c r="K3" s="82" t="s">
        <v>19</v>
      </c>
      <c r="L3" s="83">
        <v>2</v>
      </c>
      <c r="M3" s="84">
        <v>598</v>
      </c>
      <c r="N3" s="85">
        <v>0</v>
      </c>
    </row>
    <row r="4" spans="1:26" ht="14.25" customHeight="1" x14ac:dyDescent="0.25">
      <c r="A4" s="78">
        <v>45670</v>
      </c>
      <c r="B4" s="79">
        <v>45670.65625</v>
      </c>
      <c r="C4" s="78" t="str">
        <f>"Q" &amp; CHOOSE(MONTH(Sales!$A4), "1", "1", "1", "2", "2", "2", "3", "3", "3", "4", "4", "4") &amp; "_" &amp; YEAR(Sales!$A4)</f>
        <v>Q1_2025</v>
      </c>
      <c r="D4" s="80" t="s">
        <v>13</v>
      </c>
      <c r="E4" s="81" t="s">
        <v>14</v>
      </c>
      <c r="F4" s="82" t="s">
        <v>15</v>
      </c>
      <c r="G4" s="82" t="s">
        <v>16</v>
      </c>
      <c r="H4" s="82" t="s">
        <v>17</v>
      </c>
      <c r="I4" s="82" t="s">
        <v>18</v>
      </c>
      <c r="J4" s="82">
        <v>1</v>
      </c>
      <c r="K4" s="82" t="s">
        <v>22</v>
      </c>
      <c r="L4" s="83">
        <v>1</v>
      </c>
      <c r="M4" s="84">
        <v>295</v>
      </c>
      <c r="N4" s="85">
        <v>0</v>
      </c>
    </row>
    <row r="5" spans="1:26" ht="14.25" customHeight="1" x14ac:dyDescent="0.25">
      <c r="A5" s="78">
        <v>45671</v>
      </c>
      <c r="B5" s="79">
        <v>0.7270833333333333</v>
      </c>
      <c r="C5" s="78" t="str">
        <f>"Q" &amp; CHOOSE(MONTH(Sales!$A5), "1", "1", "1", "2", "2", "2", "3", "3", "3", "4", "4", "4") &amp; "_" &amp; YEAR(Sales!$A5)</f>
        <v>Q1_2025</v>
      </c>
      <c r="D5" s="80" t="s">
        <v>13</v>
      </c>
      <c r="E5" s="81" t="s">
        <v>14</v>
      </c>
      <c r="F5" s="82" t="s">
        <v>15</v>
      </c>
      <c r="G5" s="82" t="s">
        <v>16</v>
      </c>
      <c r="H5" s="82" t="s">
        <v>17</v>
      </c>
      <c r="I5" s="82" t="s">
        <v>18</v>
      </c>
      <c r="J5" s="82">
        <v>1</v>
      </c>
      <c r="K5" s="82" t="s">
        <v>19</v>
      </c>
      <c r="L5" s="83">
        <v>1</v>
      </c>
      <c r="M5" s="84">
        <v>289</v>
      </c>
      <c r="N5" s="85">
        <v>0</v>
      </c>
    </row>
    <row r="6" spans="1:26" ht="14.25" customHeight="1" x14ac:dyDescent="0.25">
      <c r="A6" s="78">
        <v>45671</v>
      </c>
      <c r="B6" s="79">
        <v>0.97777777777777775</v>
      </c>
      <c r="C6" s="78" t="str">
        <f>"Q" &amp; CHOOSE(MONTH(Sales!$A6), "1", "1", "1", "2", "2", "2", "3", "3", "3", "4", "4", "4") &amp; "_" &amp; YEAR(Sales!$A6)</f>
        <v>Q1_2025</v>
      </c>
      <c r="D6" s="80" t="s">
        <v>13</v>
      </c>
      <c r="E6" s="81" t="s">
        <v>14</v>
      </c>
      <c r="F6" s="82" t="s">
        <v>15</v>
      </c>
      <c r="G6" s="82" t="s">
        <v>16</v>
      </c>
      <c r="H6" s="82" t="s">
        <v>17</v>
      </c>
      <c r="I6" s="82" t="s">
        <v>18</v>
      </c>
      <c r="J6" s="82">
        <v>1</v>
      </c>
      <c r="K6" s="82" t="s">
        <v>22</v>
      </c>
      <c r="L6" s="83">
        <v>1</v>
      </c>
      <c r="M6" s="84">
        <v>284</v>
      </c>
      <c r="N6" s="85">
        <v>0</v>
      </c>
    </row>
    <row r="7" spans="1:26" ht="14.25" customHeight="1" x14ac:dyDescent="0.25">
      <c r="A7" s="78">
        <v>45671</v>
      </c>
      <c r="B7" s="79">
        <v>0.97777777777777775</v>
      </c>
      <c r="C7" s="78" t="str">
        <f>"Q" &amp; CHOOSE(MONTH(Sales!$A7), "1", "1", "1", "2", "2", "2", "3", "3", "3", "4", "4", "4") &amp; "_" &amp; YEAR(Sales!$A7)</f>
        <v>Q1_2025</v>
      </c>
      <c r="D7" s="80" t="s">
        <v>13</v>
      </c>
      <c r="E7" s="81" t="s">
        <v>14</v>
      </c>
      <c r="F7" s="82" t="s">
        <v>15</v>
      </c>
      <c r="G7" s="82" t="s">
        <v>16</v>
      </c>
      <c r="H7" s="82" t="s">
        <v>17</v>
      </c>
      <c r="I7" s="82" t="s">
        <v>23</v>
      </c>
      <c r="J7" s="82">
        <v>1</v>
      </c>
      <c r="K7" s="82" t="s">
        <v>22</v>
      </c>
      <c r="L7" s="83">
        <v>1</v>
      </c>
      <c r="M7" s="84">
        <v>299</v>
      </c>
      <c r="N7" s="85">
        <v>0</v>
      </c>
    </row>
    <row r="8" spans="1:26" ht="14.25" customHeight="1" x14ac:dyDescent="0.25">
      <c r="A8" s="78">
        <v>45677</v>
      </c>
      <c r="B8" s="79">
        <v>0.98263888888888884</v>
      </c>
      <c r="C8" s="78" t="str">
        <f>"Q" &amp; CHOOSE(MONTH(Sales!$A8), "1", "1", "1", "2", "2", "2", "3", "3", "3", "4", "4", "4") &amp; "_" &amp; YEAR(Sales!$A8)</f>
        <v>Q1_2025</v>
      </c>
      <c r="D8" s="80" t="s">
        <v>13</v>
      </c>
      <c r="E8" s="81" t="s">
        <v>14</v>
      </c>
      <c r="F8" s="82" t="s">
        <v>15</v>
      </c>
      <c r="G8" s="82" t="s">
        <v>24</v>
      </c>
      <c r="H8" s="82" t="s">
        <v>20</v>
      </c>
      <c r="I8" s="82" t="s">
        <v>25</v>
      </c>
      <c r="J8" s="82">
        <v>1</v>
      </c>
      <c r="K8" s="82" t="s">
        <v>22</v>
      </c>
      <c r="L8" s="83">
        <v>3</v>
      </c>
      <c r="M8" s="84">
        <v>199</v>
      </c>
      <c r="N8" s="85">
        <v>0</v>
      </c>
    </row>
    <row r="9" spans="1:26" ht="14.25" customHeight="1" x14ac:dyDescent="0.25">
      <c r="A9" s="78">
        <v>45677</v>
      </c>
      <c r="B9" s="79">
        <v>0.53263888888888888</v>
      </c>
      <c r="C9" s="78" t="str">
        <f>"Q" &amp; CHOOSE(MONTH(Sales!$A9), "1", "1", "1", "2", "2", "2", "3", "3", "3", "4", "4", "4") &amp; "_" &amp; YEAR(Sales!$A9)</f>
        <v>Q1_2025</v>
      </c>
      <c r="D9" s="80" t="s">
        <v>13</v>
      </c>
      <c r="E9" s="81" t="s">
        <v>14</v>
      </c>
      <c r="F9" s="82" t="s">
        <v>15</v>
      </c>
      <c r="G9" s="82" t="s">
        <v>24</v>
      </c>
      <c r="H9" s="82" t="s">
        <v>20</v>
      </c>
      <c r="I9" s="82" t="s">
        <v>26</v>
      </c>
      <c r="J9" s="82">
        <v>2</v>
      </c>
      <c r="K9" s="82" t="s">
        <v>22</v>
      </c>
      <c r="L9" s="83">
        <v>12</v>
      </c>
      <c r="M9" s="84">
        <v>798</v>
      </c>
      <c r="N9" s="85">
        <v>0</v>
      </c>
    </row>
    <row r="10" spans="1:26" ht="14.25" customHeight="1" x14ac:dyDescent="0.25">
      <c r="A10" s="78">
        <v>45678</v>
      </c>
      <c r="B10" s="79">
        <v>0.69374999999999998</v>
      </c>
      <c r="C10" s="78" t="str">
        <f>"Q" &amp; CHOOSE(MONTH(Sales!$A10), "1", "1", "1", "2", "2", "2", "3", "3", "3", "4", "4", "4") &amp; "_" &amp; YEAR(Sales!$A10)</f>
        <v>Q1_2025</v>
      </c>
      <c r="D10" s="80" t="s">
        <v>13</v>
      </c>
      <c r="E10" s="81" t="s">
        <v>14</v>
      </c>
      <c r="F10" s="82" t="s">
        <v>15</v>
      </c>
      <c r="G10" s="82" t="s">
        <v>16</v>
      </c>
      <c r="H10" s="82" t="s">
        <v>17</v>
      </c>
      <c r="I10" s="82" t="s">
        <v>27</v>
      </c>
      <c r="J10" s="82">
        <v>1</v>
      </c>
      <c r="K10" s="82" t="s">
        <v>22</v>
      </c>
      <c r="L10" s="83">
        <v>1</v>
      </c>
      <c r="M10" s="84">
        <v>249</v>
      </c>
      <c r="N10" s="85">
        <v>0</v>
      </c>
    </row>
    <row r="11" spans="1:26" ht="14.25" customHeight="1" x14ac:dyDescent="0.25">
      <c r="A11" s="78">
        <v>45678</v>
      </c>
      <c r="B11" s="79">
        <v>0.94652777777777775</v>
      </c>
      <c r="C11" s="78" t="str">
        <f>"Q" &amp; CHOOSE(MONTH(Sales!$A11), "1", "1", "1", "2", "2", "2", "3", "3", "3", "4", "4", "4") &amp; "_" &amp; YEAR(Sales!$A11)</f>
        <v>Q1_2025</v>
      </c>
      <c r="D11" s="80" t="s">
        <v>13</v>
      </c>
      <c r="E11" s="81" t="s">
        <v>14</v>
      </c>
      <c r="F11" s="82" t="s">
        <v>15</v>
      </c>
      <c r="G11" s="82" t="s">
        <v>24</v>
      </c>
      <c r="H11" s="82" t="s">
        <v>20</v>
      </c>
      <c r="I11" s="82" t="s">
        <v>25</v>
      </c>
      <c r="J11" s="82">
        <v>1</v>
      </c>
      <c r="K11" s="82" t="s">
        <v>22</v>
      </c>
      <c r="L11" s="83">
        <v>3</v>
      </c>
      <c r="M11" s="84">
        <v>249</v>
      </c>
      <c r="N11" s="85">
        <v>0</v>
      </c>
    </row>
    <row r="12" spans="1:26" ht="14.25" customHeight="1" x14ac:dyDescent="0.25">
      <c r="A12" s="78">
        <v>45679</v>
      </c>
      <c r="B12" s="79">
        <v>0.47430555555555554</v>
      </c>
      <c r="C12" s="78" t="str">
        <f>"Q" &amp; CHOOSE(MONTH(Sales!$A12), "1", "1", "1", "2", "2", "2", "3", "3", "3", "4", "4", "4") &amp; "_" &amp; YEAR(Sales!$A12)</f>
        <v>Q1_2025</v>
      </c>
      <c r="D12" s="80" t="s">
        <v>13</v>
      </c>
      <c r="E12" s="81" t="s">
        <v>14</v>
      </c>
      <c r="F12" s="82" t="s">
        <v>15</v>
      </c>
      <c r="G12" s="82" t="s">
        <v>16</v>
      </c>
      <c r="H12" s="82" t="s">
        <v>17</v>
      </c>
      <c r="I12" s="82" t="s">
        <v>18</v>
      </c>
      <c r="J12" s="82">
        <v>1</v>
      </c>
      <c r="K12" s="82" t="s">
        <v>22</v>
      </c>
      <c r="L12" s="83">
        <v>1</v>
      </c>
      <c r="M12" s="84">
        <v>249</v>
      </c>
      <c r="N12" s="85">
        <v>0</v>
      </c>
    </row>
    <row r="13" spans="1:26" ht="14.25" customHeight="1" x14ac:dyDescent="0.25">
      <c r="A13" s="78">
        <v>45681</v>
      </c>
      <c r="B13" s="79">
        <v>2.9861111111111113E-2</v>
      </c>
      <c r="C13" s="78" t="str">
        <f>"Q" &amp; CHOOSE(MONTH(Sales!$A13), "1", "1", "1", "2", "2", "2", "3", "3", "3", "4", "4", "4") &amp; "_" &amp; YEAR(Sales!$A13)</f>
        <v>Q1_2025</v>
      </c>
      <c r="D13" s="80" t="s">
        <v>13</v>
      </c>
      <c r="E13" s="81" t="s">
        <v>14</v>
      </c>
      <c r="F13" s="82" t="s">
        <v>15</v>
      </c>
      <c r="G13" s="82" t="s">
        <v>16</v>
      </c>
      <c r="H13" s="82" t="s">
        <v>17</v>
      </c>
      <c r="I13" s="82" t="s">
        <v>23</v>
      </c>
      <c r="J13" s="82">
        <v>1</v>
      </c>
      <c r="K13" s="82" t="s">
        <v>22</v>
      </c>
      <c r="L13" s="83">
        <v>1</v>
      </c>
      <c r="M13" s="84">
        <v>259</v>
      </c>
      <c r="N13" s="85">
        <v>0</v>
      </c>
    </row>
    <row r="14" spans="1:26" ht="14.25" customHeight="1" x14ac:dyDescent="0.25">
      <c r="A14" s="78">
        <v>45681</v>
      </c>
      <c r="B14" s="79">
        <v>0.74097222222222225</v>
      </c>
      <c r="C14" s="78" t="str">
        <f>"Q" &amp; CHOOSE(MONTH(Sales!$A14), "1", "1", "1", "2", "2", "2", "3", "3", "3", "4", "4", "4") &amp; "_" &amp; YEAR(Sales!$A14)</f>
        <v>Q1_2025</v>
      </c>
      <c r="D14" s="80" t="s">
        <v>13</v>
      </c>
      <c r="E14" s="81" t="s">
        <v>14</v>
      </c>
      <c r="F14" s="82" t="s">
        <v>15</v>
      </c>
      <c r="G14" s="82" t="s">
        <v>28</v>
      </c>
      <c r="H14" s="82" t="s">
        <v>17</v>
      </c>
      <c r="I14" s="82" t="s">
        <v>29</v>
      </c>
      <c r="J14" s="82">
        <v>1</v>
      </c>
      <c r="K14" s="82" t="s">
        <v>19</v>
      </c>
      <c r="L14" s="83">
        <v>1</v>
      </c>
      <c r="M14" s="84">
        <v>427</v>
      </c>
      <c r="N14" s="85">
        <v>0</v>
      </c>
    </row>
    <row r="15" spans="1:26" ht="14.25" customHeight="1" x14ac:dyDescent="0.25">
      <c r="A15" s="78">
        <v>45684</v>
      </c>
      <c r="B15" s="79">
        <v>0.45624999999999999</v>
      </c>
      <c r="C15" s="78" t="str">
        <f>"Q" &amp; CHOOSE(MONTH(Sales!$A15), "1", "1", "1", "2", "2", "2", "3", "3", "3", "4", "4", "4") &amp; "_" &amp; YEAR(Sales!$A15)</f>
        <v>Q1_2025</v>
      </c>
      <c r="D15" s="80" t="s">
        <v>13</v>
      </c>
      <c r="E15" s="81" t="s">
        <v>14</v>
      </c>
      <c r="F15" s="82" t="s">
        <v>15</v>
      </c>
      <c r="G15" s="82" t="s">
        <v>28</v>
      </c>
      <c r="H15" s="82" t="s">
        <v>17</v>
      </c>
      <c r="I15" s="82" t="s">
        <v>29</v>
      </c>
      <c r="J15" s="82">
        <v>1</v>
      </c>
      <c r="K15" s="82" t="s">
        <v>22</v>
      </c>
      <c r="L15" s="83">
        <v>1</v>
      </c>
      <c r="M15" s="84">
        <v>759</v>
      </c>
      <c r="N15" s="85">
        <v>0</v>
      </c>
    </row>
    <row r="16" spans="1:26" ht="14.25" customHeight="1" x14ac:dyDescent="0.25">
      <c r="A16" s="78">
        <v>45684</v>
      </c>
      <c r="B16" s="79">
        <v>45685</v>
      </c>
      <c r="C16" s="78" t="str">
        <f>"Q" &amp; CHOOSE(MONTH(Sales!$A16), "1", "1", "1", "2", "2", "2", "3", "3", "3", "4", "4", "4") &amp; "_" &amp; YEAR(Sales!$A16)</f>
        <v>Q1_2025</v>
      </c>
      <c r="D16" s="80" t="s">
        <v>13</v>
      </c>
      <c r="E16" s="81" t="s">
        <v>30</v>
      </c>
      <c r="F16" s="82" t="s">
        <v>15</v>
      </c>
      <c r="G16" s="82" t="s">
        <v>16</v>
      </c>
      <c r="H16" s="82" t="s">
        <v>20</v>
      </c>
      <c r="I16" s="82" t="s">
        <v>31</v>
      </c>
      <c r="J16" s="82">
        <v>1</v>
      </c>
      <c r="K16" s="82" t="s">
        <v>22</v>
      </c>
      <c r="L16" s="83">
        <v>7</v>
      </c>
      <c r="M16" s="84">
        <v>1419</v>
      </c>
      <c r="N16" s="85">
        <v>0</v>
      </c>
    </row>
    <row r="17" spans="1:14" ht="14.25" customHeight="1" x14ac:dyDescent="0.25">
      <c r="A17" s="78">
        <v>45685</v>
      </c>
      <c r="B17" s="79">
        <v>0.16527777777777777</v>
      </c>
      <c r="C17" s="78" t="str">
        <f>"Q" &amp; CHOOSE(MONTH(Sales!$A17), "1", "1", "1", "2", "2", "2", "3", "3", "3", "4", "4", "4") &amp; "_" &amp; YEAR(Sales!$A17)</f>
        <v>Q1_2025</v>
      </c>
      <c r="D17" s="80" t="s">
        <v>13</v>
      </c>
      <c r="E17" s="81" t="s">
        <v>14</v>
      </c>
      <c r="F17" s="82" t="s">
        <v>15</v>
      </c>
      <c r="G17" s="82" t="s">
        <v>16</v>
      </c>
      <c r="H17" s="82" t="s">
        <v>20</v>
      </c>
      <c r="I17" s="82" t="s">
        <v>18</v>
      </c>
      <c r="J17" s="82">
        <v>1</v>
      </c>
      <c r="K17" s="82" t="s">
        <v>22</v>
      </c>
      <c r="L17" s="83">
        <v>1</v>
      </c>
      <c r="M17" s="84">
        <v>269</v>
      </c>
      <c r="N17" s="85">
        <v>0</v>
      </c>
    </row>
    <row r="18" spans="1:14" ht="14.25" customHeight="1" x14ac:dyDescent="0.25">
      <c r="A18" s="78">
        <v>45685</v>
      </c>
      <c r="B18" s="79">
        <v>0.74583333333333335</v>
      </c>
      <c r="C18" s="78" t="str">
        <f>"Q" &amp; CHOOSE(MONTH(Sales!$A18), "1", "1", "1", "2", "2", "2", "3", "3", "3", "4", "4", "4") &amp; "_" &amp; YEAR(Sales!$A18)</f>
        <v>Q1_2025</v>
      </c>
      <c r="D18" s="80" t="s">
        <v>13</v>
      </c>
      <c r="E18" s="81" t="s">
        <v>14</v>
      </c>
      <c r="F18" s="82" t="s">
        <v>15</v>
      </c>
      <c r="G18" s="82" t="s">
        <v>32</v>
      </c>
      <c r="H18" s="82" t="s">
        <v>20</v>
      </c>
      <c r="I18" s="82" t="s">
        <v>33</v>
      </c>
      <c r="J18" s="82">
        <v>1</v>
      </c>
      <c r="K18" s="82" t="s">
        <v>22</v>
      </c>
      <c r="L18" s="83">
        <v>1</v>
      </c>
      <c r="M18" s="84">
        <v>299</v>
      </c>
      <c r="N18" s="85">
        <v>0</v>
      </c>
    </row>
    <row r="19" spans="1:14" ht="14.25" customHeight="1" x14ac:dyDescent="0.25">
      <c r="A19" s="78">
        <v>45686</v>
      </c>
      <c r="B19" s="79">
        <v>0.59444444444444444</v>
      </c>
      <c r="C19" s="78" t="str">
        <f>"Q" &amp; CHOOSE(MONTH(Sales!$A19), "1", "1", "1", "2", "2", "2", "3", "3", "3", "4", "4", "4") &amp; "_" &amp; YEAR(Sales!$A19)</f>
        <v>Q1_2025</v>
      </c>
      <c r="D19" s="80" t="s">
        <v>13</v>
      </c>
      <c r="E19" s="81" t="s">
        <v>14</v>
      </c>
      <c r="F19" s="82" t="s">
        <v>15</v>
      </c>
      <c r="G19" s="82" t="s">
        <v>16</v>
      </c>
      <c r="H19" s="82" t="s">
        <v>17</v>
      </c>
      <c r="I19" s="82" t="s">
        <v>34</v>
      </c>
      <c r="J19" s="82">
        <v>1</v>
      </c>
      <c r="K19" s="82" t="s">
        <v>22</v>
      </c>
      <c r="L19" s="83">
        <v>1</v>
      </c>
      <c r="M19" s="84">
        <v>259</v>
      </c>
      <c r="N19" s="85">
        <v>0</v>
      </c>
    </row>
    <row r="20" spans="1:14" ht="14.25" customHeight="1" x14ac:dyDescent="0.25">
      <c r="A20" s="78">
        <v>45686</v>
      </c>
      <c r="B20" s="79">
        <v>0.48749999999999999</v>
      </c>
      <c r="C20" s="78" t="str">
        <f>"Q" &amp; CHOOSE(MONTH(Sales!$A20), "1", "1", "1", "2", "2", "2", "3", "3", "3", "4", "4", "4") &amp; "_" &amp; YEAR(Sales!$A20)</f>
        <v>Q1_2025</v>
      </c>
      <c r="D20" s="80" t="s">
        <v>13</v>
      </c>
      <c r="E20" s="81" t="s">
        <v>14</v>
      </c>
      <c r="F20" s="82" t="s">
        <v>15</v>
      </c>
      <c r="G20" s="82" t="s">
        <v>35</v>
      </c>
      <c r="H20" s="82" t="s">
        <v>20</v>
      </c>
      <c r="I20" s="82" t="s">
        <v>36</v>
      </c>
      <c r="J20" s="82">
        <v>1</v>
      </c>
      <c r="K20" s="82" t="s">
        <v>22</v>
      </c>
      <c r="L20" s="83">
        <v>5</v>
      </c>
      <c r="M20" s="84">
        <v>299</v>
      </c>
      <c r="N20" s="85">
        <v>0</v>
      </c>
    </row>
    <row r="21" spans="1:14" ht="14.25" customHeight="1" x14ac:dyDescent="0.25">
      <c r="A21" s="78">
        <v>45687</v>
      </c>
      <c r="B21" s="79">
        <v>45687</v>
      </c>
      <c r="C21" s="78" t="str">
        <f>"Q" &amp; CHOOSE(MONTH(Sales!$A21), "1", "1", "1", "2", "2", "2", "3", "3", "3", "4", "4", "4") &amp; "_" &amp; YEAR(Sales!$A21)</f>
        <v>Q1_2025</v>
      </c>
      <c r="D21" s="80" t="s">
        <v>13</v>
      </c>
      <c r="E21" s="81" t="s">
        <v>30</v>
      </c>
      <c r="F21" s="82" t="s">
        <v>15</v>
      </c>
      <c r="G21" s="82" t="s">
        <v>37</v>
      </c>
      <c r="H21" s="82" t="s">
        <v>17</v>
      </c>
      <c r="I21" s="82" t="s">
        <v>38</v>
      </c>
      <c r="J21" s="82">
        <v>1</v>
      </c>
      <c r="K21" s="82" t="s">
        <v>22</v>
      </c>
      <c r="L21" s="83">
        <v>1</v>
      </c>
      <c r="M21" s="84">
        <v>179</v>
      </c>
      <c r="N21" s="85">
        <v>0</v>
      </c>
    </row>
    <row r="22" spans="1:14" ht="14.25" customHeight="1" x14ac:dyDescent="0.25">
      <c r="A22" s="78">
        <v>45687</v>
      </c>
      <c r="B22" s="79">
        <v>45687</v>
      </c>
      <c r="C22" s="78" t="str">
        <f>"Q" &amp; CHOOSE(MONTH(Sales!$A22), "1", "1", "1", "2", "2", "2", "3", "3", "3", "4", "4", "4") &amp; "_" &amp; YEAR(Sales!$A22)</f>
        <v>Q1_2025</v>
      </c>
      <c r="D22" s="80" t="s">
        <v>13</v>
      </c>
      <c r="E22" s="81" t="s">
        <v>30</v>
      </c>
      <c r="F22" s="82" t="s">
        <v>15</v>
      </c>
      <c r="G22" s="82" t="s">
        <v>37</v>
      </c>
      <c r="H22" s="82" t="s">
        <v>17</v>
      </c>
      <c r="I22" s="82" t="s">
        <v>38</v>
      </c>
      <c r="J22" s="82">
        <v>1</v>
      </c>
      <c r="K22" s="82" t="s">
        <v>22</v>
      </c>
      <c r="L22" s="83">
        <v>1</v>
      </c>
      <c r="M22" s="84">
        <v>179</v>
      </c>
      <c r="N22" s="85">
        <v>170</v>
      </c>
    </row>
    <row r="23" spans="1:14" ht="14.25" customHeight="1" x14ac:dyDescent="0.25">
      <c r="A23" s="78">
        <v>45687</v>
      </c>
      <c r="B23" s="79">
        <v>0.72986111111111107</v>
      </c>
      <c r="C23" s="78" t="str">
        <f>"Q" &amp; CHOOSE(MONTH(Sales!$A23), "1", "1", "1", "2", "2", "2", "3", "3", "3", "4", "4", "4") &amp; "_" &amp; YEAR(Sales!$A23)</f>
        <v>Q1_2025</v>
      </c>
      <c r="D23" s="80" t="s">
        <v>13</v>
      </c>
      <c r="E23" s="81" t="s">
        <v>14</v>
      </c>
      <c r="F23" s="82" t="s">
        <v>15</v>
      </c>
      <c r="G23" s="82" t="s">
        <v>39</v>
      </c>
      <c r="H23" s="82" t="s">
        <v>17</v>
      </c>
      <c r="I23" s="82" t="s">
        <v>40</v>
      </c>
      <c r="J23" s="82">
        <v>1</v>
      </c>
      <c r="K23" s="82" t="s">
        <v>22</v>
      </c>
      <c r="L23" s="83">
        <v>1</v>
      </c>
      <c r="M23" s="84">
        <v>595</v>
      </c>
      <c r="N23" s="85">
        <v>0</v>
      </c>
    </row>
    <row r="24" spans="1:14" ht="14.25" customHeight="1" x14ac:dyDescent="0.25">
      <c r="A24" s="78">
        <v>45688</v>
      </c>
      <c r="B24" s="79">
        <v>0.54236111111111107</v>
      </c>
      <c r="C24" s="78" t="str">
        <f>"Q" &amp; CHOOSE(MONTH(Sales!$A24), "1", "1", "1", "2", "2", "2", "3", "3", "3", "4", "4", "4") &amp; "_" &amp; YEAR(Sales!$A24)</f>
        <v>Q1_2025</v>
      </c>
      <c r="D24" s="80" t="s">
        <v>13</v>
      </c>
      <c r="E24" s="81" t="s">
        <v>14</v>
      </c>
      <c r="F24" s="82" t="s">
        <v>15</v>
      </c>
      <c r="G24" s="82" t="s">
        <v>16</v>
      </c>
      <c r="H24" s="82" t="s">
        <v>17</v>
      </c>
      <c r="I24" s="82" t="s">
        <v>41</v>
      </c>
      <c r="J24" s="82">
        <v>1</v>
      </c>
      <c r="K24" s="82" t="s">
        <v>22</v>
      </c>
      <c r="L24" s="83">
        <v>1</v>
      </c>
      <c r="M24" s="84">
        <v>279</v>
      </c>
      <c r="N24" s="85">
        <v>0</v>
      </c>
    </row>
    <row r="25" spans="1:14" ht="14.25" customHeight="1" x14ac:dyDescent="0.25">
      <c r="A25" s="78">
        <v>45688</v>
      </c>
      <c r="B25" s="79">
        <v>45688</v>
      </c>
      <c r="C25" s="78" t="str">
        <f>"Q" &amp; CHOOSE(MONTH(Sales!$A25), "1", "1", "1", "2", "2", "2", "3", "3", "3", "4", "4", "4") &amp; "_" &amp; YEAR(Sales!$A25)</f>
        <v>Q1_2025</v>
      </c>
      <c r="D25" s="80" t="s">
        <v>13</v>
      </c>
      <c r="E25" s="81" t="s">
        <v>30</v>
      </c>
      <c r="F25" s="82" t="s">
        <v>15</v>
      </c>
      <c r="G25" s="82" t="s">
        <v>37</v>
      </c>
      <c r="H25" s="82" t="s">
        <v>17</v>
      </c>
      <c r="I25" s="82" t="s">
        <v>38</v>
      </c>
      <c r="J25" s="82">
        <v>1</v>
      </c>
      <c r="K25" s="82" t="s">
        <v>22</v>
      </c>
      <c r="L25" s="83">
        <v>1</v>
      </c>
      <c r="M25" s="84">
        <v>179</v>
      </c>
      <c r="N25" s="85">
        <v>170</v>
      </c>
    </row>
    <row r="26" spans="1:14" ht="14.25" customHeight="1" x14ac:dyDescent="0.25">
      <c r="A26" s="78">
        <v>45688</v>
      </c>
      <c r="B26" s="79">
        <v>0.60138888888888886</v>
      </c>
      <c r="C26" s="78" t="str">
        <f>"Q" &amp; CHOOSE(MONTH(Sales!$A26), "1", "1", "1", "2", "2", "2", "3", "3", "3", "4", "4", "4") &amp; "_" &amp; YEAR(Sales!$A26)</f>
        <v>Q1_2025</v>
      </c>
      <c r="D26" s="80" t="s">
        <v>13</v>
      </c>
      <c r="E26" s="81" t="s">
        <v>30</v>
      </c>
      <c r="F26" s="82" t="s">
        <v>15</v>
      </c>
      <c r="G26" s="82" t="s">
        <v>37</v>
      </c>
      <c r="H26" s="82" t="s">
        <v>17</v>
      </c>
      <c r="I26" s="82" t="s">
        <v>38</v>
      </c>
      <c r="J26" s="82">
        <v>1</v>
      </c>
      <c r="K26" s="82" t="s">
        <v>22</v>
      </c>
      <c r="L26" s="83">
        <v>1</v>
      </c>
      <c r="M26" s="84">
        <v>179</v>
      </c>
      <c r="N26" s="85">
        <v>170</v>
      </c>
    </row>
    <row r="27" spans="1:14" ht="14.25" customHeight="1" x14ac:dyDescent="0.25">
      <c r="A27" s="78">
        <v>45688</v>
      </c>
      <c r="B27" s="79">
        <v>0.75347222222222221</v>
      </c>
      <c r="C27" s="78" t="str">
        <f>"Q" &amp; CHOOSE(MONTH(Sales!$A27), "1", "1", "1", "2", "2", "2", "3", "3", "3", "4", "4", "4") &amp; "_" &amp; YEAR(Sales!$A27)</f>
        <v>Q1_2025</v>
      </c>
      <c r="D27" s="80" t="s">
        <v>13</v>
      </c>
      <c r="E27" s="81" t="s">
        <v>14</v>
      </c>
      <c r="F27" s="82" t="s">
        <v>15</v>
      </c>
      <c r="G27" s="82" t="s">
        <v>35</v>
      </c>
      <c r="H27" s="82" t="s">
        <v>20</v>
      </c>
      <c r="I27" s="82" t="s">
        <v>42</v>
      </c>
      <c r="J27" s="82">
        <v>1</v>
      </c>
      <c r="K27" s="82" t="s">
        <v>22</v>
      </c>
      <c r="L27" s="83">
        <v>3</v>
      </c>
      <c r="M27" s="84">
        <v>199</v>
      </c>
      <c r="N27" s="85">
        <v>0</v>
      </c>
    </row>
    <row r="28" spans="1:14" ht="14.25" customHeight="1" x14ac:dyDescent="0.25">
      <c r="A28" s="78">
        <v>45690</v>
      </c>
      <c r="B28" s="79">
        <v>0.52847222222222223</v>
      </c>
      <c r="C28" s="78" t="str">
        <f>"Q" &amp; CHOOSE(MONTH(Sales!$A28), "1", "1", "1", "2", "2", "2", "3", "3", "3", "4", "4", "4") &amp; "_" &amp; YEAR(Sales!$A28)</f>
        <v>Q1_2025</v>
      </c>
      <c r="D28" s="80" t="s">
        <v>13</v>
      </c>
      <c r="E28" s="81" t="s">
        <v>14</v>
      </c>
      <c r="F28" s="82" t="s">
        <v>15</v>
      </c>
      <c r="G28" s="82" t="s">
        <v>35</v>
      </c>
      <c r="H28" s="82" t="s">
        <v>20</v>
      </c>
      <c r="I28" s="82" t="s">
        <v>43</v>
      </c>
      <c r="J28" s="82">
        <v>1</v>
      </c>
      <c r="K28" s="82" t="s">
        <v>22</v>
      </c>
      <c r="L28" s="83">
        <v>6</v>
      </c>
      <c r="M28" s="84">
        <v>349</v>
      </c>
      <c r="N28" s="86">
        <v>0</v>
      </c>
    </row>
    <row r="29" spans="1:14" ht="14.25" customHeight="1" x14ac:dyDescent="0.25">
      <c r="A29" s="78">
        <v>45690</v>
      </c>
      <c r="B29" s="79">
        <v>0.74930555555555556</v>
      </c>
      <c r="C29" s="78" t="str">
        <f>"Q" &amp; CHOOSE(MONTH(Sales!$A29), "1", "1", "1", "2", "2", "2", "3", "3", "3", "4", "4", "4") &amp; "_" &amp; YEAR(Sales!$A29)</f>
        <v>Q1_2025</v>
      </c>
      <c r="D29" s="80" t="s">
        <v>13</v>
      </c>
      <c r="E29" s="81" t="s">
        <v>14</v>
      </c>
      <c r="F29" s="82" t="s">
        <v>15</v>
      </c>
      <c r="G29" s="82" t="s">
        <v>16</v>
      </c>
      <c r="H29" s="82" t="s">
        <v>17</v>
      </c>
      <c r="I29" s="82" t="s">
        <v>18</v>
      </c>
      <c r="J29" s="82">
        <v>1</v>
      </c>
      <c r="K29" s="82" t="s">
        <v>22</v>
      </c>
      <c r="L29" s="83">
        <v>1</v>
      </c>
      <c r="M29" s="84">
        <v>295</v>
      </c>
      <c r="N29" s="85">
        <v>0</v>
      </c>
    </row>
    <row r="30" spans="1:14" ht="14.25" customHeight="1" x14ac:dyDescent="0.25">
      <c r="A30" s="78">
        <v>45690</v>
      </c>
      <c r="B30" s="79">
        <v>12</v>
      </c>
      <c r="C30" s="78" t="str">
        <f>"Q" &amp; CHOOSE(MONTH(Sales!$A30), "1", "1", "1", "2", "2", "2", "3", "3", "3", "4", "4", "4") &amp; "_" &amp; YEAR(Sales!$A30)</f>
        <v>Q1_2025</v>
      </c>
      <c r="D30" s="80" t="s">
        <v>13</v>
      </c>
      <c r="E30" s="81" t="s">
        <v>30</v>
      </c>
      <c r="F30" s="82" t="s">
        <v>15</v>
      </c>
      <c r="G30" s="82" t="s">
        <v>37</v>
      </c>
      <c r="H30" s="82" t="s">
        <v>17</v>
      </c>
      <c r="I30" s="82" t="s">
        <v>38</v>
      </c>
      <c r="J30" s="82">
        <v>1</v>
      </c>
      <c r="K30" s="82" t="s">
        <v>22</v>
      </c>
      <c r="L30" s="83">
        <v>1</v>
      </c>
      <c r="M30" s="84">
        <v>179</v>
      </c>
      <c r="N30" s="85">
        <v>170</v>
      </c>
    </row>
    <row r="31" spans="1:14" ht="14.25" customHeight="1" x14ac:dyDescent="0.25">
      <c r="A31" s="78">
        <v>45690</v>
      </c>
      <c r="B31" s="79">
        <v>12</v>
      </c>
      <c r="C31" s="78" t="str">
        <f>"Q" &amp; CHOOSE(MONTH(Sales!$A31), "1", "1", "1", "2", "2", "2", "3", "3", "3", "4", "4", "4") &amp; "_" &amp; YEAR(Sales!$A31)</f>
        <v>Q1_2025</v>
      </c>
      <c r="D31" s="80" t="s">
        <v>13</v>
      </c>
      <c r="E31" s="81" t="s">
        <v>30</v>
      </c>
      <c r="F31" s="82" t="s">
        <v>15</v>
      </c>
      <c r="G31" s="82" t="s">
        <v>37</v>
      </c>
      <c r="H31" s="82" t="s">
        <v>17</v>
      </c>
      <c r="I31" s="82" t="s">
        <v>38</v>
      </c>
      <c r="J31" s="82">
        <v>1</v>
      </c>
      <c r="K31" s="82" t="s">
        <v>22</v>
      </c>
      <c r="L31" s="83">
        <v>1</v>
      </c>
      <c r="M31" s="84">
        <v>179</v>
      </c>
      <c r="N31" s="85">
        <v>170</v>
      </c>
    </row>
    <row r="32" spans="1:14" ht="14.25" customHeight="1" x14ac:dyDescent="0.25">
      <c r="A32" s="78">
        <v>45691</v>
      </c>
      <c r="B32" s="79">
        <v>0.62708333333333333</v>
      </c>
      <c r="C32" s="78" t="str">
        <f>"Q" &amp; CHOOSE(MONTH(Sales!$A32), "1", "1", "1", "2", "2", "2", "3", "3", "3", "4", "4", "4") &amp; "_" &amp; YEAR(Sales!$A32)</f>
        <v>Q1_2025</v>
      </c>
      <c r="D32" s="80" t="s">
        <v>13</v>
      </c>
      <c r="E32" s="81" t="s">
        <v>14</v>
      </c>
      <c r="F32" s="82" t="s">
        <v>15</v>
      </c>
      <c r="G32" s="82" t="s">
        <v>16</v>
      </c>
      <c r="H32" s="82" t="s">
        <v>20</v>
      </c>
      <c r="I32" s="82" t="s">
        <v>44</v>
      </c>
      <c r="J32" s="82">
        <v>1</v>
      </c>
      <c r="K32" s="82" t="s">
        <v>22</v>
      </c>
      <c r="L32" s="83">
        <v>5</v>
      </c>
      <c r="M32" s="84">
        <v>1190</v>
      </c>
      <c r="N32" s="85">
        <v>0</v>
      </c>
    </row>
    <row r="33" spans="1:14" ht="14.25" customHeight="1" x14ac:dyDescent="0.25">
      <c r="A33" s="78">
        <v>45691</v>
      </c>
      <c r="B33" s="79">
        <v>0.56805555555555554</v>
      </c>
      <c r="C33" s="78" t="str">
        <f>"Q" &amp; CHOOSE(MONTH(Sales!$A33), "1", "1", "1", "2", "2", "2", "3", "3", "3", "4", "4", "4") &amp; "_" &amp; YEAR(Sales!$A33)</f>
        <v>Q1_2025</v>
      </c>
      <c r="D33" s="80" t="s">
        <v>13</v>
      </c>
      <c r="E33" s="81" t="s">
        <v>14</v>
      </c>
      <c r="F33" s="82" t="s">
        <v>15</v>
      </c>
      <c r="G33" s="82" t="s">
        <v>35</v>
      </c>
      <c r="H33" s="82" t="s">
        <v>20</v>
      </c>
      <c r="I33" s="82" t="s">
        <v>45</v>
      </c>
      <c r="J33" s="82">
        <v>1</v>
      </c>
      <c r="K33" s="82" t="s">
        <v>22</v>
      </c>
      <c r="L33" s="83">
        <v>5</v>
      </c>
      <c r="M33" s="84">
        <v>299</v>
      </c>
      <c r="N33" s="85">
        <v>0</v>
      </c>
    </row>
    <row r="34" spans="1:14" ht="14.25" customHeight="1" x14ac:dyDescent="0.25">
      <c r="A34" s="78">
        <v>45691</v>
      </c>
      <c r="B34" s="79">
        <v>0.55833333333333335</v>
      </c>
      <c r="C34" s="78" t="str">
        <f>"Q" &amp; CHOOSE(MONTH(Sales!$A34), "1", "1", "1", "2", "2", "2", "3", "3", "3", "4", "4", "4") &amp; "_" &amp; YEAR(Sales!$A34)</f>
        <v>Q1_2025</v>
      </c>
      <c r="D34" s="80" t="s">
        <v>13</v>
      </c>
      <c r="E34" s="81" t="s">
        <v>14</v>
      </c>
      <c r="F34" s="82" t="s">
        <v>15</v>
      </c>
      <c r="G34" s="82" t="s">
        <v>46</v>
      </c>
      <c r="H34" s="82" t="s">
        <v>17</v>
      </c>
      <c r="I34" s="82" t="s">
        <v>40</v>
      </c>
      <c r="J34" s="82">
        <v>1</v>
      </c>
      <c r="K34" s="82" t="s">
        <v>22</v>
      </c>
      <c r="L34" s="83">
        <v>1</v>
      </c>
      <c r="M34" s="84">
        <v>595</v>
      </c>
      <c r="N34" s="85">
        <v>0</v>
      </c>
    </row>
    <row r="35" spans="1:14" ht="14.25" customHeight="1" x14ac:dyDescent="0.25">
      <c r="A35" s="78">
        <v>45691</v>
      </c>
      <c r="B35" s="79">
        <v>0.44166666666666665</v>
      </c>
      <c r="C35" s="78" t="str">
        <f>"Q" &amp; CHOOSE(MONTH(Sales!$A35), "1", "1", "1", "2", "2", "2", "3", "3", "3", "4", "4", "4") &amp; "_" &amp; YEAR(Sales!$A35)</f>
        <v>Q1_2025</v>
      </c>
      <c r="D35" s="80" t="s">
        <v>13</v>
      </c>
      <c r="E35" s="81" t="s">
        <v>14</v>
      </c>
      <c r="F35" s="82" t="s">
        <v>15</v>
      </c>
      <c r="G35" s="82" t="s">
        <v>24</v>
      </c>
      <c r="H35" s="82" t="s">
        <v>20</v>
      </c>
      <c r="I35" s="82" t="s">
        <v>25</v>
      </c>
      <c r="J35" s="82">
        <v>1</v>
      </c>
      <c r="K35" s="82" t="s">
        <v>22</v>
      </c>
      <c r="L35" s="83">
        <v>3</v>
      </c>
      <c r="M35" s="84">
        <v>249</v>
      </c>
      <c r="N35" s="85">
        <v>0</v>
      </c>
    </row>
    <row r="36" spans="1:14" ht="14.25" customHeight="1" x14ac:dyDescent="0.25">
      <c r="A36" s="78">
        <v>45691</v>
      </c>
      <c r="B36" s="79">
        <v>0.44166666666666665</v>
      </c>
      <c r="C36" s="78" t="str">
        <f>"Q" &amp; CHOOSE(MONTH(Sales!$A36), "1", "1", "1", "2", "2", "2", "3", "3", "3", "4", "4", "4") &amp; "_" &amp; YEAR(Sales!$A36)</f>
        <v>Q1_2025</v>
      </c>
      <c r="D36" s="80" t="s">
        <v>13</v>
      </c>
      <c r="E36" s="81" t="s">
        <v>14</v>
      </c>
      <c r="F36" s="82" t="s">
        <v>15</v>
      </c>
      <c r="G36" s="82" t="s">
        <v>16</v>
      </c>
      <c r="H36" s="82" t="s">
        <v>17</v>
      </c>
      <c r="I36" s="82" t="s">
        <v>47</v>
      </c>
      <c r="J36" s="82">
        <v>1</v>
      </c>
      <c r="K36" s="82" t="s">
        <v>48</v>
      </c>
      <c r="L36" s="83">
        <v>1</v>
      </c>
      <c r="M36" s="84">
        <v>0</v>
      </c>
      <c r="N36" s="85">
        <v>0</v>
      </c>
    </row>
    <row r="37" spans="1:14" ht="14.25" customHeight="1" x14ac:dyDescent="0.25">
      <c r="A37" s="78">
        <v>45691</v>
      </c>
      <c r="B37" s="79">
        <v>0.44166666666666665</v>
      </c>
      <c r="C37" s="78" t="str">
        <f>"Q" &amp; CHOOSE(MONTH(Sales!$A37), "1", "1", "1", "2", "2", "2", "3", "3", "3", "4", "4", "4") &amp; "_" &amp; YEAR(Sales!$A37)</f>
        <v>Q1_2025</v>
      </c>
      <c r="D37" s="80" t="s">
        <v>13</v>
      </c>
      <c r="E37" s="81" t="s">
        <v>14</v>
      </c>
      <c r="F37" s="82" t="s">
        <v>15</v>
      </c>
      <c r="G37" s="82" t="s">
        <v>16</v>
      </c>
      <c r="H37" s="82" t="s">
        <v>20</v>
      </c>
      <c r="I37" s="82" t="s">
        <v>49</v>
      </c>
      <c r="J37" s="82">
        <v>1</v>
      </c>
      <c r="K37" s="82" t="s">
        <v>22</v>
      </c>
      <c r="L37" s="83">
        <v>3</v>
      </c>
      <c r="M37" s="84">
        <v>799</v>
      </c>
      <c r="N37" s="85">
        <v>0</v>
      </c>
    </row>
    <row r="38" spans="1:14" ht="14.25" customHeight="1" x14ac:dyDescent="0.25">
      <c r="A38" s="78">
        <v>45691</v>
      </c>
      <c r="B38" s="79">
        <v>0.83611111111111114</v>
      </c>
      <c r="C38" s="78" t="str">
        <f>"Q" &amp; CHOOSE(MONTH(Sales!$A38), "1", "1", "1", "2", "2", "2", "3", "3", "3", "4", "4", "4") &amp; "_" &amp; YEAR(Sales!$A38)</f>
        <v>Q1_2025</v>
      </c>
      <c r="D38" s="80" t="s">
        <v>13</v>
      </c>
      <c r="E38" s="81" t="s">
        <v>14</v>
      </c>
      <c r="F38" s="82" t="s">
        <v>15</v>
      </c>
      <c r="G38" s="82" t="s">
        <v>46</v>
      </c>
      <c r="H38" s="82" t="s">
        <v>17</v>
      </c>
      <c r="I38" s="82" t="s">
        <v>50</v>
      </c>
      <c r="J38" s="82">
        <v>1</v>
      </c>
      <c r="K38" s="82" t="s">
        <v>22</v>
      </c>
      <c r="L38" s="83">
        <v>1</v>
      </c>
      <c r="M38" s="84">
        <v>649</v>
      </c>
      <c r="N38" s="85">
        <v>0</v>
      </c>
    </row>
    <row r="39" spans="1:14" ht="14.25" customHeight="1" x14ac:dyDescent="0.25">
      <c r="A39" s="78">
        <v>45691</v>
      </c>
      <c r="B39" s="79">
        <v>0.8979166666666667</v>
      </c>
      <c r="C39" s="78" t="str">
        <f>"Q" &amp; CHOOSE(MONTH(Sales!$A39), "1", "1", "1", "2", "2", "2", "3", "3", "3", "4", "4", "4") &amp; "_" &amp; YEAR(Sales!$A39)</f>
        <v>Q1_2025</v>
      </c>
      <c r="D39" s="80" t="s">
        <v>13</v>
      </c>
      <c r="E39" s="81" t="s">
        <v>14</v>
      </c>
      <c r="F39" s="82" t="s">
        <v>15</v>
      </c>
      <c r="G39" s="82" t="s">
        <v>35</v>
      </c>
      <c r="H39" s="82" t="s">
        <v>20</v>
      </c>
      <c r="I39" s="82" t="s">
        <v>51</v>
      </c>
      <c r="J39" s="82">
        <v>1</v>
      </c>
      <c r="K39" s="82" t="s">
        <v>22</v>
      </c>
      <c r="L39" s="83">
        <v>6</v>
      </c>
      <c r="M39" s="84">
        <v>349</v>
      </c>
      <c r="N39" s="85">
        <v>0</v>
      </c>
    </row>
    <row r="40" spans="1:14" ht="14.25" customHeight="1" x14ac:dyDescent="0.25">
      <c r="A40" s="78">
        <v>45691</v>
      </c>
      <c r="B40" s="79">
        <v>0.89930555555555558</v>
      </c>
      <c r="C40" s="78" t="str">
        <f>"Q" &amp; CHOOSE(MONTH(Sales!$A40), "1", "1", "1", "2", "2", "2", "3", "3", "3", "4", "4", "4") &amp; "_" &amp; YEAR(Sales!$A40)</f>
        <v>Q1_2025</v>
      </c>
      <c r="D40" s="80" t="s">
        <v>13</v>
      </c>
      <c r="E40" s="81" t="s">
        <v>14</v>
      </c>
      <c r="F40" s="82" t="s">
        <v>15</v>
      </c>
      <c r="G40" s="82" t="s">
        <v>35</v>
      </c>
      <c r="H40" s="82" t="s">
        <v>20</v>
      </c>
      <c r="I40" s="82" t="s">
        <v>51</v>
      </c>
      <c r="J40" s="82">
        <v>1</v>
      </c>
      <c r="K40" s="82" t="s">
        <v>22</v>
      </c>
      <c r="L40" s="83">
        <v>6</v>
      </c>
      <c r="M40" s="84">
        <v>349</v>
      </c>
      <c r="N40" s="85">
        <v>0</v>
      </c>
    </row>
    <row r="41" spans="1:14" ht="14.25" customHeight="1" x14ac:dyDescent="0.25">
      <c r="A41" s="78">
        <v>45691</v>
      </c>
      <c r="B41" s="79">
        <v>0.99930555555555556</v>
      </c>
      <c r="C41" s="78" t="str">
        <f>"Q" &amp; CHOOSE(MONTH(Sales!$A41), "1", "1", "1", "2", "2", "2", "3", "3", "3", "4", "4", "4") &amp; "_" &amp; YEAR(Sales!$A41)</f>
        <v>Q1_2025</v>
      </c>
      <c r="D41" s="80" t="s">
        <v>13</v>
      </c>
      <c r="E41" s="81" t="s">
        <v>14</v>
      </c>
      <c r="F41" s="82" t="s">
        <v>15</v>
      </c>
      <c r="G41" s="82" t="s">
        <v>24</v>
      </c>
      <c r="H41" s="82" t="s">
        <v>20</v>
      </c>
      <c r="I41" s="82" t="s">
        <v>52</v>
      </c>
      <c r="J41" s="82">
        <v>1</v>
      </c>
      <c r="K41" s="82" t="s">
        <v>22</v>
      </c>
      <c r="L41" s="83">
        <v>5</v>
      </c>
      <c r="M41" s="84">
        <v>399</v>
      </c>
      <c r="N41" s="85">
        <v>0</v>
      </c>
    </row>
    <row r="42" spans="1:14" ht="14.25" customHeight="1" x14ac:dyDescent="0.25">
      <c r="A42" s="78">
        <v>45692</v>
      </c>
      <c r="B42" s="79">
        <v>12</v>
      </c>
      <c r="C42" s="78" t="str">
        <f>"Q" &amp; CHOOSE(MONTH(Sales!$A42), "1", "1", "1", "2", "2", "2", "3", "3", "3", "4", "4", "4") &amp; "_" &amp; YEAR(Sales!$A42)</f>
        <v>Q1_2025</v>
      </c>
      <c r="D42" s="80" t="s">
        <v>13</v>
      </c>
      <c r="E42" s="81" t="s">
        <v>30</v>
      </c>
      <c r="F42" s="82" t="s">
        <v>15</v>
      </c>
      <c r="G42" s="82" t="s">
        <v>37</v>
      </c>
      <c r="H42" s="82" t="s">
        <v>17</v>
      </c>
      <c r="I42" s="82" t="s">
        <v>38</v>
      </c>
      <c r="J42" s="82">
        <v>1</v>
      </c>
      <c r="K42" s="82" t="s">
        <v>22</v>
      </c>
      <c r="L42" s="83">
        <v>1</v>
      </c>
      <c r="M42" s="84">
        <v>179</v>
      </c>
      <c r="N42" s="85">
        <v>170</v>
      </c>
    </row>
    <row r="43" spans="1:14" ht="14.25" customHeight="1" x14ac:dyDescent="0.25">
      <c r="A43" s="78">
        <v>45692</v>
      </c>
      <c r="B43" s="79">
        <v>12</v>
      </c>
      <c r="C43" s="78" t="str">
        <f>"Q" &amp; CHOOSE(MONTH(Sales!$A43), "1", "1", "1", "2", "2", "2", "3", "3", "3", "4", "4", "4") &amp; "_" &amp; YEAR(Sales!$A43)</f>
        <v>Q1_2025</v>
      </c>
      <c r="D43" s="80" t="s">
        <v>13</v>
      </c>
      <c r="E43" s="81" t="s">
        <v>30</v>
      </c>
      <c r="F43" s="82" t="s">
        <v>15</v>
      </c>
      <c r="G43" s="82" t="s">
        <v>37</v>
      </c>
      <c r="H43" s="82" t="s">
        <v>17</v>
      </c>
      <c r="I43" s="82" t="s">
        <v>38</v>
      </c>
      <c r="J43" s="82">
        <v>1</v>
      </c>
      <c r="K43" s="82" t="s">
        <v>22</v>
      </c>
      <c r="L43" s="83">
        <v>1</v>
      </c>
      <c r="M43" s="84">
        <v>179</v>
      </c>
      <c r="N43" s="85">
        <v>170</v>
      </c>
    </row>
    <row r="44" spans="1:14" ht="14.25" customHeight="1" x14ac:dyDescent="0.25">
      <c r="A44" s="78">
        <v>45692</v>
      </c>
      <c r="B44" s="79">
        <v>0.91874999999999996</v>
      </c>
      <c r="C44" s="78" t="str">
        <f>"Q" &amp; CHOOSE(MONTH(Sales!$A44), "1", "1", "1", "2", "2", "2", "3", "3", "3", "4", "4", "4") &amp; "_" &amp; YEAR(Sales!$A44)</f>
        <v>Q1_2025</v>
      </c>
      <c r="D44" s="80" t="s">
        <v>13</v>
      </c>
      <c r="E44" s="81" t="s">
        <v>14</v>
      </c>
      <c r="F44" s="82" t="s">
        <v>15</v>
      </c>
      <c r="G44" s="82" t="s">
        <v>16</v>
      </c>
      <c r="H44" s="82" t="s">
        <v>17</v>
      </c>
      <c r="I44" s="82" t="s">
        <v>18</v>
      </c>
      <c r="J44" s="82">
        <v>1</v>
      </c>
      <c r="K44" s="82" t="s">
        <v>22</v>
      </c>
      <c r="L44" s="83">
        <v>1</v>
      </c>
      <c r="M44" s="84">
        <v>296</v>
      </c>
      <c r="N44" s="85">
        <v>0</v>
      </c>
    </row>
    <row r="45" spans="1:14" ht="14.25" customHeight="1" x14ac:dyDescent="0.25">
      <c r="A45" s="78">
        <v>45693</v>
      </c>
      <c r="B45" s="79">
        <v>4.1666666666666666E-3</v>
      </c>
      <c r="C45" s="78" t="str">
        <f>"Q" &amp; CHOOSE(MONTH(Sales!$A45), "1", "1", "1", "2", "2", "2", "3", "3", "3", "4", "4", "4") &amp; "_" &amp; YEAR(Sales!$A45)</f>
        <v>Q1_2025</v>
      </c>
      <c r="D45" s="80" t="s">
        <v>13</v>
      </c>
      <c r="E45" s="81" t="s">
        <v>14</v>
      </c>
      <c r="F45" s="82" t="s">
        <v>15</v>
      </c>
      <c r="G45" s="82" t="s">
        <v>16</v>
      </c>
      <c r="H45" s="82" t="s">
        <v>20</v>
      </c>
      <c r="I45" s="82" t="s">
        <v>53</v>
      </c>
      <c r="J45" s="82">
        <v>1</v>
      </c>
      <c r="K45" s="82" t="s">
        <v>22</v>
      </c>
      <c r="L45" s="83">
        <v>2</v>
      </c>
      <c r="M45" s="84">
        <v>569</v>
      </c>
      <c r="N45" s="85">
        <v>0</v>
      </c>
    </row>
    <row r="46" spans="1:14" ht="14.25" customHeight="1" x14ac:dyDescent="0.25">
      <c r="A46" s="78">
        <v>45693</v>
      </c>
      <c r="B46" s="79">
        <v>0.83402777777777781</v>
      </c>
      <c r="C46" s="78" t="str">
        <f>"Q" &amp; CHOOSE(MONTH(Sales!$A46), "1", "1", "1", "2", "2", "2", "3", "3", "3", "4", "4", "4") &amp; "_" &amp; YEAR(Sales!$A46)</f>
        <v>Q1_2025</v>
      </c>
      <c r="D46" s="80" t="s">
        <v>13</v>
      </c>
      <c r="E46" s="81" t="s">
        <v>14</v>
      </c>
      <c r="F46" s="82" t="s">
        <v>15</v>
      </c>
      <c r="G46" s="82" t="s">
        <v>16</v>
      </c>
      <c r="H46" s="82" t="s">
        <v>20</v>
      </c>
      <c r="I46" s="82" t="s">
        <v>44</v>
      </c>
      <c r="J46" s="82">
        <v>1</v>
      </c>
      <c r="K46" s="82" t="s">
        <v>22</v>
      </c>
      <c r="L46" s="83">
        <v>5</v>
      </c>
      <c r="M46" s="84">
        <v>1195</v>
      </c>
      <c r="N46" s="85">
        <v>0</v>
      </c>
    </row>
    <row r="47" spans="1:14" ht="14.25" customHeight="1" x14ac:dyDescent="0.25">
      <c r="A47" s="78">
        <v>45693</v>
      </c>
      <c r="B47" s="79">
        <v>0.83402777777777781</v>
      </c>
      <c r="C47" s="78" t="str">
        <f>"Q" &amp; CHOOSE(MONTH(Sales!$A47), "1", "1", "1", "2", "2", "2", "3", "3", "3", "4", "4", "4") &amp; "_" &amp; YEAR(Sales!$A47)</f>
        <v>Q1_2025</v>
      </c>
      <c r="D47" s="80" t="s">
        <v>13</v>
      </c>
      <c r="E47" s="81" t="s">
        <v>14</v>
      </c>
      <c r="F47" s="82" t="s">
        <v>15</v>
      </c>
      <c r="G47" s="82" t="s">
        <v>16</v>
      </c>
      <c r="H47" s="82" t="s">
        <v>20</v>
      </c>
      <c r="I47" s="82" t="s">
        <v>54</v>
      </c>
      <c r="J47" s="82">
        <v>1</v>
      </c>
      <c r="K47" s="82" t="s">
        <v>48</v>
      </c>
      <c r="L47" s="83">
        <v>1</v>
      </c>
      <c r="M47" s="84">
        <v>0</v>
      </c>
      <c r="N47" s="85">
        <v>0</v>
      </c>
    </row>
    <row r="48" spans="1:14" ht="14.25" customHeight="1" x14ac:dyDescent="0.25">
      <c r="A48" s="78">
        <v>45694</v>
      </c>
      <c r="B48" s="79">
        <v>0.62847222222222221</v>
      </c>
      <c r="C48" s="78" t="str">
        <f>"Q" &amp; CHOOSE(MONTH(Sales!$A48), "1", "1", "1", "2", "2", "2", "3", "3", "3", "4", "4", "4") &amp; "_" &amp; YEAR(Sales!$A48)</f>
        <v>Q1_2025</v>
      </c>
      <c r="D48" s="80" t="s">
        <v>13</v>
      </c>
      <c r="E48" s="81" t="s">
        <v>14</v>
      </c>
      <c r="F48" s="82" t="s">
        <v>15</v>
      </c>
      <c r="G48" s="82" t="s">
        <v>46</v>
      </c>
      <c r="H48" s="82" t="s">
        <v>17</v>
      </c>
      <c r="I48" s="82" t="s">
        <v>50</v>
      </c>
      <c r="J48" s="82">
        <v>1</v>
      </c>
      <c r="K48" s="82" t="s">
        <v>22</v>
      </c>
      <c r="L48" s="83">
        <v>1</v>
      </c>
      <c r="M48" s="84">
        <v>649</v>
      </c>
      <c r="N48" s="85">
        <v>0</v>
      </c>
    </row>
    <row r="49" spans="1:14" ht="14.25" customHeight="1" x14ac:dyDescent="0.25">
      <c r="A49" s="78">
        <v>45694</v>
      </c>
      <c r="B49" s="79">
        <v>0.58750000000000002</v>
      </c>
      <c r="C49" s="78" t="str">
        <f>"Q" &amp; CHOOSE(MONTH(Sales!$A49), "1", "1", "1", "2", "2", "2", "3", "3", "3", "4", "4", "4") &amp; "_" &amp; YEAR(Sales!$A49)</f>
        <v>Q1_2025</v>
      </c>
      <c r="D49" s="80" t="s">
        <v>13</v>
      </c>
      <c r="E49" s="81" t="s">
        <v>14</v>
      </c>
      <c r="F49" s="82" t="s">
        <v>15</v>
      </c>
      <c r="G49" s="82" t="s">
        <v>35</v>
      </c>
      <c r="H49" s="82" t="s">
        <v>20</v>
      </c>
      <c r="I49" s="82" t="s">
        <v>36</v>
      </c>
      <c r="J49" s="82">
        <v>1</v>
      </c>
      <c r="K49" s="82" t="s">
        <v>22</v>
      </c>
      <c r="L49" s="83">
        <v>5</v>
      </c>
      <c r="M49" s="84">
        <v>299</v>
      </c>
      <c r="N49" s="85">
        <v>0</v>
      </c>
    </row>
    <row r="50" spans="1:14" ht="14.25" customHeight="1" x14ac:dyDescent="0.25">
      <c r="A50" s="78">
        <v>45694</v>
      </c>
      <c r="B50" s="79">
        <v>0.58194444444444449</v>
      </c>
      <c r="C50" s="78" t="str">
        <f>"Q" &amp; CHOOSE(MONTH(Sales!$A50), "1", "1", "1", "2", "2", "2", "3", "3", "3", "4", "4", "4") &amp; "_" &amp; YEAR(Sales!$A50)</f>
        <v>Q1_2025</v>
      </c>
      <c r="D50" s="80" t="s">
        <v>13</v>
      </c>
      <c r="E50" s="81" t="s">
        <v>14</v>
      </c>
      <c r="F50" s="82" t="s">
        <v>15</v>
      </c>
      <c r="G50" s="82" t="s">
        <v>16</v>
      </c>
      <c r="H50" s="82" t="s">
        <v>20</v>
      </c>
      <c r="I50" s="82" t="s">
        <v>49</v>
      </c>
      <c r="J50" s="82">
        <v>1</v>
      </c>
      <c r="K50" s="82" t="s">
        <v>22</v>
      </c>
      <c r="L50" s="83">
        <v>3</v>
      </c>
      <c r="M50" s="84">
        <v>799</v>
      </c>
      <c r="N50" s="85">
        <v>0</v>
      </c>
    </row>
    <row r="51" spans="1:14" ht="14.25" customHeight="1" x14ac:dyDescent="0.25">
      <c r="A51" s="78">
        <v>45694</v>
      </c>
      <c r="B51" s="79">
        <v>0.58194444444444449</v>
      </c>
      <c r="C51" s="78" t="str">
        <f>"Q" &amp; CHOOSE(MONTH(Sales!$A51), "1", "1", "1", "2", "2", "2", "3", "3", "3", "4", "4", "4") &amp; "_" &amp; YEAR(Sales!$A51)</f>
        <v>Q1_2025</v>
      </c>
      <c r="D51" s="80" t="s">
        <v>13</v>
      </c>
      <c r="E51" s="81" t="s">
        <v>14</v>
      </c>
      <c r="F51" s="82" t="s">
        <v>15</v>
      </c>
      <c r="G51" s="82" t="s">
        <v>24</v>
      </c>
      <c r="H51" s="82" t="s">
        <v>20</v>
      </c>
      <c r="I51" s="82" t="s">
        <v>25</v>
      </c>
      <c r="J51" s="82">
        <v>1</v>
      </c>
      <c r="K51" s="82" t="s">
        <v>48</v>
      </c>
      <c r="L51" s="83">
        <v>3</v>
      </c>
      <c r="M51" s="84">
        <v>0</v>
      </c>
      <c r="N51" s="85">
        <v>0</v>
      </c>
    </row>
    <row r="52" spans="1:14" ht="14.25" customHeight="1" x14ac:dyDescent="0.25">
      <c r="A52" s="78">
        <v>45694</v>
      </c>
      <c r="B52" s="79">
        <v>0.86527777777777781</v>
      </c>
      <c r="C52" s="78" t="str">
        <f>"Q" &amp; CHOOSE(MONTH(Sales!$A52), "1", "1", "1", "2", "2", "2", "3", "3", "3", "4", "4", "4") &amp; "_" &amp; YEAR(Sales!$A52)</f>
        <v>Q1_2025</v>
      </c>
      <c r="D52" s="80" t="s">
        <v>13</v>
      </c>
      <c r="E52" s="81" t="s">
        <v>14</v>
      </c>
      <c r="F52" s="82" t="s">
        <v>15</v>
      </c>
      <c r="G52" s="82" t="s">
        <v>16</v>
      </c>
      <c r="H52" s="82" t="s">
        <v>20</v>
      </c>
      <c r="I52" s="82" t="s">
        <v>49</v>
      </c>
      <c r="J52" s="82">
        <v>1</v>
      </c>
      <c r="K52" s="82" t="s">
        <v>22</v>
      </c>
      <c r="L52" s="83">
        <v>3</v>
      </c>
      <c r="M52" s="84">
        <v>849</v>
      </c>
      <c r="N52" s="85">
        <v>0</v>
      </c>
    </row>
    <row r="53" spans="1:14" ht="14.25" customHeight="1" x14ac:dyDescent="0.25">
      <c r="A53" s="78">
        <v>45694</v>
      </c>
      <c r="B53" s="79">
        <v>0.86527777777777781</v>
      </c>
      <c r="C53" s="78" t="str">
        <f>"Q" &amp; CHOOSE(MONTH(Sales!$A53), "1", "1", "1", "2", "2", "2", "3", "3", "3", "4", "4", "4") &amp; "_" &amp; YEAR(Sales!$A53)</f>
        <v>Q1_2025</v>
      </c>
      <c r="D53" s="80" t="s">
        <v>13</v>
      </c>
      <c r="E53" s="81" t="s">
        <v>14</v>
      </c>
      <c r="F53" s="82" t="s">
        <v>15</v>
      </c>
      <c r="G53" s="82" t="s">
        <v>24</v>
      </c>
      <c r="H53" s="82" t="s">
        <v>20</v>
      </c>
      <c r="I53" s="82" t="s">
        <v>25</v>
      </c>
      <c r="J53" s="82">
        <v>1</v>
      </c>
      <c r="K53" s="82" t="s">
        <v>48</v>
      </c>
      <c r="L53" s="83">
        <v>3</v>
      </c>
      <c r="M53" s="84">
        <v>0</v>
      </c>
      <c r="N53" s="85">
        <v>0</v>
      </c>
    </row>
    <row r="54" spans="1:14" ht="14.25" customHeight="1" x14ac:dyDescent="0.25">
      <c r="A54" s="78">
        <v>45695</v>
      </c>
      <c r="B54" s="79">
        <v>0.29930555555555555</v>
      </c>
      <c r="C54" s="78" t="str">
        <f>"Q" &amp; CHOOSE(MONTH(Sales!$A54), "1", "1", "1", "2", "2", "2", "3", "3", "3", "4", "4", "4") &amp; "_" &amp; YEAR(Sales!$A54)</f>
        <v>Q1_2025</v>
      </c>
      <c r="D54" s="80" t="s">
        <v>13</v>
      </c>
      <c r="E54" s="81" t="s">
        <v>14</v>
      </c>
      <c r="F54" s="82" t="s">
        <v>15</v>
      </c>
      <c r="G54" s="82" t="s">
        <v>24</v>
      </c>
      <c r="H54" s="82" t="s">
        <v>20</v>
      </c>
      <c r="I54" s="82" t="s">
        <v>25</v>
      </c>
      <c r="J54" s="82">
        <v>1</v>
      </c>
      <c r="K54" s="82" t="s">
        <v>22</v>
      </c>
      <c r="L54" s="83">
        <v>3</v>
      </c>
      <c r="M54" s="84">
        <v>265</v>
      </c>
      <c r="N54" s="85">
        <v>0</v>
      </c>
    </row>
    <row r="55" spans="1:14" ht="14.25" customHeight="1" x14ac:dyDescent="0.25">
      <c r="A55" s="78">
        <v>45695</v>
      </c>
      <c r="B55" s="79">
        <v>4.0972222222222222E-2</v>
      </c>
      <c r="C55" s="78" t="str">
        <f>"Q" &amp; CHOOSE(MONTH(Sales!$A55), "1", "1", "1", "2", "2", "2", "3", "3", "3", "4", "4", "4") &amp; "_" &amp; YEAR(Sales!$A55)</f>
        <v>Q1_2025</v>
      </c>
      <c r="D55" s="80" t="s">
        <v>13</v>
      </c>
      <c r="E55" s="81" t="s">
        <v>14</v>
      </c>
      <c r="F55" s="82" t="s">
        <v>15</v>
      </c>
      <c r="G55" s="82" t="s">
        <v>16</v>
      </c>
      <c r="H55" s="82" t="s">
        <v>17</v>
      </c>
      <c r="I55" s="82" t="s">
        <v>55</v>
      </c>
      <c r="J55" s="82">
        <v>1</v>
      </c>
      <c r="K55" s="82" t="s">
        <v>22</v>
      </c>
      <c r="L55" s="83">
        <v>1</v>
      </c>
      <c r="M55" s="84">
        <v>295</v>
      </c>
      <c r="N55" s="85">
        <v>0</v>
      </c>
    </row>
    <row r="56" spans="1:14" ht="14.25" customHeight="1" x14ac:dyDescent="0.25">
      <c r="A56" s="78">
        <v>45695</v>
      </c>
      <c r="B56" s="79">
        <v>0</v>
      </c>
      <c r="C56" s="78" t="str">
        <f>"Q" &amp; CHOOSE(MONTH(Sales!$A56), "1", "1", "1", "2", "2", "2", "3", "3", "3", "4", "4", "4") &amp; "_" &amp; YEAR(Sales!$A56)</f>
        <v>Q1_2025</v>
      </c>
      <c r="D56" s="80" t="s">
        <v>13</v>
      </c>
      <c r="E56" s="81" t="s">
        <v>14</v>
      </c>
      <c r="F56" s="82" t="s">
        <v>15</v>
      </c>
      <c r="G56" s="82" t="s">
        <v>16</v>
      </c>
      <c r="H56" s="82" t="s">
        <v>17</v>
      </c>
      <c r="I56" s="82" t="s">
        <v>18</v>
      </c>
      <c r="J56" s="82">
        <v>1</v>
      </c>
      <c r="K56" s="82" t="s">
        <v>22</v>
      </c>
      <c r="L56" s="83">
        <v>1</v>
      </c>
      <c r="M56" s="84">
        <v>289</v>
      </c>
      <c r="N56" s="85">
        <v>0</v>
      </c>
    </row>
    <row r="57" spans="1:14" ht="14.25" customHeight="1" x14ac:dyDescent="0.25">
      <c r="A57" s="78">
        <v>45695</v>
      </c>
      <c r="B57" s="79">
        <v>0.59166666666666667</v>
      </c>
      <c r="C57" s="78" t="str">
        <f>"Q" &amp; CHOOSE(MONTH(Sales!$A57), "1", "1", "1", "2", "2", "2", "3", "3", "3", "4", "4", "4") &amp; "_" &amp; YEAR(Sales!$A57)</f>
        <v>Q1_2025</v>
      </c>
      <c r="D57" s="80" t="s">
        <v>13</v>
      </c>
      <c r="E57" s="81" t="s">
        <v>14</v>
      </c>
      <c r="F57" s="82" t="s">
        <v>15</v>
      </c>
      <c r="G57" s="82" t="s">
        <v>24</v>
      </c>
      <c r="H57" s="82" t="s">
        <v>20</v>
      </c>
      <c r="I57" s="82" t="s">
        <v>52</v>
      </c>
      <c r="J57" s="82">
        <v>1</v>
      </c>
      <c r="K57" s="82" t="s">
        <v>22</v>
      </c>
      <c r="L57" s="83">
        <v>5</v>
      </c>
      <c r="M57" s="84">
        <v>419</v>
      </c>
      <c r="N57" s="85">
        <v>0</v>
      </c>
    </row>
    <row r="58" spans="1:14" ht="14.25" customHeight="1" x14ac:dyDescent="0.25">
      <c r="A58" s="78">
        <v>45695</v>
      </c>
      <c r="B58" s="79">
        <v>0.87222222222222223</v>
      </c>
      <c r="C58" s="78" t="str">
        <f>"Q" &amp; CHOOSE(MONTH(Sales!$A58), "1", "1", "1", "2", "2", "2", "3", "3", "3", "4", "4", "4") &amp; "_" &amp; YEAR(Sales!$A58)</f>
        <v>Q1_2025</v>
      </c>
      <c r="D58" s="80" t="s">
        <v>56</v>
      </c>
      <c r="E58" s="81" t="s">
        <v>14</v>
      </c>
      <c r="F58" s="82" t="s">
        <v>15</v>
      </c>
      <c r="G58" s="82" t="s">
        <v>24</v>
      </c>
      <c r="H58" s="82" t="s">
        <v>20</v>
      </c>
      <c r="I58" s="82" t="s">
        <v>52</v>
      </c>
      <c r="J58" s="82">
        <v>1</v>
      </c>
      <c r="K58" s="82" t="s">
        <v>22</v>
      </c>
      <c r="L58" s="83">
        <v>5</v>
      </c>
      <c r="M58" s="84">
        <v>419</v>
      </c>
      <c r="N58" s="85">
        <v>0</v>
      </c>
    </row>
    <row r="59" spans="1:14" ht="14.25" customHeight="1" x14ac:dyDescent="0.25">
      <c r="A59" s="78">
        <v>45695</v>
      </c>
      <c r="B59" s="79">
        <v>0.91388888888888886</v>
      </c>
      <c r="C59" s="78" t="str">
        <f>"Q" &amp; CHOOSE(MONTH(Sales!$A59), "1", "1", "1", "2", "2", "2", "3", "3", "3", "4", "4", "4") &amp; "_" &amp; YEAR(Sales!$A59)</f>
        <v>Q1_2025</v>
      </c>
      <c r="D59" s="80" t="s">
        <v>57</v>
      </c>
      <c r="E59" s="81" t="s">
        <v>14</v>
      </c>
      <c r="F59" s="82" t="s">
        <v>15</v>
      </c>
      <c r="G59" s="82" t="s">
        <v>35</v>
      </c>
      <c r="H59" s="82" t="s">
        <v>20</v>
      </c>
      <c r="I59" s="82" t="s">
        <v>49</v>
      </c>
      <c r="J59" s="82">
        <v>1</v>
      </c>
      <c r="K59" s="82" t="s">
        <v>22</v>
      </c>
      <c r="L59" s="83">
        <v>3</v>
      </c>
      <c r="M59" s="84">
        <v>199</v>
      </c>
      <c r="N59" s="85">
        <v>0</v>
      </c>
    </row>
    <row r="60" spans="1:14" ht="14.25" customHeight="1" x14ac:dyDescent="0.25">
      <c r="A60" s="78">
        <v>45696</v>
      </c>
      <c r="B60" s="79">
        <v>0.4201388888888889</v>
      </c>
      <c r="C60" s="78" t="str">
        <f>"Q" &amp; CHOOSE(MONTH(Sales!$A60), "1", "1", "1", "2", "2", "2", "3", "3", "3", "4", "4", "4") &amp; "_" &amp; YEAR(Sales!$A60)</f>
        <v>Q1_2025</v>
      </c>
      <c r="D60" s="80" t="s">
        <v>58</v>
      </c>
      <c r="E60" s="81" t="s">
        <v>14</v>
      </c>
      <c r="F60" s="82" t="s">
        <v>15</v>
      </c>
      <c r="G60" s="82" t="s">
        <v>24</v>
      </c>
      <c r="H60" s="82" t="s">
        <v>20</v>
      </c>
      <c r="I60" s="82" t="s">
        <v>52</v>
      </c>
      <c r="J60" s="82">
        <v>1</v>
      </c>
      <c r="K60" s="82" t="s">
        <v>22</v>
      </c>
      <c r="L60" s="83">
        <v>5</v>
      </c>
      <c r="M60" s="84">
        <v>419</v>
      </c>
      <c r="N60" s="85">
        <v>0</v>
      </c>
    </row>
    <row r="61" spans="1:14" ht="14.25" customHeight="1" x14ac:dyDescent="0.25">
      <c r="A61" s="78">
        <v>45696</v>
      </c>
      <c r="B61" s="79">
        <v>0.72361111111111109</v>
      </c>
      <c r="C61" s="78" t="str">
        <f>"Q" &amp; CHOOSE(MONTH(Sales!$A61), "1", "1", "1", "2", "2", "2", "3", "3", "3", "4", "4", "4") &amp; "_" &amp; YEAR(Sales!$A61)</f>
        <v>Q1_2025</v>
      </c>
      <c r="D61" s="80" t="s">
        <v>59</v>
      </c>
      <c r="E61" s="81" t="s">
        <v>14</v>
      </c>
      <c r="F61" s="82" t="s">
        <v>15</v>
      </c>
      <c r="G61" s="82" t="s">
        <v>16</v>
      </c>
      <c r="H61" s="82" t="s">
        <v>20</v>
      </c>
      <c r="I61" s="82" t="s">
        <v>21</v>
      </c>
      <c r="J61" s="82">
        <v>1</v>
      </c>
      <c r="K61" s="82" t="s">
        <v>22</v>
      </c>
      <c r="L61" s="83">
        <v>2</v>
      </c>
      <c r="M61" s="84">
        <v>579</v>
      </c>
      <c r="N61" s="85">
        <v>0</v>
      </c>
    </row>
    <row r="62" spans="1:14" ht="14.25" customHeight="1" x14ac:dyDescent="0.25">
      <c r="A62" s="78">
        <v>45697</v>
      </c>
      <c r="B62" s="79">
        <v>0.54166666666666663</v>
      </c>
      <c r="C62" s="78" t="str">
        <f>"Q" &amp; CHOOSE(MONTH(Sales!$A62), "1", "1", "1", "2", "2", "2", "3", "3", "3", "4", "4", "4") &amp; "_" &amp; YEAR(Sales!$A62)</f>
        <v>Q1_2025</v>
      </c>
      <c r="D62" s="80" t="s">
        <v>60</v>
      </c>
      <c r="E62" s="81" t="s">
        <v>14</v>
      </c>
      <c r="F62" s="82" t="s">
        <v>15</v>
      </c>
      <c r="G62" s="82" t="s">
        <v>28</v>
      </c>
      <c r="H62" s="82" t="s">
        <v>17</v>
      </c>
      <c r="I62" s="82" t="s">
        <v>29</v>
      </c>
      <c r="J62" s="82">
        <v>1</v>
      </c>
      <c r="K62" s="82" t="s">
        <v>22</v>
      </c>
      <c r="L62" s="83">
        <v>1</v>
      </c>
      <c r="M62" s="84">
        <v>749</v>
      </c>
      <c r="N62" s="85">
        <v>0</v>
      </c>
    </row>
    <row r="63" spans="1:14" ht="14.25" customHeight="1" x14ac:dyDescent="0.25">
      <c r="A63" s="78">
        <v>45697</v>
      </c>
      <c r="B63" s="79">
        <v>0.64513888888888893</v>
      </c>
      <c r="C63" s="78" t="str">
        <f>"Q" &amp; CHOOSE(MONTH(Sales!$A63), "1", "1", "1", "2", "2", "2", "3", "3", "3", "4", "4", "4") &amp; "_" &amp; YEAR(Sales!$A63)</f>
        <v>Q1_2025</v>
      </c>
      <c r="D63" s="80" t="s">
        <v>60</v>
      </c>
      <c r="E63" s="81" t="s">
        <v>14</v>
      </c>
      <c r="F63" s="82" t="s">
        <v>15</v>
      </c>
      <c r="G63" s="82" t="s">
        <v>16</v>
      </c>
      <c r="H63" s="82" t="s">
        <v>17</v>
      </c>
      <c r="I63" s="82" t="s">
        <v>55</v>
      </c>
      <c r="J63" s="82">
        <v>1</v>
      </c>
      <c r="K63" s="82" t="s">
        <v>22</v>
      </c>
      <c r="L63" s="83">
        <v>1</v>
      </c>
      <c r="M63" s="84">
        <v>289</v>
      </c>
      <c r="N63" s="85">
        <v>0</v>
      </c>
    </row>
    <row r="64" spans="1:14" ht="14.25" customHeight="1" x14ac:dyDescent="0.25">
      <c r="A64" s="78">
        <v>45697</v>
      </c>
      <c r="B64" s="79" t="s">
        <v>61</v>
      </c>
      <c r="C64" s="78" t="str">
        <f>"Q" &amp; CHOOSE(MONTH(Sales!$A64), "1", "1", "1", "2", "2", "2", "3", "3", "3", "4", "4", "4") &amp; "_" &amp; YEAR(Sales!$A64)</f>
        <v>Q1_2025</v>
      </c>
      <c r="D64" s="80" t="s">
        <v>62</v>
      </c>
      <c r="E64" s="81" t="s">
        <v>14</v>
      </c>
      <c r="F64" s="82" t="s">
        <v>15</v>
      </c>
      <c r="G64" s="82" t="s">
        <v>35</v>
      </c>
      <c r="H64" s="82" t="s">
        <v>20</v>
      </c>
      <c r="I64" s="82" t="s">
        <v>36</v>
      </c>
      <c r="J64" s="82">
        <v>1</v>
      </c>
      <c r="K64" s="82" t="s">
        <v>22</v>
      </c>
      <c r="L64" s="83">
        <v>5</v>
      </c>
      <c r="M64" s="84">
        <v>299</v>
      </c>
      <c r="N64" s="85">
        <v>0</v>
      </c>
    </row>
    <row r="65" spans="1:14" ht="14.25" customHeight="1" x14ac:dyDescent="0.25">
      <c r="A65" s="78">
        <v>45697</v>
      </c>
      <c r="B65" s="79">
        <v>0.92638888888888893</v>
      </c>
      <c r="C65" s="78" t="str">
        <f>"Q" &amp; CHOOSE(MONTH(Sales!$A65), "1", "1", "1", "2", "2", "2", "3", "3", "3", "4", "4", "4") &amp; "_" &amp; YEAR(Sales!$A65)</f>
        <v>Q1_2025</v>
      </c>
      <c r="D65" s="80" t="s">
        <v>63</v>
      </c>
      <c r="E65" s="81" t="s">
        <v>14</v>
      </c>
      <c r="F65" s="82" t="s">
        <v>15</v>
      </c>
      <c r="G65" s="82" t="s">
        <v>16</v>
      </c>
      <c r="H65" s="82" t="s">
        <v>20</v>
      </c>
      <c r="I65" s="82" t="s">
        <v>44</v>
      </c>
      <c r="J65" s="82">
        <v>1</v>
      </c>
      <c r="K65" s="82" t="s">
        <v>22</v>
      </c>
      <c r="L65" s="83">
        <v>5</v>
      </c>
      <c r="M65" s="84">
        <v>1190</v>
      </c>
      <c r="N65" s="85">
        <v>0</v>
      </c>
    </row>
    <row r="66" spans="1:14" ht="14.25" customHeight="1" x14ac:dyDescent="0.25">
      <c r="A66" s="78">
        <v>45697</v>
      </c>
      <c r="B66" s="79">
        <v>0.92638888888888893</v>
      </c>
      <c r="C66" s="78" t="str">
        <f>"Q" &amp; CHOOSE(MONTH(Sales!$A66), "1", "1", "1", "2", "2", "2", "3", "3", "3", "4", "4", "4") &amp; "_" &amp; YEAR(Sales!$A66)</f>
        <v>Q1_2025</v>
      </c>
      <c r="D66" s="80" t="s">
        <v>63</v>
      </c>
      <c r="E66" s="81" t="s">
        <v>14</v>
      </c>
      <c r="F66" s="82" t="s">
        <v>15</v>
      </c>
      <c r="G66" s="82" t="s">
        <v>16</v>
      </c>
      <c r="H66" s="82" t="s">
        <v>20</v>
      </c>
      <c r="I66" s="82" t="s">
        <v>25</v>
      </c>
      <c r="J66" s="82">
        <v>1</v>
      </c>
      <c r="K66" s="82" t="s">
        <v>48</v>
      </c>
      <c r="L66" s="83">
        <v>3</v>
      </c>
      <c r="M66" s="84">
        <v>0</v>
      </c>
      <c r="N66" s="85">
        <v>0</v>
      </c>
    </row>
    <row r="67" spans="1:14" ht="14.25" customHeight="1" x14ac:dyDescent="0.25">
      <c r="A67" s="78">
        <v>45698</v>
      </c>
      <c r="B67" s="79">
        <v>0.6020833333333333</v>
      </c>
      <c r="C67" s="78" t="str">
        <f>"Q" &amp; CHOOSE(MONTH(Sales!$A67), "1", "1", "1", "2", "2", "2", "3", "3", "3", "4", "4", "4") &amp; "_" &amp; YEAR(Sales!$A67)</f>
        <v>Q1_2025</v>
      </c>
      <c r="D67" s="80" t="s">
        <v>60</v>
      </c>
      <c r="E67" s="81" t="s">
        <v>14</v>
      </c>
      <c r="F67" s="82" t="s">
        <v>15</v>
      </c>
      <c r="G67" s="82" t="s">
        <v>32</v>
      </c>
      <c r="H67" s="82" t="s">
        <v>20</v>
      </c>
      <c r="I67" s="82" t="s">
        <v>33</v>
      </c>
      <c r="J67" s="82">
        <v>1</v>
      </c>
      <c r="K67" s="82" t="s">
        <v>22</v>
      </c>
      <c r="L67" s="83">
        <v>5</v>
      </c>
      <c r="M67" s="84">
        <v>374</v>
      </c>
      <c r="N67" s="85">
        <v>0</v>
      </c>
    </row>
    <row r="68" spans="1:14" ht="14.25" customHeight="1" x14ac:dyDescent="0.25">
      <c r="A68" s="78">
        <v>45698</v>
      </c>
      <c r="B68" s="79">
        <v>0.98402777777777772</v>
      </c>
      <c r="C68" s="78" t="str">
        <f>"Q" &amp; CHOOSE(MONTH(Sales!$A68), "1", "1", "1", "2", "2", "2", "3", "3", "3", "4", "4", "4") &amp; "_" &amp; YEAR(Sales!$A68)</f>
        <v>Q1_2025</v>
      </c>
      <c r="D68" s="80" t="s">
        <v>64</v>
      </c>
      <c r="E68" s="81" t="s">
        <v>14</v>
      </c>
      <c r="F68" s="82" t="s">
        <v>15</v>
      </c>
      <c r="G68" s="82" t="s">
        <v>35</v>
      </c>
      <c r="H68" s="82" t="s">
        <v>20</v>
      </c>
      <c r="I68" s="82" t="s">
        <v>65</v>
      </c>
      <c r="J68" s="82">
        <v>1</v>
      </c>
      <c r="K68" s="82" t="s">
        <v>22</v>
      </c>
      <c r="L68" s="83">
        <v>3</v>
      </c>
      <c r="M68" s="84">
        <v>199</v>
      </c>
      <c r="N68" s="85">
        <v>0</v>
      </c>
    </row>
    <row r="69" spans="1:14" ht="14.25" customHeight="1" x14ac:dyDescent="0.25">
      <c r="A69" s="78">
        <v>45699</v>
      </c>
      <c r="B69" s="79">
        <v>0.51249999999999996</v>
      </c>
      <c r="C69" s="78" t="str">
        <f>"Q" &amp; CHOOSE(MONTH(Sales!$A69), "1", "1", "1", "2", "2", "2", "3", "3", "3", "4", "4", "4") &amp; "_" &amp; YEAR(Sales!$A69)</f>
        <v>Q1_2025</v>
      </c>
      <c r="D69" s="80" t="s">
        <v>66</v>
      </c>
      <c r="E69" s="81" t="s">
        <v>14</v>
      </c>
      <c r="F69" s="82" t="s">
        <v>15</v>
      </c>
      <c r="G69" s="82" t="s">
        <v>35</v>
      </c>
      <c r="H69" s="82" t="s">
        <v>20</v>
      </c>
      <c r="I69" s="82" t="s">
        <v>65</v>
      </c>
      <c r="J69" s="82">
        <v>1</v>
      </c>
      <c r="K69" s="82" t="s">
        <v>22</v>
      </c>
      <c r="L69" s="83">
        <v>5</v>
      </c>
      <c r="M69" s="84">
        <v>299</v>
      </c>
      <c r="N69" s="85">
        <v>0</v>
      </c>
    </row>
    <row r="70" spans="1:14" ht="14.25" customHeight="1" x14ac:dyDescent="0.25">
      <c r="A70" s="78">
        <v>45699</v>
      </c>
      <c r="B70" s="79">
        <v>0.54583333333333328</v>
      </c>
      <c r="C70" s="78" t="str">
        <f>"Q" &amp; CHOOSE(MONTH(Sales!$A70), "1", "1", "1", "2", "2", "2", "3", "3", "3", "4", "4", "4") &amp; "_" &amp; YEAR(Sales!$A70)</f>
        <v>Q1_2025</v>
      </c>
      <c r="D70" s="80" t="s">
        <v>63</v>
      </c>
      <c r="E70" s="81" t="s">
        <v>14</v>
      </c>
      <c r="F70" s="82" t="s">
        <v>15</v>
      </c>
      <c r="G70" s="82" t="s">
        <v>16</v>
      </c>
      <c r="H70" s="82" t="s">
        <v>17</v>
      </c>
      <c r="I70" s="82" t="s">
        <v>18</v>
      </c>
      <c r="J70" s="82">
        <v>1</v>
      </c>
      <c r="K70" s="82" t="s">
        <v>22</v>
      </c>
      <c r="L70" s="83">
        <v>1</v>
      </c>
      <c r="M70" s="84">
        <v>284</v>
      </c>
      <c r="N70" s="85">
        <v>0</v>
      </c>
    </row>
    <row r="71" spans="1:14" ht="14.25" customHeight="1" x14ac:dyDescent="0.25">
      <c r="A71" s="78">
        <v>45699</v>
      </c>
      <c r="B71" s="79">
        <v>0.72638888888888886</v>
      </c>
      <c r="C71" s="78" t="str">
        <f>"Q" &amp; CHOOSE(MONTH(Sales!$A71), "1", "1", "1", "2", "2", "2", "3", "3", "3", "4", "4", "4") &amp; "_" &amp; YEAR(Sales!$A71)</f>
        <v>Q1_2025</v>
      </c>
      <c r="D71" s="80" t="s">
        <v>58</v>
      </c>
      <c r="E71" s="81" t="s">
        <v>14</v>
      </c>
      <c r="F71" s="82" t="s">
        <v>15</v>
      </c>
      <c r="G71" s="82" t="s">
        <v>24</v>
      </c>
      <c r="H71" s="82" t="s">
        <v>20</v>
      </c>
      <c r="I71" s="82" t="s">
        <v>25</v>
      </c>
      <c r="J71" s="82">
        <v>1</v>
      </c>
      <c r="K71" s="82" t="s">
        <v>22</v>
      </c>
      <c r="L71" s="83">
        <v>3</v>
      </c>
      <c r="M71" s="84">
        <v>269</v>
      </c>
      <c r="N71" s="85">
        <v>0</v>
      </c>
    </row>
    <row r="72" spans="1:14" ht="14.25" customHeight="1" x14ac:dyDescent="0.25">
      <c r="A72" s="78">
        <v>45699</v>
      </c>
      <c r="B72" s="79">
        <v>0.90069444444444446</v>
      </c>
      <c r="C72" s="78" t="str">
        <f>"Q" &amp; CHOOSE(MONTH(Sales!$A72), "1", "1", "1", "2", "2", "2", "3", "3", "3", "4", "4", "4") &amp; "_" &amp; YEAR(Sales!$A72)</f>
        <v>Q1_2025</v>
      </c>
      <c r="D72" s="80" t="s">
        <v>59</v>
      </c>
      <c r="E72" s="81" t="s">
        <v>14</v>
      </c>
      <c r="F72" s="82" t="s">
        <v>15</v>
      </c>
      <c r="G72" s="82" t="s">
        <v>35</v>
      </c>
      <c r="H72" s="82" t="s">
        <v>20</v>
      </c>
      <c r="I72" s="82" t="s">
        <v>67</v>
      </c>
      <c r="J72" s="82">
        <v>1</v>
      </c>
      <c r="K72" s="82" t="s">
        <v>22</v>
      </c>
      <c r="L72" s="83">
        <v>3</v>
      </c>
      <c r="M72" s="84">
        <v>199</v>
      </c>
      <c r="N72" s="85">
        <v>0</v>
      </c>
    </row>
    <row r="73" spans="1:14" ht="14.25" customHeight="1" x14ac:dyDescent="0.25">
      <c r="A73" s="78">
        <v>45699</v>
      </c>
      <c r="B73" s="79">
        <v>0.97152777777777777</v>
      </c>
      <c r="C73" s="78" t="str">
        <f>"Q" &amp; CHOOSE(MONTH(Sales!$A73), "1", "1", "1", "2", "2", "2", "3", "3", "3", "4", "4", "4") &amp; "_" &amp; YEAR(Sales!$A73)</f>
        <v>Q1_2025</v>
      </c>
      <c r="D73" s="80" t="s">
        <v>64</v>
      </c>
      <c r="E73" s="81" t="s">
        <v>14</v>
      </c>
      <c r="F73" s="82" t="s">
        <v>15</v>
      </c>
      <c r="G73" s="82" t="s">
        <v>35</v>
      </c>
      <c r="H73" s="82" t="s">
        <v>20</v>
      </c>
      <c r="I73" s="82" t="s">
        <v>36</v>
      </c>
      <c r="J73" s="82">
        <v>1</v>
      </c>
      <c r="K73" s="82" t="s">
        <v>22</v>
      </c>
      <c r="L73" s="83">
        <v>5</v>
      </c>
      <c r="M73" s="84">
        <v>299</v>
      </c>
      <c r="N73" s="85">
        <v>0</v>
      </c>
    </row>
    <row r="74" spans="1:14" ht="14.25" customHeight="1" x14ac:dyDescent="0.25">
      <c r="A74" s="78">
        <v>45700</v>
      </c>
      <c r="B74" s="79">
        <v>0.5131944444444444</v>
      </c>
      <c r="C74" s="78" t="str">
        <f>"Q" &amp; CHOOSE(MONTH(Sales!$A74), "1", "1", "1", "2", "2", "2", "3", "3", "3", "4", "4", "4") &amp; "_" &amp; YEAR(Sales!$A74)</f>
        <v>Q1_2025</v>
      </c>
      <c r="D74" s="80" t="s">
        <v>58</v>
      </c>
      <c r="E74" s="81" t="s">
        <v>14</v>
      </c>
      <c r="F74" s="82" t="s">
        <v>15</v>
      </c>
      <c r="G74" s="82" t="s">
        <v>24</v>
      </c>
      <c r="H74" s="82" t="s">
        <v>20</v>
      </c>
      <c r="I74" s="82" t="s">
        <v>25</v>
      </c>
      <c r="J74" s="82">
        <v>1</v>
      </c>
      <c r="K74" s="82" t="s">
        <v>22</v>
      </c>
      <c r="L74" s="83">
        <v>3</v>
      </c>
      <c r="M74" s="87">
        <v>285</v>
      </c>
      <c r="N74" s="85">
        <v>0</v>
      </c>
    </row>
    <row r="75" spans="1:14" ht="14.25" customHeight="1" x14ac:dyDescent="0.25">
      <c r="A75" s="78">
        <v>45700</v>
      </c>
      <c r="B75" s="79">
        <v>0.60972222222222228</v>
      </c>
      <c r="C75" s="78" t="str">
        <f>"Q" &amp; CHOOSE(MONTH(Sales!$A75), "1", "1", "1", "2", "2", "2", "3", "3", "3", "4", "4", "4") &amp; "_" &amp; YEAR(Sales!$A75)</f>
        <v>Q1_2025</v>
      </c>
      <c r="D75" s="80" t="s">
        <v>68</v>
      </c>
      <c r="E75" s="81" t="s">
        <v>14</v>
      </c>
      <c r="F75" s="82" t="s">
        <v>15</v>
      </c>
      <c r="G75" s="82" t="s">
        <v>24</v>
      </c>
      <c r="H75" s="82" t="s">
        <v>20</v>
      </c>
      <c r="I75" s="82" t="s">
        <v>25</v>
      </c>
      <c r="J75" s="82">
        <v>1</v>
      </c>
      <c r="K75" s="82" t="s">
        <v>22</v>
      </c>
      <c r="L75" s="83">
        <v>3</v>
      </c>
      <c r="M75" s="84">
        <v>285</v>
      </c>
      <c r="N75" s="85">
        <v>0</v>
      </c>
    </row>
    <row r="76" spans="1:14" ht="14.25" customHeight="1" x14ac:dyDescent="0.25">
      <c r="A76" s="78">
        <v>45700</v>
      </c>
      <c r="B76" s="79">
        <v>0.96319444444444446</v>
      </c>
      <c r="C76" s="78" t="str">
        <f>"Q" &amp; CHOOSE(MONTH(Sales!$A76), "1", "1", "1", "2", "2", "2", "3", "3", "3", "4", "4", "4") &amp; "_" &amp; YEAR(Sales!$A76)</f>
        <v>Q1_2025</v>
      </c>
      <c r="D76" s="80" t="s">
        <v>69</v>
      </c>
      <c r="E76" s="81" t="s">
        <v>14</v>
      </c>
      <c r="F76" s="82" t="s">
        <v>15</v>
      </c>
      <c r="G76" s="82" t="s">
        <v>35</v>
      </c>
      <c r="H76" s="82" t="s">
        <v>20</v>
      </c>
      <c r="I76" s="82" t="s">
        <v>70</v>
      </c>
      <c r="J76" s="82">
        <v>1</v>
      </c>
      <c r="K76" s="82" t="s">
        <v>22</v>
      </c>
      <c r="L76" s="83">
        <v>3</v>
      </c>
      <c r="M76" s="84">
        <v>199</v>
      </c>
      <c r="N76" s="85">
        <v>87.34</v>
      </c>
    </row>
    <row r="77" spans="1:14" ht="14.25" customHeight="1" x14ac:dyDescent="0.25">
      <c r="A77" s="78">
        <v>45701</v>
      </c>
      <c r="B77" s="79">
        <v>5.8333333333333334E-2</v>
      </c>
      <c r="C77" s="78" t="str">
        <f>"Q" &amp; CHOOSE(MONTH(Sales!$A77), "1", "1", "1", "2", "2", "2", "3", "3", "3", "4", "4", "4") &amp; "_" &amp; YEAR(Sales!$A77)</f>
        <v>Q1_2025</v>
      </c>
      <c r="D77" s="80" t="s">
        <v>71</v>
      </c>
      <c r="E77" s="81" t="s">
        <v>14</v>
      </c>
      <c r="F77" s="82" t="s">
        <v>15</v>
      </c>
      <c r="G77" s="82" t="s">
        <v>24</v>
      </c>
      <c r="H77" s="82" t="s">
        <v>20</v>
      </c>
      <c r="I77" s="82" t="s">
        <v>52</v>
      </c>
      <c r="J77" s="82">
        <v>1</v>
      </c>
      <c r="K77" s="82" t="s">
        <v>22</v>
      </c>
      <c r="L77" s="83">
        <v>5</v>
      </c>
      <c r="M77" s="84">
        <v>414</v>
      </c>
      <c r="N77" s="85">
        <v>279</v>
      </c>
    </row>
    <row r="78" spans="1:14" ht="14.25" customHeight="1" x14ac:dyDescent="0.25">
      <c r="A78" s="78">
        <v>45701</v>
      </c>
      <c r="B78" s="79">
        <v>0.38750000000000001</v>
      </c>
      <c r="C78" s="78" t="str">
        <f>"Q" &amp; CHOOSE(MONTH(Sales!$A78), "1", "1", "1", "2", "2", "2", "3", "3", "3", "4", "4", "4") &amp; "_" &amp; YEAR(Sales!$A78)</f>
        <v>Q1_2025</v>
      </c>
      <c r="D78" s="80" t="s">
        <v>58</v>
      </c>
      <c r="E78" s="81" t="s">
        <v>14</v>
      </c>
      <c r="F78" s="82" t="s">
        <v>15</v>
      </c>
      <c r="G78" s="82" t="s">
        <v>24</v>
      </c>
      <c r="H78" s="82" t="s">
        <v>20</v>
      </c>
      <c r="I78" s="82" t="s">
        <v>25</v>
      </c>
      <c r="J78" s="82">
        <v>1</v>
      </c>
      <c r="K78" s="82" t="s">
        <v>22</v>
      </c>
      <c r="L78" s="83">
        <v>3</v>
      </c>
      <c r="M78" s="84">
        <v>285</v>
      </c>
      <c r="N78" s="85">
        <v>163</v>
      </c>
    </row>
    <row r="79" spans="1:14" ht="14.25" customHeight="1" x14ac:dyDescent="0.25">
      <c r="A79" s="78">
        <v>45701</v>
      </c>
      <c r="B79" s="79">
        <v>0.72013888888888888</v>
      </c>
      <c r="C79" s="78" t="str">
        <f>"Q" &amp; CHOOSE(MONTH(Sales!$A79), "1", "1", "1", "2", "2", "2", "3", "3", "3", "4", "4", "4") &amp; "_" &amp; YEAR(Sales!$A79)</f>
        <v>Q1_2025</v>
      </c>
      <c r="D79" s="80" t="s">
        <v>58</v>
      </c>
      <c r="E79" s="81" t="s">
        <v>14</v>
      </c>
      <c r="F79" s="82" t="s">
        <v>15</v>
      </c>
      <c r="G79" s="82" t="s">
        <v>16</v>
      </c>
      <c r="H79" s="82" t="s">
        <v>17</v>
      </c>
      <c r="I79" s="82" t="s">
        <v>18</v>
      </c>
      <c r="J79" s="82">
        <v>1</v>
      </c>
      <c r="K79" s="82" t="s">
        <v>19</v>
      </c>
      <c r="L79" s="83">
        <v>1</v>
      </c>
      <c r="M79" s="84">
        <v>289</v>
      </c>
      <c r="N79" s="85">
        <v>167</v>
      </c>
    </row>
    <row r="80" spans="1:14" ht="14.25" customHeight="1" x14ac:dyDescent="0.25">
      <c r="A80" s="78">
        <v>45701</v>
      </c>
      <c r="B80" s="79">
        <v>0.86458333333333337</v>
      </c>
      <c r="C80" s="78" t="str">
        <f>"Q" &amp; CHOOSE(MONTH(Sales!$A80), "1", "1", "1", "2", "2", "2", "3", "3", "3", "4", "4", "4") &amp; "_" &amp; YEAR(Sales!$A80)</f>
        <v>Q1_2025</v>
      </c>
      <c r="D80" s="80" t="s">
        <v>62</v>
      </c>
      <c r="E80" s="81" t="s">
        <v>14</v>
      </c>
      <c r="F80" s="82" t="s">
        <v>15</v>
      </c>
      <c r="G80" s="82" t="s">
        <v>16</v>
      </c>
      <c r="H80" s="82" t="s">
        <v>20</v>
      </c>
      <c r="I80" s="82" t="s">
        <v>72</v>
      </c>
      <c r="J80" s="82">
        <v>1</v>
      </c>
      <c r="K80" s="82" t="s">
        <v>22</v>
      </c>
      <c r="L80" s="83">
        <v>2</v>
      </c>
      <c r="M80" s="84">
        <v>579</v>
      </c>
      <c r="N80" s="85">
        <v>378</v>
      </c>
    </row>
    <row r="81" spans="1:14" ht="14.25" customHeight="1" x14ac:dyDescent="0.25">
      <c r="A81" s="78">
        <v>45702</v>
      </c>
      <c r="B81" s="79">
        <v>0.34861111111111109</v>
      </c>
      <c r="C81" s="78" t="s">
        <v>73</v>
      </c>
      <c r="D81" s="80" t="s">
        <v>71</v>
      </c>
      <c r="E81" s="81" t="s">
        <v>14</v>
      </c>
      <c r="F81" s="82" t="s">
        <v>15</v>
      </c>
      <c r="G81" s="82" t="s">
        <v>24</v>
      </c>
      <c r="H81" s="82" t="s">
        <v>20</v>
      </c>
      <c r="I81" s="82" t="s">
        <v>25</v>
      </c>
      <c r="J81" s="82">
        <v>1</v>
      </c>
      <c r="K81" s="82" t="s">
        <v>22</v>
      </c>
      <c r="L81" s="83">
        <v>3</v>
      </c>
      <c r="M81" s="84">
        <v>287</v>
      </c>
      <c r="N81" s="85">
        <v>165</v>
      </c>
    </row>
    <row r="82" spans="1:14" ht="14.25" customHeight="1" x14ac:dyDescent="0.25">
      <c r="A82" s="78">
        <v>45702</v>
      </c>
      <c r="B82" s="79">
        <v>0.37430555555555556</v>
      </c>
      <c r="C82" s="78" t="s">
        <v>73</v>
      </c>
      <c r="D82" s="80" t="s">
        <v>74</v>
      </c>
      <c r="E82" s="81" t="s">
        <v>14</v>
      </c>
      <c r="F82" s="82" t="s">
        <v>15</v>
      </c>
      <c r="G82" s="82" t="s">
        <v>24</v>
      </c>
      <c r="H82" s="82" t="s">
        <v>20</v>
      </c>
      <c r="I82" s="82" t="s">
        <v>25</v>
      </c>
      <c r="J82" s="82">
        <v>1</v>
      </c>
      <c r="K82" s="82" t="s">
        <v>22</v>
      </c>
      <c r="L82" s="83">
        <v>3</v>
      </c>
      <c r="M82" s="84">
        <v>282</v>
      </c>
      <c r="N82" s="85">
        <v>161</v>
      </c>
    </row>
    <row r="83" spans="1:14" ht="14.25" customHeight="1" x14ac:dyDescent="0.25">
      <c r="A83" s="78">
        <v>45702</v>
      </c>
      <c r="B83" s="79">
        <v>0.52708333333333335</v>
      </c>
      <c r="C83" s="78" t="s">
        <v>73</v>
      </c>
      <c r="D83" s="80" t="s">
        <v>58</v>
      </c>
      <c r="E83" s="81" t="s">
        <v>14</v>
      </c>
      <c r="F83" s="82" t="s">
        <v>15</v>
      </c>
      <c r="G83" s="82" t="s">
        <v>24</v>
      </c>
      <c r="H83" s="82" t="s">
        <v>20</v>
      </c>
      <c r="I83" s="82" t="s">
        <v>25</v>
      </c>
      <c r="J83" s="82">
        <v>1</v>
      </c>
      <c r="K83" s="82" t="s">
        <v>22</v>
      </c>
      <c r="L83" s="83">
        <v>3</v>
      </c>
      <c r="M83" s="84">
        <v>288</v>
      </c>
      <c r="N83" s="85">
        <v>166</v>
      </c>
    </row>
    <row r="84" spans="1:14" ht="14.25" customHeight="1" x14ac:dyDescent="0.25">
      <c r="A84" s="78">
        <v>45702</v>
      </c>
      <c r="B84" s="79">
        <v>0.8881944444444444</v>
      </c>
      <c r="C84" s="78" t="s">
        <v>73</v>
      </c>
      <c r="D84" s="80" t="s">
        <v>66</v>
      </c>
      <c r="E84" s="81" t="s">
        <v>14</v>
      </c>
      <c r="F84" s="82" t="s">
        <v>15</v>
      </c>
      <c r="G84" s="82" t="s">
        <v>24</v>
      </c>
      <c r="H84" s="82" t="s">
        <v>20</v>
      </c>
      <c r="I84" s="82" t="s">
        <v>52</v>
      </c>
      <c r="J84" s="82">
        <v>1</v>
      </c>
      <c r="K84" s="82" t="s">
        <v>22</v>
      </c>
      <c r="L84" s="83">
        <v>5</v>
      </c>
      <c r="M84" s="84">
        <v>429</v>
      </c>
      <c r="N84" s="85">
        <v>292</v>
      </c>
    </row>
    <row r="85" spans="1:14" ht="14.25" customHeight="1" x14ac:dyDescent="0.25">
      <c r="A85" s="78">
        <v>45703</v>
      </c>
      <c r="B85" s="79">
        <v>3.9583333333333331E-2</v>
      </c>
      <c r="C85" s="78" t="s">
        <v>73</v>
      </c>
      <c r="D85" s="80" t="s">
        <v>69</v>
      </c>
      <c r="E85" s="81" t="s">
        <v>14</v>
      </c>
      <c r="F85" s="82" t="s">
        <v>15</v>
      </c>
      <c r="G85" s="82" t="s">
        <v>35</v>
      </c>
      <c r="H85" s="82" t="s">
        <v>20</v>
      </c>
      <c r="I85" s="82" t="s">
        <v>65</v>
      </c>
      <c r="J85" s="82">
        <v>1</v>
      </c>
      <c r="K85" s="82" t="s">
        <v>22</v>
      </c>
      <c r="L85" s="83">
        <v>3</v>
      </c>
      <c r="M85" s="84">
        <v>199</v>
      </c>
      <c r="N85" s="85">
        <v>87.34</v>
      </c>
    </row>
    <row r="86" spans="1:14" ht="14.25" customHeight="1" x14ac:dyDescent="0.25">
      <c r="A86" s="78">
        <v>45703</v>
      </c>
      <c r="B86" s="79">
        <v>0.42916666666666664</v>
      </c>
      <c r="C86" s="78" t="s">
        <v>73</v>
      </c>
      <c r="D86" s="80" t="s">
        <v>68</v>
      </c>
      <c r="E86" s="81" t="s">
        <v>14</v>
      </c>
      <c r="F86" s="82" t="s">
        <v>15</v>
      </c>
      <c r="G86" s="82" t="s">
        <v>35</v>
      </c>
      <c r="H86" s="82" t="s">
        <v>20</v>
      </c>
      <c r="I86" s="82" t="s">
        <v>65</v>
      </c>
      <c r="J86" s="82">
        <v>1</v>
      </c>
      <c r="K86" s="82" t="s">
        <v>22</v>
      </c>
      <c r="L86" s="83">
        <v>3</v>
      </c>
      <c r="M86" s="84">
        <v>199</v>
      </c>
      <c r="N86" s="85">
        <v>87.34</v>
      </c>
    </row>
    <row r="87" spans="1:14" ht="14.25" customHeight="1" x14ac:dyDescent="0.25">
      <c r="A87" s="78">
        <v>45703</v>
      </c>
      <c r="B87" s="79">
        <v>0.4375</v>
      </c>
      <c r="C87" s="78" t="s">
        <v>73</v>
      </c>
      <c r="D87" s="80" t="s">
        <v>58</v>
      </c>
      <c r="E87" s="81" t="s">
        <v>14</v>
      </c>
      <c r="F87" s="82" t="s">
        <v>15</v>
      </c>
      <c r="G87" s="82" t="s">
        <v>24</v>
      </c>
      <c r="H87" s="82" t="s">
        <v>20</v>
      </c>
      <c r="I87" s="82" t="s">
        <v>52</v>
      </c>
      <c r="J87" s="82">
        <v>1</v>
      </c>
      <c r="K87" s="82" t="s">
        <v>22</v>
      </c>
      <c r="L87" s="83">
        <v>5</v>
      </c>
      <c r="M87" s="84">
        <v>439</v>
      </c>
      <c r="N87" s="85">
        <v>302</v>
      </c>
    </row>
    <row r="88" spans="1:14" ht="14.25" customHeight="1" x14ac:dyDescent="0.25">
      <c r="A88" s="78">
        <v>45703</v>
      </c>
      <c r="B88" s="79">
        <v>0.51527777777777772</v>
      </c>
      <c r="C88" s="78" t="s">
        <v>73</v>
      </c>
      <c r="D88" s="80" t="s">
        <v>62</v>
      </c>
      <c r="E88" s="81" t="s">
        <v>14</v>
      </c>
      <c r="F88" s="82" t="s">
        <v>15</v>
      </c>
      <c r="G88" s="82" t="s">
        <v>24</v>
      </c>
      <c r="H88" s="82" t="s">
        <v>20</v>
      </c>
      <c r="I88" s="82" t="s">
        <v>25</v>
      </c>
      <c r="J88" s="82">
        <v>1</v>
      </c>
      <c r="K88" s="82" t="s">
        <v>22</v>
      </c>
      <c r="L88" s="83">
        <v>3</v>
      </c>
      <c r="M88" s="84">
        <v>289</v>
      </c>
      <c r="N88" s="85">
        <v>167</v>
      </c>
    </row>
    <row r="89" spans="1:14" ht="14.25" customHeight="1" x14ac:dyDescent="0.25">
      <c r="A89" s="78">
        <v>45703</v>
      </c>
      <c r="B89" s="79">
        <v>0.53263888888888888</v>
      </c>
      <c r="C89" s="78" t="s">
        <v>73</v>
      </c>
      <c r="D89" s="80" t="s">
        <v>58</v>
      </c>
      <c r="E89" s="81" t="s">
        <v>14</v>
      </c>
      <c r="F89" s="82" t="s">
        <v>15</v>
      </c>
      <c r="G89" s="82" t="s">
        <v>24</v>
      </c>
      <c r="H89" s="82" t="s">
        <v>20</v>
      </c>
      <c r="I89" s="82" t="s">
        <v>25</v>
      </c>
      <c r="J89" s="82">
        <v>2</v>
      </c>
      <c r="K89" s="82" t="s">
        <v>22</v>
      </c>
      <c r="L89" s="83">
        <v>6</v>
      </c>
      <c r="M89" s="84">
        <v>560.66</v>
      </c>
      <c r="N89" s="85">
        <v>362.84</v>
      </c>
    </row>
    <row r="90" spans="1:14" ht="14.25" customHeight="1" x14ac:dyDescent="0.25">
      <c r="A90" s="78">
        <v>45703</v>
      </c>
      <c r="B90" s="79">
        <v>0.55555555555555558</v>
      </c>
      <c r="C90" s="78" t="s">
        <v>73</v>
      </c>
      <c r="D90" s="80" t="s">
        <v>62</v>
      </c>
      <c r="E90" s="81" t="s">
        <v>14</v>
      </c>
      <c r="F90" s="82" t="s">
        <v>15</v>
      </c>
      <c r="G90" s="82" t="s">
        <v>35</v>
      </c>
      <c r="H90" s="82" t="s">
        <v>20</v>
      </c>
      <c r="I90" s="82" t="s">
        <v>67</v>
      </c>
      <c r="J90" s="82">
        <v>1</v>
      </c>
      <c r="K90" s="82" t="s">
        <v>22</v>
      </c>
      <c r="L90" s="83">
        <v>3</v>
      </c>
      <c r="M90" s="84">
        <v>199</v>
      </c>
      <c r="N90" s="85">
        <v>87.34</v>
      </c>
    </row>
    <row r="91" spans="1:14" ht="14.25" customHeight="1" x14ac:dyDescent="0.25">
      <c r="A91" s="78">
        <v>45703</v>
      </c>
      <c r="B91" s="79">
        <v>0.55625000000000002</v>
      </c>
      <c r="C91" s="78" t="s">
        <v>73</v>
      </c>
      <c r="D91" s="80" t="s">
        <v>75</v>
      </c>
      <c r="E91" s="81" t="s">
        <v>14</v>
      </c>
      <c r="F91" s="82" t="s">
        <v>15</v>
      </c>
      <c r="G91" s="82" t="s">
        <v>35</v>
      </c>
      <c r="H91" s="82" t="s">
        <v>20</v>
      </c>
      <c r="I91" s="82" t="s">
        <v>43</v>
      </c>
      <c r="J91" s="82">
        <v>1</v>
      </c>
      <c r="K91" s="82" t="s">
        <v>22</v>
      </c>
      <c r="L91" s="83">
        <v>6</v>
      </c>
      <c r="M91" s="84">
        <v>344</v>
      </c>
      <c r="N91" s="85">
        <v>206</v>
      </c>
    </row>
    <row r="92" spans="1:14" ht="14.25" customHeight="1" x14ac:dyDescent="0.25">
      <c r="A92" s="78">
        <v>45703</v>
      </c>
      <c r="B92" s="79">
        <v>0.83611111111111114</v>
      </c>
      <c r="C92" s="78" t="s">
        <v>73</v>
      </c>
      <c r="D92" s="80" t="s">
        <v>76</v>
      </c>
      <c r="E92" s="81" t="s">
        <v>14</v>
      </c>
      <c r="F92" s="82" t="s">
        <v>15</v>
      </c>
      <c r="G92" s="82" t="s">
        <v>24</v>
      </c>
      <c r="H92" s="82" t="s">
        <v>20</v>
      </c>
      <c r="I92" s="82" t="s">
        <v>25</v>
      </c>
      <c r="J92" s="82">
        <v>1</v>
      </c>
      <c r="K92" s="82" t="s">
        <v>22</v>
      </c>
      <c r="L92" s="83">
        <v>3</v>
      </c>
      <c r="M92" s="84">
        <v>284</v>
      </c>
      <c r="N92" s="85">
        <v>163</v>
      </c>
    </row>
    <row r="93" spans="1:14" ht="14.25" customHeight="1" x14ac:dyDescent="0.25">
      <c r="A93" s="78">
        <v>45703</v>
      </c>
      <c r="B93" s="79">
        <v>0.86805555555555558</v>
      </c>
      <c r="C93" s="78" t="s">
        <v>73</v>
      </c>
      <c r="D93" s="80" t="s">
        <v>62</v>
      </c>
      <c r="E93" s="81" t="s">
        <v>14</v>
      </c>
      <c r="F93" s="82" t="s">
        <v>15</v>
      </c>
      <c r="G93" s="82" t="s">
        <v>16</v>
      </c>
      <c r="H93" s="82" t="s">
        <v>20</v>
      </c>
      <c r="I93" s="82" t="s">
        <v>31</v>
      </c>
      <c r="J93" s="82">
        <v>1</v>
      </c>
      <c r="K93" s="82" t="s">
        <v>22</v>
      </c>
      <c r="L93" s="83">
        <v>7</v>
      </c>
      <c r="M93" s="84">
        <v>1749</v>
      </c>
      <c r="N93" s="85">
        <v>1362</v>
      </c>
    </row>
    <row r="94" spans="1:14" ht="14.25" customHeight="1" x14ac:dyDescent="0.25">
      <c r="A94" s="78">
        <v>45703</v>
      </c>
      <c r="B94" s="79">
        <v>0.92083333333333328</v>
      </c>
      <c r="C94" s="78" t="s">
        <v>73</v>
      </c>
      <c r="D94" s="80" t="s">
        <v>60</v>
      </c>
      <c r="E94" s="81" t="s">
        <v>14</v>
      </c>
      <c r="F94" s="82" t="s">
        <v>15</v>
      </c>
      <c r="G94" s="82" t="s">
        <v>24</v>
      </c>
      <c r="H94" s="82" t="s">
        <v>20</v>
      </c>
      <c r="I94" s="82" t="s">
        <v>52</v>
      </c>
      <c r="J94" s="82">
        <v>1</v>
      </c>
      <c r="K94" s="82" t="s">
        <v>22</v>
      </c>
      <c r="L94" s="83">
        <v>5</v>
      </c>
      <c r="M94" s="84">
        <v>449</v>
      </c>
      <c r="N94" s="85">
        <v>311</v>
      </c>
    </row>
    <row r="95" spans="1:14" ht="14.25" customHeight="1" x14ac:dyDescent="0.25">
      <c r="A95" s="78">
        <v>45703</v>
      </c>
      <c r="B95" s="79">
        <v>0.96111111111111114</v>
      </c>
      <c r="C95" s="78" t="s">
        <v>73</v>
      </c>
      <c r="D95" s="80" t="s">
        <v>75</v>
      </c>
      <c r="E95" s="81" t="s">
        <v>14</v>
      </c>
      <c r="F95" s="82" t="s">
        <v>15</v>
      </c>
      <c r="G95" s="82" t="s">
        <v>24</v>
      </c>
      <c r="H95" s="82" t="s">
        <v>20</v>
      </c>
      <c r="I95" s="82" t="s">
        <v>72</v>
      </c>
      <c r="J95" s="82">
        <v>1</v>
      </c>
      <c r="K95" s="82" t="s">
        <v>22</v>
      </c>
      <c r="L95" s="83">
        <v>2</v>
      </c>
      <c r="M95" s="84">
        <v>245</v>
      </c>
      <c r="N95" s="85">
        <v>132</v>
      </c>
    </row>
    <row r="96" spans="1:14" ht="14.25" customHeight="1" x14ac:dyDescent="0.25">
      <c r="A96" s="78">
        <v>45704</v>
      </c>
      <c r="B96" s="79">
        <v>0.42638888888888887</v>
      </c>
      <c r="C96" s="78" t="s">
        <v>73</v>
      </c>
      <c r="D96" s="80" t="s">
        <v>63</v>
      </c>
      <c r="E96" s="81" t="s">
        <v>14</v>
      </c>
      <c r="F96" s="82" t="s">
        <v>15</v>
      </c>
      <c r="G96" s="82" t="s">
        <v>16</v>
      </c>
      <c r="H96" s="82" t="s">
        <v>20</v>
      </c>
      <c r="I96" s="82" t="s">
        <v>49</v>
      </c>
      <c r="J96" s="82">
        <v>1</v>
      </c>
      <c r="K96" s="82" t="s">
        <v>22</v>
      </c>
      <c r="L96" s="83">
        <v>3</v>
      </c>
      <c r="M96" s="84">
        <v>859</v>
      </c>
      <c r="N96" s="85">
        <v>623</v>
      </c>
    </row>
    <row r="97" spans="1:14" ht="14.25" customHeight="1" x14ac:dyDescent="0.25">
      <c r="A97" s="78">
        <v>45704</v>
      </c>
      <c r="B97" s="79">
        <v>0.47013888888888888</v>
      </c>
      <c r="C97" s="78" t="s">
        <v>73</v>
      </c>
      <c r="D97" s="80" t="s">
        <v>63</v>
      </c>
      <c r="E97" s="81" t="s">
        <v>14</v>
      </c>
      <c r="F97" s="82" t="s">
        <v>15</v>
      </c>
      <c r="G97" s="82" t="s">
        <v>24</v>
      </c>
      <c r="H97" s="82" t="s">
        <v>20</v>
      </c>
      <c r="I97" s="82" t="s">
        <v>25</v>
      </c>
      <c r="J97" s="82">
        <v>1</v>
      </c>
      <c r="K97" s="82" t="s">
        <v>48</v>
      </c>
      <c r="L97" s="83">
        <v>3</v>
      </c>
      <c r="M97" s="84">
        <v>0</v>
      </c>
      <c r="N97" s="85">
        <v>0</v>
      </c>
    </row>
    <row r="98" spans="1:14" ht="14.25" customHeight="1" x14ac:dyDescent="0.25">
      <c r="A98" s="78">
        <v>45704</v>
      </c>
      <c r="B98" s="79">
        <v>0.65763888888888888</v>
      </c>
      <c r="C98" s="78" t="s">
        <v>73</v>
      </c>
      <c r="D98" s="80" t="s">
        <v>58</v>
      </c>
      <c r="E98" s="81" t="s">
        <v>14</v>
      </c>
      <c r="F98" s="82" t="s">
        <v>15</v>
      </c>
      <c r="G98" s="82" t="s">
        <v>24</v>
      </c>
      <c r="H98" s="82" t="s">
        <v>20</v>
      </c>
      <c r="I98" s="82" t="s">
        <v>52</v>
      </c>
      <c r="J98" s="82">
        <v>1</v>
      </c>
      <c r="K98" s="82" t="s">
        <v>22</v>
      </c>
      <c r="L98" s="83">
        <v>5</v>
      </c>
      <c r="M98" s="84">
        <v>459</v>
      </c>
      <c r="N98" s="85">
        <v>320</v>
      </c>
    </row>
    <row r="99" spans="1:14" ht="14.25" customHeight="1" x14ac:dyDescent="0.25">
      <c r="A99" s="78">
        <v>45704</v>
      </c>
      <c r="B99" s="79">
        <v>0.65972222222222221</v>
      </c>
      <c r="C99" s="78" t="s">
        <v>73</v>
      </c>
      <c r="D99" s="80" t="s">
        <v>68</v>
      </c>
      <c r="E99" s="81" t="s">
        <v>14</v>
      </c>
      <c r="F99" s="82" t="s">
        <v>15</v>
      </c>
      <c r="G99" s="82" t="s">
        <v>35</v>
      </c>
      <c r="H99" s="82" t="s">
        <v>20</v>
      </c>
      <c r="I99" s="82" t="s">
        <v>51</v>
      </c>
      <c r="J99" s="82">
        <v>1</v>
      </c>
      <c r="K99" s="82" t="s">
        <v>22</v>
      </c>
      <c r="L99" s="83">
        <v>3</v>
      </c>
      <c r="M99" s="84">
        <v>229</v>
      </c>
      <c r="N99" s="85">
        <v>114</v>
      </c>
    </row>
    <row r="100" spans="1:14" ht="14.25" customHeight="1" x14ac:dyDescent="0.25">
      <c r="A100" s="78">
        <v>45704</v>
      </c>
      <c r="B100" s="79">
        <v>0.69097222222222221</v>
      </c>
      <c r="C100" s="78" t="s">
        <v>73</v>
      </c>
      <c r="D100" s="80" t="s">
        <v>69</v>
      </c>
      <c r="E100" s="81" t="s">
        <v>14</v>
      </c>
      <c r="F100" s="82" t="s">
        <v>15</v>
      </c>
      <c r="G100" s="82" t="s">
        <v>24</v>
      </c>
      <c r="H100" s="82" t="s">
        <v>20</v>
      </c>
      <c r="I100" s="82" t="s">
        <v>25</v>
      </c>
      <c r="J100" s="82">
        <v>1</v>
      </c>
      <c r="K100" s="82" t="s">
        <v>22</v>
      </c>
      <c r="L100" s="83">
        <v>3</v>
      </c>
      <c r="M100" s="84">
        <v>299</v>
      </c>
      <c r="N100" s="85">
        <v>176</v>
      </c>
    </row>
    <row r="101" spans="1:14" ht="14.25" customHeight="1" x14ac:dyDescent="0.25">
      <c r="A101" s="78">
        <v>45704</v>
      </c>
      <c r="B101" s="79">
        <v>0.81944444444444442</v>
      </c>
      <c r="C101" s="78" t="s">
        <v>73</v>
      </c>
      <c r="D101" s="80" t="s">
        <v>58</v>
      </c>
      <c r="E101" s="81" t="s">
        <v>14</v>
      </c>
      <c r="F101" s="82" t="s">
        <v>15</v>
      </c>
      <c r="G101" s="82" t="s">
        <v>24</v>
      </c>
      <c r="H101" s="82" t="s">
        <v>20</v>
      </c>
      <c r="I101" s="82" t="s">
        <v>52</v>
      </c>
      <c r="J101" s="82">
        <v>1</v>
      </c>
      <c r="K101" s="82" t="s">
        <v>22</v>
      </c>
      <c r="L101" s="83">
        <v>5</v>
      </c>
      <c r="M101" s="84">
        <v>454</v>
      </c>
      <c r="N101" s="85">
        <v>315</v>
      </c>
    </row>
    <row r="102" spans="1:14" ht="14.25" customHeight="1" x14ac:dyDescent="0.25">
      <c r="A102" s="78">
        <v>45704</v>
      </c>
      <c r="B102" s="79">
        <v>0.91319444444444442</v>
      </c>
      <c r="C102" s="78" t="s">
        <v>73</v>
      </c>
      <c r="D102" s="80" t="s">
        <v>62</v>
      </c>
      <c r="E102" s="81" t="s">
        <v>14</v>
      </c>
      <c r="F102" s="82" t="s">
        <v>15</v>
      </c>
      <c r="G102" s="82" t="s">
        <v>24</v>
      </c>
      <c r="H102" s="82" t="s">
        <v>20</v>
      </c>
      <c r="I102" s="82" t="s">
        <v>25</v>
      </c>
      <c r="J102" s="82">
        <v>1</v>
      </c>
      <c r="K102" s="82" t="s">
        <v>22</v>
      </c>
      <c r="L102" s="83">
        <v>3</v>
      </c>
      <c r="M102" s="84">
        <v>294</v>
      </c>
      <c r="N102" s="85">
        <v>172</v>
      </c>
    </row>
    <row r="103" spans="1:14" ht="14.25" customHeight="1" x14ac:dyDescent="0.25">
      <c r="A103" s="78">
        <v>45705</v>
      </c>
      <c r="B103" s="79">
        <v>0.32500000000000001</v>
      </c>
      <c r="C103" s="78" t="s">
        <v>73</v>
      </c>
      <c r="D103" s="80" t="s">
        <v>58</v>
      </c>
      <c r="E103" s="81" t="s">
        <v>14</v>
      </c>
      <c r="F103" s="82" t="s">
        <v>15</v>
      </c>
      <c r="G103" s="82" t="s">
        <v>16</v>
      </c>
      <c r="H103" s="82" t="s">
        <v>20</v>
      </c>
      <c r="I103" s="82" t="s">
        <v>49</v>
      </c>
      <c r="J103" s="82">
        <v>1</v>
      </c>
      <c r="K103" s="82" t="s">
        <v>22</v>
      </c>
      <c r="L103" s="83">
        <v>3</v>
      </c>
      <c r="M103" s="84">
        <v>859</v>
      </c>
      <c r="N103" s="85">
        <v>623</v>
      </c>
    </row>
    <row r="104" spans="1:14" ht="14.25" customHeight="1" x14ac:dyDescent="0.25">
      <c r="A104" s="78">
        <v>45705</v>
      </c>
      <c r="B104" s="79">
        <v>0.32500000000000001</v>
      </c>
      <c r="C104" s="78" t="s">
        <v>73</v>
      </c>
      <c r="D104" s="80" t="s">
        <v>58</v>
      </c>
      <c r="E104" s="81" t="s">
        <v>14</v>
      </c>
      <c r="F104" s="82" t="s">
        <v>15</v>
      </c>
      <c r="G104" s="82" t="s">
        <v>24</v>
      </c>
      <c r="H104" s="82" t="s">
        <v>20</v>
      </c>
      <c r="I104" s="82" t="s">
        <v>25</v>
      </c>
      <c r="J104" s="82">
        <v>1</v>
      </c>
      <c r="K104" s="82" t="s">
        <v>48</v>
      </c>
      <c r="L104" s="83">
        <v>3</v>
      </c>
      <c r="M104" s="84">
        <v>0</v>
      </c>
      <c r="N104" s="85">
        <v>0</v>
      </c>
    </row>
    <row r="105" spans="1:14" ht="14.25" customHeight="1" x14ac:dyDescent="0.25">
      <c r="A105" s="78">
        <v>45705</v>
      </c>
      <c r="B105" s="79">
        <v>0.35416666666666669</v>
      </c>
      <c r="C105" s="78" t="s">
        <v>73</v>
      </c>
      <c r="D105" s="80" t="s">
        <v>75</v>
      </c>
      <c r="E105" s="81" t="s">
        <v>14</v>
      </c>
      <c r="F105" s="82" t="s">
        <v>15</v>
      </c>
      <c r="G105" s="82" t="s">
        <v>24</v>
      </c>
      <c r="H105" s="82" t="s">
        <v>20</v>
      </c>
      <c r="I105" s="82" t="s">
        <v>25</v>
      </c>
      <c r="J105" s="82">
        <v>1</v>
      </c>
      <c r="K105" s="82" t="s">
        <v>22</v>
      </c>
      <c r="L105" s="83">
        <v>3</v>
      </c>
      <c r="M105" s="84">
        <v>294</v>
      </c>
      <c r="N105" s="85">
        <v>172</v>
      </c>
    </row>
    <row r="106" spans="1:14" ht="14.25" customHeight="1" x14ac:dyDescent="0.25">
      <c r="A106" s="78">
        <v>45705</v>
      </c>
      <c r="B106" s="79">
        <v>0.54027777777777775</v>
      </c>
      <c r="C106" s="78" t="s">
        <v>73</v>
      </c>
      <c r="D106" s="80" t="s">
        <v>56</v>
      </c>
      <c r="E106" s="81" t="s">
        <v>14</v>
      </c>
      <c r="F106" s="82" t="s">
        <v>15</v>
      </c>
      <c r="G106" s="82" t="s">
        <v>24</v>
      </c>
      <c r="H106" s="82" t="s">
        <v>20</v>
      </c>
      <c r="I106" s="82" t="s">
        <v>25</v>
      </c>
      <c r="J106" s="82">
        <v>1</v>
      </c>
      <c r="K106" s="82" t="s">
        <v>22</v>
      </c>
      <c r="L106" s="83">
        <v>3</v>
      </c>
      <c r="M106" s="84">
        <v>294</v>
      </c>
      <c r="N106" s="85">
        <v>172</v>
      </c>
    </row>
    <row r="107" spans="1:14" ht="14.25" customHeight="1" x14ac:dyDescent="0.25">
      <c r="A107" s="78">
        <v>45705</v>
      </c>
      <c r="B107" s="79">
        <v>0.54097222222222219</v>
      </c>
      <c r="C107" s="78" t="s">
        <v>73</v>
      </c>
      <c r="D107" s="80" t="s">
        <v>77</v>
      </c>
      <c r="E107" s="81" t="s">
        <v>14</v>
      </c>
      <c r="F107" s="82" t="s">
        <v>15</v>
      </c>
      <c r="G107" s="82" t="s">
        <v>35</v>
      </c>
      <c r="H107" s="82" t="s">
        <v>20</v>
      </c>
      <c r="I107" s="82" t="s">
        <v>43</v>
      </c>
      <c r="J107" s="82">
        <v>1</v>
      </c>
      <c r="K107" s="82" t="s">
        <v>22</v>
      </c>
      <c r="L107" s="83">
        <v>6</v>
      </c>
      <c r="M107" s="84">
        <v>349</v>
      </c>
      <c r="N107" s="85">
        <v>211</v>
      </c>
    </row>
    <row r="108" spans="1:14" ht="14.25" customHeight="1" x14ac:dyDescent="0.25">
      <c r="A108" s="78">
        <v>45705</v>
      </c>
      <c r="B108" s="79">
        <v>0.61944444444444446</v>
      </c>
      <c r="C108" s="78" t="s">
        <v>73</v>
      </c>
      <c r="D108" s="80" t="s">
        <v>63</v>
      </c>
      <c r="E108" s="81" t="s">
        <v>14</v>
      </c>
      <c r="F108" s="82" t="s">
        <v>15</v>
      </c>
      <c r="G108" s="82" t="s">
        <v>24</v>
      </c>
      <c r="H108" s="82" t="s">
        <v>20</v>
      </c>
      <c r="I108" s="82" t="s">
        <v>25</v>
      </c>
      <c r="J108" s="82">
        <v>1</v>
      </c>
      <c r="K108" s="82" t="s">
        <v>22</v>
      </c>
      <c r="L108" s="83">
        <v>3</v>
      </c>
      <c r="M108" s="84">
        <v>314</v>
      </c>
      <c r="N108" s="85">
        <v>187</v>
      </c>
    </row>
    <row r="109" spans="1:14" ht="14.25" customHeight="1" x14ac:dyDescent="0.25">
      <c r="A109" s="78">
        <v>45705</v>
      </c>
      <c r="B109" s="79">
        <v>0.73055555555555551</v>
      </c>
      <c r="C109" s="78" t="s">
        <v>73</v>
      </c>
      <c r="D109" s="80" t="s">
        <v>60</v>
      </c>
      <c r="E109" s="81" t="s">
        <v>14</v>
      </c>
      <c r="F109" s="82" t="s">
        <v>15</v>
      </c>
      <c r="G109" s="82" t="s">
        <v>24</v>
      </c>
      <c r="H109" s="82" t="s">
        <v>20</v>
      </c>
      <c r="I109" s="82" t="s">
        <v>25</v>
      </c>
      <c r="J109" s="82">
        <v>1</v>
      </c>
      <c r="K109" s="82" t="s">
        <v>22</v>
      </c>
      <c r="L109" s="83">
        <v>3</v>
      </c>
      <c r="M109" s="84">
        <v>314</v>
      </c>
      <c r="N109" s="85">
        <v>187</v>
      </c>
    </row>
    <row r="110" spans="1:14" ht="14.25" customHeight="1" x14ac:dyDescent="0.25">
      <c r="A110" s="78">
        <v>45705</v>
      </c>
      <c r="B110" s="79">
        <v>0.76041666666666663</v>
      </c>
      <c r="C110" s="78" t="s">
        <v>73</v>
      </c>
      <c r="D110" s="80" t="s">
        <v>60</v>
      </c>
      <c r="E110" s="81" t="s">
        <v>14</v>
      </c>
      <c r="F110" s="82" t="s">
        <v>15</v>
      </c>
      <c r="G110" s="82" t="s">
        <v>35</v>
      </c>
      <c r="H110" s="82" t="s">
        <v>20</v>
      </c>
      <c r="I110" s="82" t="s">
        <v>43</v>
      </c>
      <c r="J110" s="82">
        <v>1</v>
      </c>
      <c r="K110" s="82" t="s">
        <v>22</v>
      </c>
      <c r="L110" s="83">
        <v>6</v>
      </c>
      <c r="M110" s="84">
        <v>344</v>
      </c>
      <c r="N110" s="85">
        <v>207</v>
      </c>
    </row>
    <row r="111" spans="1:14" ht="14.25" customHeight="1" x14ac:dyDescent="0.25">
      <c r="A111" s="78">
        <v>45705</v>
      </c>
      <c r="B111" s="79">
        <v>0.85</v>
      </c>
      <c r="C111" s="78" t="s">
        <v>73</v>
      </c>
      <c r="D111" s="80" t="s">
        <v>78</v>
      </c>
      <c r="E111" s="81" t="s">
        <v>14</v>
      </c>
      <c r="F111" s="82" t="s">
        <v>15</v>
      </c>
      <c r="G111" s="82" t="s">
        <v>35</v>
      </c>
      <c r="H111" s="82" t="s">
        <v>20</v>
      </c>
      <c r="I111" s="82" t="s">
        <v>79</v>
      </c>
      <c r="J111" s="82">
        <v>1</v>
      </c>
      <c r="K111" s="82" t="s">
        <v>22</v>
      </c>
      <c r="L111" s="83">
        <v>6</v>
      </c>
      <c r="M111" s="84">
        <v>344</v>
      </c>
      <c r="N111" s="85">
        <v>207</v>
      </c>
    </row>
    <row r="112" spans="1:14" ht="14.25" customHeight="1" x14ac:dyDescent="0.25">
      <c r="A112" s="78">
        <v>45705</v>
      </c>
      <c r="B112" s="79">
        <v>0.34166666666666667</v>
      </c>
      <c r="C112" s="78" t="s">
        <v>73</v>
      </c>
      <c r="D112" s="80" t="s">
        <v>59</v>
      </c>
      <c r="E112" s="81" t="s">
        <v>14</v>
      </c>
      <c r="F112" s="82" t="s">
        <v>15</v>
      </c>
      <c r="G112" s="82" t="s">
        <v>24</v>
      </c>
      <c r="H112" s="82" t="s">
        <v>20</v>
      </c>
      <c r="I112" s="82" t="s">
        <v>25</v>
      </c>
      <c r="J112" s="82">
        <v>1</v>
      </c>
      <c r="K112" s="82" t="s">
        <v>22</v>
      </c>
      <c r="L112" s="83">
        <v>3</v>
      </c>
      <c r="M112" s="84">
        <v>294</v>
      </c>
      <c r="N112" s="85">
        <v>172</v>
      </c>
    </row>
    <row r="113" spans="1:14" ht="14.25" customHeight="1" x14ac:dyDescent="0.25">
      <c r="A113" s="78">
        <v>45706</v>
      </c>
      <c r="B113" s="79">
        <v>0.57638888888888884</v>
      </c>
      <c r="C113" s="78" t="s">
        <v>73</v>
      </c>
      <c r="D113" s="80" t="s">
        <v>60</v>
      </c>
      <c r="E113" s="81" t="s">
        <v>14</v>
      </c>
      <c r="F113" s="82" t="s">
        <v>15</v>
      </c>
      <c r="G113" s="82" t="s">
        <v>35</v>
      </c>
      <c r="H113" s="82" t="s">
        <v>20</v>
      </c>
      <c r="I113" s="82" t="s">
        <v>80</v>
      </c>
      <c r="J113" s="82">
        <v>1</v>
      </c>
      <c r="K113" s="82" t="s">
        <v>22</v>
      </c>
      <c r="L113" s="83">
        <v>5</v>
      </c>
      <c r="M113" s="84">
        <v>294</v>
      </c>
      <c r="N113" s="85">
        <v>168</v>
      </c>
    </row>
    <row r="114" spans="1:14" ht="14.25" customHeight="1" x14ac:dyDescent="0.25">
      <c r="A114" s="78">
        <v>45706</v>
      </c>
      <c r="B114" s="79">
        <v>0.62152777777777779</v>
      </c>
      <c r="C114" s="78" t="s">
        <v>73</v>
      </c>
      <c r="D114" s="80" t="s">
        <v>60</v>
      </c>
      <c r="E114" s="81" t="s">
        <v>14</v>
      </c>
      <c r="F114" s="82" t="s">
        <v>15</v>
      </c>
      <c r="G114" s="82" t="s">
        <v>35</v>
      </c>
      <c r="H114" s="82" t="s">
        <v>20</v>
      </c>
      <c r="I114" s="82" t="s">
        <v>51</v>
      </c>
      <c r="J114" s="82">
        <v>1</v>
      </c>
      <c r="K114" s="82" t="s">
        <v>22</v>
      </c>
      <c r="L114" s="83">
        <v>6</v>
      </c>
      <c r="M114" s="84">
        <v>369</v>
      </c>
      <c r="N114" s="85">
        <v>228</v>
      </c>
    </row>
    <row r="115" spans="1:14" ht="14.25" customHeight="1" x14ac:dyDescent="0.25">
      <c r="A115" s="78">
        <v>45706</v>
      </c>
      <c r="B115" s="79">
        <v>0.72291666666666665</v>
      </c>
      <c r="C115" s="78" t="s">
        <v>73</v>
      </c>
      <c r="D115" s="80" t="s">
        <v>58</v>
      </c>
      <c r="E115" s="81" t="s">
        <v>14</v>
      </c>
      <c r="F115" s="82" t="s">
        <v>15</v>
      </c>
      <c r="G115" s="82" t="s">
        <v>24</v>
      </c>
      <c r="H115" s="82" t="s">
        <v>20</v>
      </c>
      <c r="I115" s="82" t="s">
        <v>52</v>
      </c>
      <c r="J115" s="82">
        <v>1</v>
      </c>
      <c r="K115" s="82" t="s">
        <v>22</v>
      </c>
      <c r="L115" s="83">
        <v>5</v>
      </c>
      <c r="M115" s="84">
        <v>474</v>
      </c>
      <c r="N115" s="85">
        <v>334</v>
      </c>
    </row>
    <row r="116" spans="1:14" ht="14.25" customHeight="1" x14ac:dyDescent="0.25">
      <c r="A116" s="78">
        <v>45706</v>
      </c>
      <c r="B116" s="79">
        <v>0.81736111111111109</v>
      </c>
      <c r="C116" s="78" t="s">
        <v>73</v>
      </c>
      <c r="D116" s="80" t="s">
        <v>63</v>
      </c>
      <c r="E116" s="81" t="s">
        <v>14</v>
      </c>
      <c r="F116" s="82" t="s">
        <v>15</v>
      </c>
      <c r="G116" s="82" t="s">
        <v>24</v>
      </c>
      <c r="H116" s="82" t="s">
        <v>20</v>
      </c>
      <c r="I116" s="82" t="s">
        <v>52</v>
      </c>
      <c r="J116" s="82">
        <v>1</v>
      </c>
      <c r="K116" s="82" t="s">
        <v>22</v>
      </c>
      <c r="L116" s="83">
        <v>3</v>
      </c>
      <c r="M116" s="84">
        <v>319</v>
      </c>
      <c r="N116" s="85">
        <v>191</v>
      </c>
    </row>
    <row r="117" spans="1:14" ht="14.25" customHeight="1" x14ac:dyDescent="0.25">
      <c r="A117" s="78">
        <v>45706</v>
      </c>
      <c r="B117" s="79">
        <v>0.96805555555555556</v>
      </c>
      <c r="C117" s="78" t="s">
        <v>73</v>
      </c>
      <c r="D117" s="80" t="s">
        <v>68</v>
      </c>
      <c r="E117" s="81" t="s">
        <v>14</v>
      </c>
      <c r="F117" s="82" t="s">
        <v>15</v>
      </c>
      <c r="G117" s="82" t="s">
        <v>35</v>
      </c>
      <c r="H117" s="82" t="s">
        <v>20</v>
      </c>
      <c r="I117" s="82" t="s">
        <v>36</v>
      </c>
      <c r="J117" s="82">
        <v>1</v>
      </c>
      <c r="K117" s="82" t="s">
        <v>22</v>
      </c>
      <c r="L117" s="83">
        <v>5</v>
      </c>
      <c r="M117" s="84">
        <v>299</v>
      </c>
      <c r="N117" s="85">
        <v>176</v>
      </c>
    </row>
    <row r="118" spans="1:14" ht="14.25" customHeight="1" x14ac:dyDescent="0.25">
      <c r="A118" s="78">
        <v>45707</v>
      </c>
      <c r="B118" s="79">
        <v>2.5000000000000001E-2</v>
      </c>
      <c r="C118" s="78" t="s">
        <v>73</v>
      </c>
      <c r="D118" s="80" t="s">
        <v>56</v>
      </c>
      <c r="E118" s="81" t="s">
        <v>14</v>
      </c>
      <c r="F118" s="82" t="s">
        <v>15</v>
      </c>
      <c r="G118" s="82" t="s">
        <v>24</v>
      </c>
      <c r="H118" s="82" t="s">
        <v>20</v>
      </c>
      <c r="I118" s="82" t="s">
        <v>81</v>
      </c>
      <c r="J118" s="82">
        <v>1</v>
      </c>
      <c r="K118" s="82" t="s">
        <v>22</v>
      </c>
      <c r="L118" s="83">
        <v>9</v>
      </c>
      <c r="M118" s="84">
        <v>749</v>
      </c>
      <c r="N118" s="85">
        <v>526</v>
      </c>
    </row>
    <row r="119" spans="1:14" ht="14.25" customHeight="1" x14ac:dyDescent="0.25">
      <c r="A119" s="78">
        <v>45707</v>
      </c>
      <c r="B119" s="79">
        <v>0.38194444444444442</v>
      </c>
      <c r="C119" s="78" t="s">
        <v>73</v>
      </c>
      <c r="D119" s="80" t="s">
        <v>82</v>
      </c>
      <c r="E119" s="81" t="s">
        <v>14</v>
      </c>
      <c r="F119" s="82" t="s">
        <v>15</v>
      </c>
      <c r="G119" s="82" t="s">
        <v>24</v>
      </c>
      <c r="H119" s="82" t="s">
        <v>20</v>
      </c>
      <c r="I119" s="82" t="s">
        <v>52</v>
      </c>
      <c r="J119" s="82">
        <v>1</v>
      </c>
      <c r="K119" s="82" t="s">
        <v>22</v>
      </c>
      <c r="L119" s="83">
        <v>5</v>
      </c>
      <c r="M119" s="84">
        <v>479</v>
      </c>
      <c r="N119" s="85">
        <v>338</v>
      </c>
    </row>
    <row r="120" spans="1:14" ht="14.25" customHeight="1" x14ac:dyDescent="0.25">
      <c r="A120" s="78">
        <v>45707</v>
      </c>
      <c r="B120" s="79">
        <v>0.4513888888888889</v>
      </c>
      <c r="C120" s="78" t="s">
        <v>73</v>
      </c>
      <c r="D120" s="80" t="s">
        <v>58</v>
      </c>
      <c r="E120" s="81" t="s">
        <v>14</v>
      </c>
      <c r="F120" s="82" t="s">
        <v>15</v>
      </c>
      <c r="G120" s="82" t="s">
        <v>24</v>
      </c>
      <c r="H120" s="82" t="s">
        <v>20</v>
      </c>
      <c r="I120" s="82" t="s">
        <v>25</v>
      </c>
      <c r="J120" s="82">
        <v>1</v>
      </c>
      <c r="K120" s="82" t="s">
        <v>22</v>
      </c>
      <c r="L120" s="83">
        <v>3</v>
      </c>
      <c r="M120" s="84">
        <v>319</v>
      </c>
      <c r="N120" s="85">
        <v>191</v>
      </c>
    </row>
    <row r="121" spans="1:14" ht="14.25" customHeight="1" x14ac:dyDescent="0.25">
      <c r="A121" s="78">
        <v>45707</v>
      </c>
      <c r="B121" s="79">
        <v>0.82013888888888886</v>
      </c>
      <c r="C121" s="78" t="s">
        <v>73</v>
      </c>
      <c r="D121" s="80" t="s">
        <v>56</v>
      </c>
      <c r="E121" s="81" t="s">
        <v>14</v>
      </c>
      <c r="F121" s="82" t="s">
        <v>15</v>
      </c>
      <c r="G121" s="82" t="s">
        <v>24</v>
      </c>
      <c r="H121" s="82" t="s">
        <v>20</v>
      </c>
      <c r="I121" s="82" t="s">
        <v>52</v>
      </c>
      <c r="J121" s="82">
        <v>1</v>
      </c>
      <c r="K121" s="82" t="s">
        <v>22</v>
      </c>
      <c r="L121" s="83">
        <v>5</v>
      </c>
      <c r="M121" s="84">
        <v>484</v>
      </c>
      <c r="N121" s="85">
        <v>342</v>
      </c>
    </row>
    <row r="122" spans="1:14" ht="14.25" customHeight="1" x14ac:dyDescent="0.25">
      <c r="A122" s="78">
        <v>45707</v>
      </c>
      <c r="B122" s="79">
        <v>0.96527777777777779</v>
      </c>
      <c r="C122" s="78" t="s">
        <v>73</v>
      </c>
      <c r="D122" s="80" t="s">
        <v>69</v>
      </c>
      <c r="E122" s="81" t="s">
        <v>14</v>
      </c>
      <c r="F122" s="82" t="s">
        <v>15</v>
      </c>
      <c r="G122" s="82" t="s">
        <v>24</v>
      </c>
      <c r="H122" s="82" t="s">
        <v>20</v>
      </c>
      <c r="I122" s="82" t="s">
        <v>26</v>
      </c>
      <c r="J122" s="82">
        <v>1</v>
      </c>
      <c r="K122" s="82" t="s">
        <v>22</v>
      </c>
      <c r="L122" s="83">
        <v>6</v>
      </c>
      <c r="M122" s="84">
        <v>559</v>
      </c>
      <c r="N122" s="85">
        <v>361</v>
      </c>
    </row>
    <row r="123" spans="1:14" ht="14.25" customHeight="1" x14ac:dyDescent="0.25">
      <c r="A123" s="78">
        <v>45707</v>
      </c>
      <c r="B123" s="79">
        <v>0.98055555555555551</v>
      </c>
      <c r="C123" s="78" t="s">
        <v>73</v>
      </c>
      <c r="D123" s="80" t="s">
        <v>58</v>
      </c>
      <c r="E123" s="81" t="s">
        <v>14</v>
      </c>
      <c r="F123" s="82" t="s">
        <v>15</v>
      </c>
      <c r="G123" s="82" t="s">
        <v>24</v>
      </c>
      <c r="H123" s="82" t="s">
        <v>20</v>
      </c>
      <c r="I123" s="82" t="s">
        <v>25</v>
      </c>
      <c r="J123" s="82">
        <v>1</v>
      </c>
      <c r="K123" s="82" t="s">
        <v>22</v>
      </c>
      <c r="L123" s="83">
        <v>3</v>
      </c>
      <c r="M123" s="84">
        <v>324</v>
      </c>
      <c r="N123" s="85">
        <v>196</v>
      </c>
    </row>
    <row r="124" spans="1:14" ht="14.25" customHeight="1" x14ac:dyDescent="0.25">
      <c r="A124" s="78">
        <v>45708</v>
      </c>
      <c r="B124" s="79">
        <v>1.8055555555555554E-2</v>
      </c>
      <c r="C124" s="78" t="s">
        <v>73</v>
      </c>
      <c r="D124" s="80" t="s">
        <v>66</v>
      </c>
      <c r="E124" s="81" t="s">
        <v>14</v>
      </c>
      <c r="F124" s="82" t="s">
        <v>15</v>
      </c>
      <c r="G124" s="82" t="s">
        <v>35</v>
      </c>
      <c r="H124" s="82" t="s">
        <v>20</v>
      </c>
      <c r="I124" s="82" t="s">
        <v>43</v>
      </c>
      <c r="J124" s="82">
        <v>1</v>
      </c>
      <c r="K124" s="82" t="s">
        <v>22</v>
      </c>
      <c r="L124" s="83">
        <v>6</v>
      </c>
      <c r="M124" s="84">
        <v>379</v>
      </c>
      <c r="N124" s="85">
        <v>239</v>
      </c>
    </row>
    <row r="125" spans="1:14" ht="14.25" customHeight="1" x14ac:dyDescent="0.25">
      <c r="A125" s="78">
        <v>45708</v>
      </c>
      <c r="B125" s="79">
        <v>0.5083333333333333</v>
      </c>
      <c r="C125" s="78" t="s">
        <v>73</v>
      </c>
      <c r="D125" s="80" t="s">
        <v>58</v>
      </c>
      <c r="E125" s="81" t="s">
        <v>14</v>
      </c>
      <c r="F125" s="82" t="s">
        <v>15</v>
      </c>
      <c r="G125" s="82" t="s">
        <v>35</v>
      </c>
      <c r="H125" s="82" t="s">
        <v>20</v>
      </c>
      <c r="I125" s="82" t="s">
        <v>42</v>
      </c>
      <c r="J125" s="82">
        <v>1</v>
      </c>
      <c r="K125" s="82" t="s">
        <v>19</v>
      </c>
      <c r="L125" s="83">
        <v>3</v>
      </c>
      <c r="M125" s="84">
        <v>199</v>
      </c>
      <c r="N125" s="85">
        <v>87</v>
      </c>
    </row>
    <row r="126" spans="1:14" ht="14.25" customHeight="1" x14ac:dyDescent="0.25">
      <c r="A126" s="78">
        <v>45708</v>
      </c>
      <c r="B126" s="79">
        <v>0.51944444444444449</v>
      </c>
      <c r="C126" s="78" t="s">
        <v>73</v>
      </c>
      <c r="D126" s="80" t="s">
        <v>58</v>
      </c>
      <c r="E126" s="81" t="s">
        <v>14</v>
      </c>
      <c r="F126" s="82" t="s">
        <v>15</v>
      </c>
      <c r="G126" s="82" t="s">
        <v>24</v>
      </c>
      <c r="H126" s="82" t="s">
        <v>20</v>
      </c>
      <c r="I126" s="82" t="s">
        <v>52</v>
      </c>
      <c r="J126" s="82">
        <v>1</v>
      </c>
      <c r="K126" s="82" t="s">
        <v>22</v>
      </c>
      <c r="L126" s="83">
        <v>5</v>
      </c>
      <c r="M126" s="84">
        <v>489</v>
      </c>
      <c r="N126" s="85">
        <v>348</v>
      </c>
    </row>
    <row r="127" spans="1:14" ht="14.25" customHeight="1" x14ac:dyDescent="0.25">
      <c r="A127" s="78">
        <v>45708</v>
      </c>
      <c r="B127" s="79">
        <v>0.63541666666666663</v>
      </c>
      <c r="C127" s="78" t="s">
        <v>73</v>
      </c>
      <c r="D127" s="80" t="s">
        <v>58</v>
      </c>
      <c r="E127" s="81" t="s">
        <v>14</v>
      </c>
      <c r="F127" s="82" t="s">
        <v>15</v>
      </c>
      <c r="G127" s="82" t="s">
        <v>24</v>
      </c>
      <c r="H127" s="82" t="s">
        <v>20</v>
      </c>
      <c r="I127" s="82" t="s">
        <v>26</v>
      </c>
      <c r="J127" s="82">
        <v>1</v>
      </c>
      <c r="K127" s="82" t="s">
        <v>22</v>
      </c>
      <c r="L127" s="83">
        <v>6</v>
      </c>
      <c r="M127" s="84">
        <v>559</v>
      </c>
      <c r="N127" s="85">
        <v>361</v>
      </c>
    </row>
    <row r="128" spans="1:14" ht="14.25" customHeight="1" x14ac:dyDescent="0.25">
      <c r="A128" s="78">
        <v>45708</v>
      </c>
      <c r="B128" s="79">
        <v>0.63611111111111107</v>
      </c>
      <c r="C128" s="78" t="s">
        <v>73</v>
      </c>
      <c r="D128" s="80" t="s">
        <v>62</v>
      </c>
      <c r="E128" s="81" t="s">
        <v>14</v>
      </c>
      <c r="F128" s="82" t="s">
        <v>15</v>
      </c>
      <c r="G128" s="82" t="s">
        <v>35</v>
      </c>
      <c r="H128" s="82" t="s">
        <v>20</v>
      </c>
      <c r="I128" s="82" t="s">
        <v>83</v>
      </c>
      <c r="J128" s="82">
        <v>1</v>
      </c>
      <c r="K128" s="82" t="s">
        <v>22</v>
      </c>
      <c r="L128" s="83">
        <v>6</v>
      </c>
      <c r="M128" s="84">
        <v>379</v>
      </c>
      <c r="N128" s="85">
        <v>239</v>
      </c>
    </row>
    <row r="129" spans="1:14" ht="14.25" customHeight="1" x14ac:dyDescent="0.25">
      <c r="A129" s="78">
        <v>45708</v>
      </c>
      <c r="B129" s="79">
        <v>0.88055555555555554</v>
      </c>
      <c r="C129" s="78" t="s">
        <v>73</v>
      </c>
      <c r="D129" s="80" t="s">
        <v>68</v>
      </c>
      <c r="E129" s="81" t="s">
        <v>14</v>
      </c>
      <c r="F129" s="82" t="s">
        <v>15</v>
      </c>
      <c r="G129" s="82" t="s">
        <v>35</v>
      </c>
      <c r="H129" s="82" t="s">
        <v>20</v>
      </c>
      <c r="I129" s="82" t="s">
        <v>67</v>
      </c>
      <c r="J129" s="82">
        <v>1</v>
      </c>
      <c r="K129" s="82" t="s">
        <v>84</v>
      </c>
      <c r="L129" s="83">
        <v>3</v>
      </c>
      <c r="M129" s="84">
        <v>0</v>
      </c>
      <c r="N129" s="85">
        <v>0</v>
      </c>
    </row>
    <row r="130" spans="1:14" ht="14.25" customHeight="1" x14ac:dyDescent="0.25">
      <c r="A130" s="78">
        <v>45708</v>
      </c>
      <c r="B130" s="79">
        <v>0.91666666666666663</v>
      </c>
      <c r="C130" s="78" t="s">
        <v>73</v>
      </c>
      <c r="D130" s="80" t="s">
        <v>75</v>
      </c>
      <c r="E130" s="81" t="s">
        <v>14</v>
      </c>
      <c r="F130" s="82" t="s">
        <v>15</v>
      </c>
      <c r="G130" s="82" t="s">
        <v>16</v>
      </c>
      <c r="H130" s="82" t="s">
        <v>20</v>
      </c>
      <c r="I130" s="82" t="s">
        <v>44</v>
      </c>
      <c r="J130" s="82">
        <v>1</v>
      </c>
      <c r="K130" s="82" t="s">
        <v>22</v>
      </c>
      <c r="L130" s="83">
        <v>5</v>
      </c>
      <c r="M130" s="84">
        <v>1259</v>
      </c>
      <c r="N130" s="85">
        <v>935</v>
      </c>
    </row>
    <row r="131" spans="1:14" ht="14.25" customHeight="1" x14ac:dyDescent="0.25">
      <c r="A131" s="78">
        <v>45708</v>
      </c>
      <c r="B131" s="79">
        <v>0.91666666666666663</v>
      </c>
      <c r="C131" s="78" t="s">
        <v>73</v>
      </c>
      <c r="D131" s="80" t="s">
        <v>75</v>
      </c>
      <c r="E131" s="81" t="s">
        <v>14</v>
      </c>
      <c r="F131" s="82" t="s">
        <v>15</v>
      </c>
      <c r="G131" s="82" t="s">
        <v>16</v>
      </c>
      <c r="H131" s="82" t="s">
        <v>20</v>
      </c>
      <c r="I131" s="82" t="s">
        <v>41</v>
      </c>
      <c r="J131" s="82">
        <v>1</v>
      </c>
      <c r="K131" s="82" t="s">
        <v>48</v>
      </c>
      <c r="L131" s="83">
        <v>1</v>
      </c>
      <c r="M131" s="84">
        <v>0</v>
      </c>
      <c r="N131" s="85">
        <v>0</v>
      </c>
    </row>
    <row r="132" spans="1:14" ht="14.25" customHeight="1" x14ac:dyDescent="0.25">
      <c r="A132" s="78">
        <v>45708</v>
      </c>
      <c r="B132" s="79">
        <v>0.95208333333333328</v>
      </c>
      <c r="C132" s="78" t="s">
        <v>73</v>
      </c>
      <c r="D132" s="80" t="s">
        <v>58</v>
      </c>
      <c r="E132" s="81" t="s">
        <v>14</v>
      </c>
      <c r="F132" s="82" t="s">
        <v>15</v>
      </c>
      <c r="G132" s="82" t="s">
        <v>24</v>
      </c>
      <c r="H132" s="82" t="s">
        <v>20</v>
      </c>
      <c r="I132" s="82" t="s">
        <v>25</v>
      </c>
      <c r="J132" s="82">
        <v>1</v>
      </c>
      <c r="K132" s="82" t="s">
        <v>22</v>
      </c>
      <c r="L132" s="83">
        <v>3</v>
      </c>
      <c r="M132" s="84">
        <v>329</v>
      </c>
      <c r="N132" s="85">
        <v>200</v>
      </c>
    </row>
    <row r="133" spans="1:14" ht="14.25" customHeight="1" x14ac:dyDescent="0.25">
      <c r="A133" s="78">
        <v>45709</v>
      </c>
      <c r="B133" s="79">
        <v>0.14444444444444443</v>
      </c>
      <c r="C133" s="78" t="s">
        <v>73</v>
      </c>
      <c r="D133" s="80" t="s">
        <v>64</v>
      </c>
      <c r="E133" s="81" t="s">
        <v>14</v>
      </c>
      <c r="F133" s="82" t="s">
        <v>15</v>
      </c>
      <c r="G133" s="82" t="s">
        <v>24</v>
      </c>
      <c r="H133" s="82" t="s">
        <v>20</v>
      </c>
      <c r="I133" s="82" t="s">
        <v>25</v>
      </c>
      <c r="J133" s="82">
        <v>1</v>
      </c>
      <c r="K133" s="82" t="s">
        <v>22</v>
      </c>
      <c r="L133" s="83">
        <v>3</v>
      </c>
      <c r="M133" s="84">
        <v>329</v>
      </c>
      <c r="N133" s="85">
        <v>200</v>
      </c>
    </row>
    <row r="134" spans="1:14" ht="14.25" customHeight="1" x14ac:dyDescent="0.25">
      <c r="A134" s="78">
        <v>45709</v>
      </c>
      <c r="B134" s="79">
        <v>0.5395833333333333</v>
      </c>
      <c r="C134" s="78" t="s">
        <v>73</v>
      </c>
      <c r="D134" s="80" t="s">
        <v>62</v>
      </c>
      <c r="E134" s="81" t="s">
        <v>14</v>
      </c>
      <c r="F134" s="82" t="s">
        <v>15</v>
      </c>
      <c r="G134" s="82" t="s">
        <v>24</v>
      </c>
      <c r="H134" s="82" t="s">
        <v>20</v>
      </c>
      <c r="I134" s="82" t="s">
        <v>25</v>
      </c>
      <c r="J134" s="82">
        <v>1</v>
      </c>
      <c r="K134" s="82" t="s">
        <v>22</v>
      </c>
      <c r="L134" s="83">
        <v>3</v>
      </c>
      <c r="M134" s="84">
        <v>328</v>
      </c>
      <c r="N134" s="85">
        <v>199</v>
      </c>
    </row>
    <row r="135" spans="1:14" ht="14.25" customHeight="1" x14ac:dyDescent="0.25">
      <c r="A135" s="78">
        <v>45709</v>
      </c>
      <c r="B135" s="79">
        <v>0.81388888888888888</v>
      </c>
      <c r="C135" s="78" t="s">
        <v>73</v>
      </c>
      <c r="D135" s="80" t="s">
        <v>68</v>
      </c>
      <c r="E135" s="81" t="s">
        <v>14</v>
      </c>
      <c r="F135" s="82" t="s">
        <v>15</v>
      </c>
      <c r="G135" s="82" t="s">
        <v>35</v>
      </c>
      <c r="H135" s="82" t="s">
        <v>20</v>
      </c>
      <c r="I135" s="82" t="s">
        <v>65</v>
      </c>
      <c r="J135" s="82">
        <v>1</v>
      </c>
      <c r="K135" s="82" t="s">
        <v>22</v>
      </c>
      <c r="L135" s="83">
        <v>3</v>
      </c>
      <c r="M135" s="84">
        <v>228</v>
      </c>
      <c r="N135" s="85">
        <v>114</v>
      </c>
    </row>
    <row r="136" spans="1:14" ht="14.25" customHeight="1" x14ac:dyDescent="0.25">
      <c r="A136" s="78">
        <v>45709</v>
      </c>
      <c r="B136" s="79">
        <v>0.44236111111111109</v>
      </c>
      <c r="C136" s="78" t="s">
        <v>73</v>
      </c>
      <c r="D136" s="80" t="s">
        <v>63</v>
      </c>
      <c r="E136" s="81" t="s">
        <v>14</v>
      </c>
      <c r="F136" s="82" t="s">
        <v>15</v>
      </c>
      <c r="G136" s="82" t="s">
        <v>24</v>
      </c>
      <c r="H136" s="82" t="s">
        <v>20</v>
      </c>
      <c r="I136" s="82" t="s">
        <v>52</v>
      </c>
      <c r="J136" s="82">
        <v>1</v>
      </c>
      <c r="K136" s="82" t="s">
        <v>22</v>
      </c>
      <c r="L136" s="83">
        <v>5</v>
      </c>
      <c r="M136" s="84">
        <v>489</v>
      </c>
      <c r="N136" s="85">
        <v>348</v>
      </c>
    </row>
    <row r="137" spans="1:14" ht="14.25" customHeight="1" x14ac:dyDescent="0.25">
      <c r="A137" s="78">
        <v>45710</v>
      </c>
      <c r="B137" s="79">
        <v>0.10069444444444445</v>
      </c>
      <c r="C137" s="78" t="s">
        <v>73</v>
      </c>
      <c r="D137" s="80" t="s">
        <v>62</v>
      </c>
      <c r="E137" s="81" t="s">
        <v>14</v>
      </c>
      <c r="F137" s="82" t="s">
        <v>15</v>
      </c>
      <c r="G137" s="82" t="s">
        <v>24</v>
      </c>
      <c r="H137" s="82" t="s">
        <v>20</v>
      </c>
      <c r="I137" s="82" t="s">
        <v>52</v>
      </c>
      <c r="J137" s="82">
        <v>1</v>
      </c>
      <c r="K137" s="82" t="s">
        <v>22</v>
      </c>
      <c r="L137" s="83">
        <v>5</v>
      </c>
      <c r="M137" s="84">
        <v>489</v>
      </c>
      <c r="N137" s="85">
        <v>348</v>
      </c>
    </row>
    <row r="138" spans="1:14" ht="14.25" customHeight="1" x14ac:dyDescent="0.25">
      <c r="A138" s="78">
        <v>45710</v>
      </c>
      <c r="B138" s="79">
        <v>0.31597222222222221</v>
      </c>
      <c r="C138" s="78" t="s">
        <v>73</v>
      </c>
      <c r="D138" s="80" t="s">
        <v>85</v>
      </c>
      <c r="E138" s="81" t="s">
        <v>14</v>
      </c>
      <c r="F138" s="82" t="s">
        <v>15</v>
      </c>
      <c r="G138" s="82" t="s">
        <v>24</v>
      </c>
      <c r="H138" s="82" t="s">
        <v>20</v>
      </c>
      <c r="I138" s="82" t="s">
        <v>25</v>
      </c>
      <c r="J138" s="82">
        <v>1</v>
      </c>
      <c r="K138" s="82" t="s">
        <v>22</v>
      </c>
      <c r="L138" s="83">
        <v>3</v>
      </c>
      <c r="M138" s="84">
        <v>329</v>
      </c>
      <c r="N138" s="85">
        <v>200</v>
      </c>
    </row>
    <row r="139" spans="1:14" ht="14.25" customHeight="1" x14ac:dyDescent="0.25">
      <c r="A139" s="78">
        <v>45710</v>
      </c>
      <c r="B139" s="79">
        <v>0.41319444444444442</v>
      </c>
      <c r="C139" s="78" t="s">
        <v>73</v>
      </c>
      <c r="D139" s="80" t="s">
        <v>71</v>
      </c>
      <c r="E139" s="81" t="s">
        <v>14</v>
      </c>
      <c r="F139" s="82" t="s">
        <v>15</v>
      </c>
      <c r="G139" s="82" t="s">
        <v>24</v>
      </c>
      <c r="H139" s="82" t="s">
        <v>20</v>
      </c>
      <c r="I139" s="82" t="s">
        <v>25</v>
      </c>
      <c r="J139" s="82">
        <v>1</v>
      </c>
      <c r="K139" s="82" t="s">
        <v>22</v>
      </c>
      <c r="L139" s="83">
        <v>3</v>
      </c>
      <c r="M139" s="84">
        <v>329</v>
      </c>
      <c r="N139" s="85">
        <v>200</v>
      </c>
    </row>
    <row r="140" spans="1:14" ht="14.25" customHeight="1" x14ac:dyDescent="0.25">
      <c r="A140" s="78">
        <v>45710</v>
      </c>
      <c r="B140" s="79">
        <v>0.48958333333333331</v>
      </c>
      <c r="C140" s="78" t="s">
        <v>73</v>
      </c>
      <c r="D140" s="80" t="s">
        <v>68</v>
      </c>
      <c r="E140" s="81" t="s">
        <v>14</v>
      </c>
      <c r="F140" s="82" t="s">
        <v>15</v>
      </c>
      <c r="G140" s="82" t="s">
        <v>24</v>
      </c>
      <c r="H140" s="82" t="s">
        <v>20</v>
      </c>
      <c r="I140" s="82" t="s">
        <v>25</v>
      </c>
      <c r="J140" s="82">
        <v>1</v>
      </c>
      <c r="K140" s="82" t="s">
        <v>22</v>
      </c>
      <c r="L140" s="83">
        <v>3</v>
      </c>
      <c r="M140" s="84">
        <v>329</v>
      </c>
      <c r="N140" s="85">
        <v>200</v>
      </c>
    </row>
    <row r="141" spans="1:14" ht="14.25" customHeight="1" x14ac:dyDescent="0.25">
      <c r="A141" s="78">
        <v>45710</v>
      </c>
      <c r="B141" s="79">
        <v>0.57847222222222228</v>
      </c>
      <c r="C141" s="78" t="s">
        <v>73</v>
      </c>
      <c r="D141" s="80" t="s">
        <v>59</v>
      </c>
      <c r="E141" s="81" t="s">
        <v>14</v>
      </c>
      <c r="F141" s="82" t="s">
        <v>15</v>
      </c>
      <c r="G141" s="82" t="s">
        <v>35</v>
      </c>
      <c r="H141" s="82" t="s">
        <v>20</v>
      </c>
      <c r="I141" s="82" t="s">
        <v>45</v>
      </c>
      <c r="J141" s="82">
        <v>1</v>
      </c>
      <c r="K141" s="82" t="s">
        <v>22</v>
      </c>
      <c r="L141" s="83">
        <v>5</v>
      </c>
      <c r="M141" s="84">
        <v>325</v>
      </c>
      <c r="N141" s="85">
        <v>325</v>
      </c>
    </row>
    <row r="142" spans="1:14" ht="14.25" customHeight="1" x14ac:dyDescent="0.25">
      <c r="A142" s="78">
        <v>45710</v>
      </c>
      <c r="B142" s="79">
        <v>0.63541666666666663</v>
      </c>
      <c r="C142" s="78" t="s">
        <v>73</v>
      </c>
      <c r="D142" s="80" t="s">
        <v>58</v>
      </c>
      <c r="E142" s="81" t="s">
        <v>14</v>
      </c>
      <c r="F142" s="82" t="s">
        <v>15</v>
      </c>
      <c r="G142" s="82" t="s">
        <v>24</v>
      </c>
      <c r="H142" s="82" t="s">
        <v>20</v>
      </c>
      <c r="I142" s="82" t="s">
        <v>25</v>
      </c>
      <c r="J142" s="82">
        <v>1</v>
      </c>
      <c r="K142" s="82" t="s">
        <v>22</v>
      </c>
      <c r="L142" s="83">
        <v>3</v>
      </c>
      <c r="M142" s="84">
        <v>339</v>
      </c>
      <c r="N142" s="85">
        <v>202</v>
      </c>
    </row>
    <row r="143" spans="1:14" ht="14.25" customHeight="1" x14ac:dyDescent="0.25">
      <c r="A143" s="78">
        <v>45710</v>
      </c>
      <c r="B143" s="79">
        <v>0.67361111111111116</v>
      </c>
      <c r="C143" s="78" t="s">
        <v>73</v>
      </c>
      <c r="D143" s="80" t="s">
        <v>60</v>
      </c>
      <c r="E143" s="81" t="s">
        <v>14</v>
      </c>
      <c r="F143" s="82" t="s">
        <v>15</v>
      </c>
      <c r="G143" s="82" t="s">
        <v>28</v>
      </c>
      <c r="H143" s="82" t="s">
        <v>17</v>
      </c>
      <c r="I143" s="82" t="s">
        <v>86</v>
      </c>
      <c r="J143" s="82">
        <v>1</v>
      </c>
      <c r="K143" s="82" t="s">
        <v>22</v>
      </c>
      <c r="L143" s="83">
        <v>1</v>
      </c>
      <c r="M143" s="84">
        <v>759</v>
      </c>
      <c r="N143" s="85">
        <v>598</v>
      </c>
    </row>
    <row r="144" spans="1:14" ht="14.25" customHeight="1" x14ac:dyDescent="0.25">
      <c r="A144" s="78">
        <v>45710</v>
      </c>
      <c r="B144" s="79">
        <v>0.94374999999999998</v>
      </c>
      <c r="C144" s="78" t="s">
        <v>73</v>
      </c>
      <c r="D144" s="80" t="s">
        <v>60</v>
      </c>
      <c r="E144" s="81" t="s">
        <v>14</v>
      </c>
      <c r="F144" s="82" t="s">
        <v>15</v>
      </c>
      <c r="G144" s="82" t="s">
        <v>24</v>
      </c>
      <c r="H144" s="82" t="s">
        <v>20</v>
      </c>
      <c r="I144" s="82" t="s">
        <v>25</v>
      </c>
      <c r="J144" s="82">
        <v>1</v>
      </c>
      <c r="K144" s="82" t="s">
        <v>22</v>
      </c>
      <c r="L144" s="83">
        <v>3</v>
      </c>
      <c r="M144" s="84">
        <v>339</v>
      </c>
      <c r="N144" s="85">
        <v>210</v>
      </c>
    </row>
    <row r="145" spans="1:14" ht="14.25" customHeight="1" x14ac:dyDescent="0.25">
      <c r="A145" s="78">
        <v>45710</v>
      </c>
      <c r="B145" s="79">
        <v>0.96875</v>
      </c>
      <c r="C145" s="78" t="s">
        <v>73</v>
      </c>
      <c r="D145" s="80" t="s">
        <v>63</v>
      </c>
      <c r="E145" s="81" t="s">
        <v>14</v>
      </c>
      <c r="F145" s="82" t="s">
        <v>15</v>
      </c>
      <c r="G145" s="82" t="s">
        <v>16</v>
      </c>
      <c r="H145" s="82" t="s">
        <v>20</v>
      </c>
      <c r="I145" s="82" t="s">
        <v>44</v>
      </c>
      <c r="J145" s="82">
        <v>1</v>
      </c>
      <c r="K145" s="82" t="s">
        <v>22</v>
      </c>
      <c r="L145" s="83">
        <v>5</v>
      </c>
      <c r="M145" s="84">
        <v>1249</v>
      </c>
      <c r="N145" s="85">
        <v>926</v>
      </c>
    </row>
    <row r="146" spans="1:14" ht="14.25" customHeight="1" x14ac:dyDescent="0.25">
      <c r="A146" s="78">
        <v>45710</v>
      </c>
      <c r="B146" s="79">
        <v>0.96875</v>
      </c>
      <c r="C146" s="78" t="s">
        <v>73</v>
      </c>
      <c r="D146" s="80" t="s">
        <v>63</v>
      </c>
      <c r="E146" s="81" t="s">
        <v>14</v>
      </c>
      <c r="F146" s="82" t="s">
        <v>15</v>
      </c>
      <c r="G146" s="82" t="s">
        <v>16</v>
      </c>
      <c r="H146" s="82" t="s">
        <v>20</v>
      </c>
      <c r="I146" s="82" t="s">
        <v>41</v>
      </c>
      <c r="J146" s="82">
        <v>1</v>
      </c>
      <c r="K146" s="82" t="s">
        <v>48</v>
      </c>
      <c r="L146" s="83">
        <v>1</v>
      </c>
      <c r="M146" s="84">
        <v>0</v>
      </c>
      <c r="N146" s="85">
        <v>0</v>
      </c>
    </row>
    <row r="147" spans="1:14" ht="14.25" customHeight="1" x14ac:dyDescent="0.25">
      <c r="A147" s="78">
        <v>45711</v>
      </c>
      <c r="B147" s="79">
        <v>1.5277777777777777E-2</v>
      </c>
      <c r="C147" s="78" t="s">
        <v>73</v>
      </c>
      <c r="D147" s="80" t="s">
        <v>64</v>
      </c>
      <c r="E147" s="81" t="s">
        <v>14</v>
      </c>
      <c r="F147" s="82" t="s">
        <v>15</v>
      </c>
      <c r="G147" s="82" t="s">
        <v>24</v>
      </c>
      <c r="H147" s="82" t="s">
        <v>20</v>
      </c>
      <c r="I147" s="82" t="s">
        <v>72</v>
      </c>
      <c r="J147" s="82">
        <v>1</v>
      </c>
      <c r="K147" s="82" t="s">
        <v>22</v>
      </c>
      <c r="L147" s="83">
        <v>2</v>
      </c>
      <c r="M147" s="84">
        <v>269</v>
      </c>
      <c r="N147" s="85">
        <v>148</v>
      </c>
    </row>
    <row r="148" spans="1:14" ht="14.25" customHeight="1" x14ac:dyDescent="0.25">
      <c r="A148" s="78">
        <v>45711</v>
      </c>
      <c r="B148" s="79">
        <v>0.82222222222222219</v>
      </c>
      <c r="C148" s="78" t="s">
        <v>73</v>
      </c>
      <c r="D148" s="80" t="s">
        <v>68</v>
      </c>
      <c r="E148" s="81" t="s">
        <v>14</v>
      </c>
      <c r="F148" s="82" t="s">
        <v>15</v>
      </c>
      <c r="G148" s="82" t="s">
        <v>24</v>
      </c>
      <c r="H148" s="82" t="s">
        <v>20</v>
      </c>
      <c r="I148" s="82" t="s">
        <v>25</v>
      </c>
      <c r="J148" s="82">
        <v>1</v>
      </c>
      <c r="K148" s="82" t="s">
        <v>22</v>
      </c>
      <c r="L148" s="83">
        <v>3</v>
      </c>
      <c r="M148" s="84">
        <v>339</v>
      </c>
      <c r="N148" s="85">
        <v>210</v>
      </c>
    </row>
    <row r="149" spans="1:14" ht="14.25" customHeight="1" x14ac:dyDescent="0.25">
      <c r="A149" s="78">
        <v>45711</v>
      </c>
      <c r="B149" s="79">
        <v>0.86597222222222225</v>
      </c>
      <c r="C149" s="78" t="s">
        <v>73</v>
      </c>
      <c r="D149" s="80" t="s">
        <v>60</v>
      </c>
      <c r="E149" s="81" t="s">
        <v>14</v>
      </c>
      <c r="F149" s="82" t="s">
        <v>15</v>
      </c>
      <c r="G149" s="82" t="s">
        <v>87</v>
      </c>
      <c r="H149" s="82" t="s">
        <v>17</v>
      </c>
      <c r="I149" s="82" t="s">
        <v>88</v>
      </c>
      <c r="J149" s="82">
        <v>1</v>
      </c>
      <c r="K149" s="82" t="s">
        <v>22</v>
      </c>
      <c r="L149" s="83">
        <v>1</v>
      </c>
      <c r="M149" s="84">
        <v>714</v>
      </c>
      <c r="N149" s="85">
        <v>500</v>
      </c>
    </row>
    <row r="150" spans="1:14" ht="14.25" customHeight="1" x14ac:dyDescent="0.25">
      <c r="A150" s="78">
        <v>45711</v>
      </c>
      <c r="B150" s="79">
        <v>0.87847222222222221</v>
      </c>
      <c r="C150" s="78" t="s">
        <v>73</v>
      </c>
      <c r="D150" s="80" t="s">
        <v>78</v>
      </c>
      <c r="E150" s="81" t="s">
        <v>14</v>
      </c>
      <c r="F150" s="82" t="s">
        <v>15</v>
      </c>
      <c r="G150" s="82" t="s">
        <v>16</v>
      </c>
      <c r="H150" s="82" t="s">
        <v>20</v>
      </c>
      <c r="I150" s="82" t="s">
        <v>89</v>
      </c>
      <c r="J150" s="82">
        <v>1</v>
      </c>
      <c r="K150" s="82" t="s">
        <v>22</v>
      </c>
      <c r="L150" s="83">
        <v>1</v>
      </c>
      <c r="M150" s="84">
        <v>699</v>
      </c>
      <c r="N150" s="85">
        <v>483</v>
      </c>
    </row>
    <row r="151" spans="1:14" ht="14.25" customHeight="1" x14ac:dyDescent="0.25">
      <c r="A151" s="78">
        <v>45711</v>
      </c>
      <c r="B151" s="79">
        <v>0.94305555555555554</v>
      </c>
      <c r="C151" s="78" t="s">
        <v>73</v>
      </c>
      <c r="D151" s="80" t="s">
        <v>60</v>
      </c>
      <c r="E151" s="81" t="s">
        <v>14</v>
      </c>
      <c r="F151" s="82" t="s">
        <v>15</v>
      </c>
      <c r="G151" s="82" t="s">
        <v>87</v>
      </c>
      <c r="H151" s="82" t="s">
        <v>17</v>
      </c>
      <c r="I151" s="82" t="s">
        <v>88</v>
      </c>
      <c r="J151" s="82">
        <v>1</v>
      </c>
      <c r="K151" s="82" t="s">
        <v>22</v>
      </c>
      <c r="L151" s="83">
        <v>1</v>
      </c>
      <c r="M151" s="84">
        <v>714</v>
      </c>
      <c r="N151" s="85">
        <v>496</v>
      </c>
    </row>
    <row r="152" spans="1:14" ht="14.25" customHeight="1" x14ac:dyDescent="0.25">
      <c r="A152" s="78">
        <v>45712</v>
      </c>
      <c r="B152" s="79">
        <v>1.5972222222222221E-2</v>
      </c>
      <c r="C152" s="78" t="s">
        <v>73</v>
      </c>
      <c r="D152" s="80" t="s">
        <v>58</v>
      </c>
      <c r="E152" s="81" t="s">
        <v>14</v>
      </c>
      <c r="F152" s="82" t="s">
        <v>15</v>
      </c>
      <c r="G152" s="82" t="s">
        <v>24</v>
      </c>
      <c r="H152" s="82" t="s">
        <v>20</v>
      </c>
      <c r="I152" s="82" t="s">
        <v>25</v>
      </c>
      <c r="J152" s="82">
        <v>1</v>
      </c>
      <c r="K152" s="82" t="s">
        <v>22</v>
      </c>
      <c r="L152" s="83">
        <v>3</v>
      </c>
      <c r="M152" s="84">
        <v>339</v>
      </c>
      <c r="N152" s="85">
        <v>210</v>
      </c>
    </row>
    <row r="153" spans="1:14" ht="14.25" customHeight="1" x14ac:dyDescent="0.25">
      <c r="A153" s="78">
        <v>45712</v>
      </c>
      <c r="B153" s="79">
        <v>0.1</v>
      </c>
      <c r="C153" s="78" t="s">
        <v>73</v>
      </c>
      <c r="D153" s="80" t="s">
        <v>62</v>
      </c>
      <c r="E153" s="81" t="s">
        <v>14</v>
      </c>
      <c r="F153" s="82" t="s">
        <v>15</v>
      </c>
      <c r="G153" s="82" t="s">
        <v>35</v>
      </c>
      <c r="H153" s="82" t="s">
        <v>20</v>
      </c>
      <c r="I153" s="82" t="s">
        <v>80</v>
      </c>
      <c r="J153" s="82">
        <v>1</v>
      </c>
      <c r="K153" s="82" t="s">
        <v>22</v>
      </c>
      <c r="L153" s="83">
        <v>5</v>
      </c>
      <c r="M153" s="84">
        <v>329</v>
      </c>
      <c r="N153" s="85">
        <v>193</v>
      </c>
    </row>
    <row r="154" spans="1:14" ht="14.25" customHeight="1" x14ac:dyDescent="0.25">
      <c r="A154" s="78">
        <v>45712</v>
      </c>
      <c r="B154" s="79">
        <v>0.39166666666666666</v>
      </c>
      <c r="C154" s="78" t="s">
        <v>73</v>
      </c>
      <c r="D154" s="80" t="s">
        <v>58</v>
      </c>
      <c r="E154" s="81" t="s">
        <v>14</v>
      </c>
      <c r="F154" s="82" t="s">
        <v>15</v>
      </c>
      <c r="G154" s="82" t="s">
        <v>35</v>
      </c>
      <c r="H154" s="82" t="s">
        <v>20</v>
      </c>
      <c r="I154" s="82" t="s">
        <v>45</v>
      </c>
      <c r="J154" s="82">
        <v>1</v>
      </c>
      <c r="K154" s="82" t="s">
        <v>22</v>
      </c>
      <c r="L154" s="83">
        <v>5</v>
      </c>
      <c r="M154" s="84">
        <v>315</v>
      </c>
      <c r="N154" s="85">
        <v>188</v>
      </c>
    </row>
    <row r="155" spans="1:14" ht="14.25" customHeight="1" x14ac:dyDescent="0.25">
      <c r="A155" s="78">
        <v>45712</v>
      </c>
      <c r="B155" s="79">
        <v>0.4201388888888889</v>
      </c>
      <c r="C155" s="78" t="s">
        <v>73</v>
      </c>
      <c r="D155" s="80" t="s">
        <v>60</v>
      </c>
      <c r="E155" s="81" t="s">
        <v>14</v>
      </c>
      <c r="F155" s="82" t="s">
        <v>15</v>
      </c>
      <c r="G155" s="82" t="s">
        <v>87</v>
      </c>
      <c r="H155" s="82" t="s">
        <v>17</v>
      </c>
      <c r="I155" s="82" t="s">
        <v>88</v>
      </c>
      <c r="J155" s="82">
        <v>1</v>
      </c>
      <c r="K155" s="82" t="s">
        <v>22</v>
      </c>
      <c r="L155" s="83">
        <v>1</v>
      </c>
      <c r="M155" s="84">
        <v>749</v>
      </c>
      <c r="N155" s="85">
        <v>491</v>
      </c>
    </row>
    <row r="156" spans="1:14" ht="14.25" customHeight="1" x14ac:dyDescent="0.25">
      <c r="A156" s="78">
        <v>45712</v>
      </c>
      <c r="B156" s="79">
        <v>0.46875</v>
      </c>
      <c r="C156" s="78" t="s">
        <v>73</v>
      </c>
      <c r="D156" s="80" t="s">
        <v>60</v>
      </c>
      <c r="E156" s="81" t="s">
        <v>14</v>
      </c>
      <c r="F156" s="82" t="s">
        <v>15</v>
      </c>
      <c r="G156" s="82" t="s">
        <v>24</v>
      </c>
      <c r="H156" s="82" t="s">
        <v>20</v>
      </c>
      <c r="I156" s="82" t="s">
        <v>25</v>
      </c>
      <c r="J156" s="82">
        <v>1</v>
      </c>
      <c r="K156" s="82" t="s">
        <v>22</v>
      </c>
      <c r="L156" s="83">
        <v>3</v>
      </c>
      <c r="M156" s="84">
        <v>338</v>
      </c>
      <c r="N156" s="85">
        <v>209</v>
      </c>
    </row>
    <row r="157" spans="1:14" ht="14.25" customHeight="1" x14ac:dyDescent="0.25">
      <c r="A157" s="78">
        <v>45712</v>
      </c>
      <c r="B157" s="79">
        <v>0.53055555555555556</v>
      </c>
      <c r="C157" s="78" t="s">
        <v>73</v>
      </c>
      <c r="D157" s="80" t="s">
        <v>85</v>
      </c>
      <c r="E157" s="81" t="s">
        <v>14</v>
      </c>
      <c r="F157" s="82" t="s">
        <v>15</v>
      </c>
      <c r="G157" s="82" t="s">
        <v>24</v>
      </c>
      <c r="H157" s="82" t="s">
        <v>20</v>
      </c>
      <c r="I157" s="82" t="s">
        <v>25</v>
      </c>
      <c r="J157" s="82">
        <v>1</v>
      </c>
      <c r="K157" s="82" t="s">
        <v>22</v>
      </c>
      <c r="L157" s="83">
        <v>3</v>
      </c>
      <c r="M157" s="84">
        <v>338</v>
      </c>
      <c r="N157" s="85">
        <v>209</v>
      </c>
    </row>
    <row r="158" spans="1:14" ht="14.25" customHeight="1" x14ac:dyDescent="0.25">
      <c r="A158" s="78">
        <v>45712</v>
      </c>
      <c r="B158" s="79">
        <v>0.69444444444444442</v>
      </c>
      <c r="C158" s="78" t="s">
        <v>73</v>
      </c>
      <c r="D158" s="80" t="s">
        <v>56</v>
      </c>
      <c r="E158" s="81" t="s">
        <v>14</v>
      </c>
      <c r="F158" s="82" t="s">
        <v>15</v>
      </c>
      <c r="G158" s="82" t="s">
        <v>16</v>
      </c>
      <c r="H158" s="82" t="s">
        <v>17</v>
      </c>
      <c r="I158" s="82" t="s">
        <v>54</v>
      </c>
      <c r="J158" s="82">
        <v>1</v>
      </c>
      <c r="K158" s="82" t="s">
        <v>22</v>
      </c>
      <c r="L158" s="83">
        <v>1</v>
      </c>
      <c r="M158" s="84">
        <v>310</v>
      </c>
      <c r="N158" s="85">
        <v>185</v>
      </c>
    </row>
    <row r="159" spans="1:14" ht="14.25" customHeight="1" x14ac:dyDescent="0.25">
      <c r="A159" s="78">
        <v>45713</v>
      </c>
      <c r="B159" s="79">
        <v>1.5972222222222221E-2</v>
      </c>
      <c r="C159" s="78" t="s">
        <v>73</v>
      </c>
      <c r="D159" s="80" t="s">
        <v>68</v>
      </c>
      <c r="E159" s="81" t="s">
        <v>14</v>
      </c>
      <c r="F159" s="82" t="s">
        <v>15</v>
      </c>
      <c r="G159" s="82" t="s">
        <v>35</v>
      </c>
      <c r="H159" s="82" t="s">
        <v>20</v>
      </c>
      <c r="I159" s="82" t="s">
        <v>67</v>
      </c>
      <c r="J159" s="82">
        <v>1</v>
      </c>
      <c r="K159" s="82" t="s">
        <v>22</v>
      </c>
      <c r="L159" s="83">
        <v>3</v>
      </c>
      <c r="M159" s="84">
        <v>229</v>
      </c>
      <c r="N159" s="85">
        <v>117</v>
      </c>
    </row>
    <row r="160" spans="1:14" ht="14.25" customHeight="1" x14ac:dyDescent="0.25">
      <c r="A160" s="78">
        <v>45713</v>
      </c>
      <c r="B160" s="79">
        <v>1.8055555555555554E-2</v>
      </c>
      <c r="C160" s="78" t="s">
        <v>73</v>
      </c>
      <c r="D160" s="80" t="s">
        <v>58</v>
      </c>
      <c r="E160" s="81" t="s">
        <v>14</v>
      </c>
      <c r="F160" s="82" t="s">
        <v>15</v>
      </c>
      <c r="G160" s="82" t="s">
        <v>24</v>
      </c>
      <c r="H160" s="82" t="s">
        <v>20</v>
      </c>
      <c r="I160" s="82" t="s">
        <v>25</v>
      </c>
      <c r="J160" s="82">
        <v>1</v>
      </c>
      <c r="K160" s="82" t="s">
        <v>22</v>
      </c>
      <c r="L160" s="83">
        <v>5</v>
      </c>
      <c r="M160" s="84">
        <v>498</v>
      </c>
      <c r="N160" s="85">
        <v>359</v>
      </c>
    </row>
    <row r="161" spans="1:14" ht="14.25" customHeight="1" x14ac:dyDescent="0.25">
      <c r="A161" s="78">
        <v>45713</v>
      </c>
      <c r="B161" s="79">
        <v>0.43333333333333335</v>
      </c>
      <c r="C161" s="78" t="s">
        <v>73</v>
      </c>
      <c r="D161" s="80" t="s">
        <v>62</v>
      </c>
      <c r="E161" s="81" t="s">
        <v>14</v>
      </c>
      <c r="F161" s="82" t="s">
        <v>15</v>
      </c>
      <c r="G161" s="82" t="s">
        <v>35</v>
      </c>
      <c r="H161" s="82" t="s">
        <v>20</v>
      </c>
      <c r="I161" s="82" t="s">
        <v>65</v>
      </c>
      <c r="J161" s="82">
        <v>1</v>
      </c>
      <c r="K161" s="82" t="s">
        <v>22</v>
      </c>
      <c r="L161" s="83">
        <v>3</v>
      </c>
      <c r="M161" s="84">
        <v>229</v>
      </c>
      <c r="N161" s="85">
        <v>117</v>
      </c>
    </row>
    <row r="162" spans="1:14" ht="14.25" customHeight="1" x14ac:dyDescent="0.25">
      <c r="A162" s="78">
        <v>45713</v>
      </c>
      <c r="B162" s="79">
        <v>0.52013888888888893</v>
      </c>
      <c r="C162" s="78" t="s">
        <v>73</v>
      </c>
      <c r="D162" s="80" t="s">
        <v>82</v>
      </c>
      <c r="E162" s="81" t="s">
        <v>14</v>
      </c>
      <c r="F162" s="82" t="s">
        <v>15</v>
      </c>
      <c r="G162" s="82" t="s">
        <v>24</v>
      </c>
      <c r="H162" s="82" t="s">
        <v>20</v>
      </c>
      <c r="I162" s="82" t="s">
        <v>25</v>
      </c>
      <c r="J162" s="82">
        <v>1</v>
      </c>
      <c r="K162" s="82" t="s">
        <v>22</v>
      </c>
      <c r="L162" s="83">
        <v>3</v>
      </c>
      <c r="M162" s="84">
        <v>348</v>
      </c>
      <c r="N162" s="85">
        <v>219</v>
      </c>
    </row>
    <row r="163" spans="1:14" ht="14.25" customHeight="1" x14ac:dyDescent="0.25">
      <c r="A163" s="78">
        <v>45713</v>
      </c>
      <c r="B163" s="79">
        <v>0.59583333333333333</v>
      </c>
      <c r="C163" s="78" t="s">
        <v>73</v>
      </c>
      <c r="D163" s="80" t="s">
        <v>57</v>
      </c>
      <c r="E163" s="81" t="s">
        <v>14</v>
      </c>
      <c r="F163" s="82" t="s">
        <v>15</v>
      </c>
      <c r="G163" s="82" t="s">
        <v>24</v>
      </c>
      <c r="H163" s="82" t="s">
        <v>20</v>
      </c>
      <c r="I163" s="82" t="s">
        <v>44</v>
      </c>
      <c r="J163" s="82">
        <v>1</v>
      </c>
      <c r="K163" s="82" t="s">
        <v>22</v>
      </c>
      <c r="L163" s="83">
        <v>5</v>
      </c>
      <c r="M163" s="84">
        <v>489</v>
      </c>
      <c r="N163" s="85">
        <v>349</v>
      </c>
    </row>
    <row r="164" spans="1:14" ht="14.25" customHeight="1" x14ac:dyDescent="0.25">
      <c r="A164" s="78">
        <v>45713</v>
      </c>
      <c r="B164" s="79">
        <v>0.62291666666666667</v>
      </c>
      <c r="C164" s="78" t="s">
        <v>73</v>
      </c>
      <c r="D164" s="80" t="s">
        <v>58</v>
      </c>
      <c r="E164" s="81" t="s">
        <v>14</v>
      </c>
      <c r="F164" s="82" t="s">
        <v>15</v>
      </c>
      <c r="G164" s="82" t="s">
        <v>24</v>
      </c>
      <c r="H164" s="82" t="s">
        <v>20</v>
      </c>
      <c r="I164" s="82" t="s">
        <v>52</v>
      </c>
      <c r="J164" s="82">
        <v>1</v>
      </c>
      <c r="K164" s="82" t="s">
        <v>22</v>
      </c>
      <c r="L164" s="83">
        <v>5</v>
      </c>
      <c r="M164" s="84">
        <v>489</v>
      </c>
      <c r="N164" s="85">
        <v>349</v>
      </c>
    </row>
    <row r="165" spans="1:14" ht="14.25" customHeight="1" x14ac:dyDescent="0.25">
      <c r="A165" s="78">
        <v>45713</v>
      </c>
      <c r="B165" s="79">
        <v>0.7</v>
      </c>
      <c r="C165" s="78" t="s">
        <v>73</v>
      </c>
      <c r="D165" s="80" t="s">
        <v>66</v>
      </c>
      <c r="E165" s="81" t="s">
        <v>14</v>
      </c>
      <c r="F165" s="82" t="s">
        <v>15</v>
      </c>
      <c r="G165" s="82" t="s">
        <v>24</v>
      </c>
      <c r="H165" s="82" t="s">
        <v>20</v>
      </c>
      <c r="I165" s="82" t="s">
        <v>25</v>
      </c>
      <c r="J165" s="82">
        <v>1</v>
      </c>
      <c r="K165" s="82" t="s">
        <v>22</v>
      </c>
      <c r="L165" s="83">
        <v>3</v>
      </c>
      <c r="M165" s="84">
        <v>348</v>
      </c>
      <c r="N165" s="85">
        <v>219</v>
      </c>
    </row>
    <row r="166" spans="1:14" ht="14.25" customHeight="1" x14ac:dyDescent="0.25">
      <c r="A166" s="78">
        <v>45713</v>
      </c>
      <c r="B166" s="79">
        <v>9.375E-2</v>
      </c>
      <c r="C166" s="78" t="s">
        <v>73</v>
      </c>
      <c r="D166" s="80" t="s">
        <v>60</v>
      </c>
      <c r="E166" s="81" t="s">
        <v>14</v>
      </c>
      <c r="F166" s="82" t="s">
        <v>15</v>
      </c>
      <c r="G166" s="82" t="s">
        <v>24</v>
      </c>
      <c r="H166" s="82" t="s">
        <v>20</v>
      </c>
      <c r="I166" s="82" t="s">
        <v>52</v>
      </c>
      <c r="J166" s="82">
        <v>1</v>
      </c>
      <c r="K166" s="82" t="s">
        <v>22</v>
      </c>
      <c r="L166" s="83">
        <v>5</v>
      </c>
      <c r="M166" s="84">
        <v>489</v>
      </c>
      <c r="N166" s="85">
        <v>349</v>
      </c>
    </row>
    <row r="167" spans="1:14" ht="14.25" customHeight="1" x14ac:dyDescent="0.25">
      <c r="A167" s="78">
        <v>45713</v>
      </c>
      <c r="B167" s="79">
        <v>0.76111111111111107</v>
      </c>
      <c r="C167" s="78" t="s">
        <v>73</v>
      </c>
      <c r="D167" s="80" t="s">
        <v>66</v>
      </c>
      <c r="E167" s="81" t="s">
        <v>14</v>
      </c>
      <c r="F167" s="82" t="s">
        <v>15</v>
      </c>
      <c r="G167" s="82" t="s">
        <v>24</v>
      </c>
      <c r="H167" s="82" t="s">
        <v>20</v>
      </c>
      <c r="I167" s="82" t="s">
        <v>25</v>
      </c>
      <c r="J167" s="82">
        <v>1</v>
      </c>
      <c r="K167" s="82" t="s">
        <v>22</v>
      </c>
      <c r="L167" s="83">
        <v>3</v>
      </c>
      <c r="M167" s="84">
        <v>348</v>
      </c>
      <c r="N167" s="85">
        <v>219</v>
      </c>
    </row>
    <row r="168" spans="1:14" ht="14.25" customHeight="1" x14ac:dyDescent="0.25">
      <c r="A168" s="78">
        <v>45713</v>
      </c>
      <c r="B168" s="79">
        <v>0.78749999999999998</v>
      </c>
      <c r="C168" s="78" t="s">
        <v>73</v>
      </c>
      <c r="D168" s="80" t="s">
        <v>60</v>
      </c>
      <c r="E168" s="81" t="s">
        <v>14</v>
      </c>
      <c r="F168" s="82" t="s">
        <v>15</v>
      </c>
      <c r="G168" s="82" t="s">
        <v>16</v>
      </c>
      <c r="H168" s="82" t="s">
        <v>17</v>
      </c>
      <c r="I168" s="82" t="s">
        <v>18</v>
      </c>
      <c r="J168" s="82">
        <v>1</v>
      </c>
      <c r="K168" s="82" t="s">
        <v>22</v>
      </c>
      <c r="L168" s="83">
        <v>1</v>
      </c>
      <c r="M168" s="84">
        <v>489</v>
      </c>
      <c r="N168" s="85">
        <v>349</v>
      </c>
    </row>
    <row r="169" spans="1:14" ht="14.25" customHeight="1" x14ac:dyDescent="0.25">
      <c r="A169" s="78">
        <v>45713</v>
      </c>
      <c r="B169" s="79">
        <v>0.78749999999999998</v>
      </c>
      <c r="C169" s="78" t="s">
        <v>73</v>
      </c>
      <c r="D169" s="80" t="s">
        <v>60</v>
      </c>
      <c r="E169" s="81" t="s">
        <v>14</v>
      </c>
      <c r="F169" s="82" t="s">
        <v>15</v>
      </c>
      <c r="G169" s="82" t="s">
        <v>24</v>
      </c>
      <c r="H169" s="82" t="s">
        <v>20</v>
      </c>
      <c r="I169" s="82" t="s">
        <v>25</v>
      </c>
      <c r="J169" s="82">
        <v>1</v>
      </c>
      <c r="K169" s="82" t="s">
        <v>22</v>
      </c>
      <c r="L169" s="83">
        <v>3</v>
      </c>
      <c r="M169" s="84">
        <v>490</v>
      </c>
      <c r="N169" s="85">
        <v>490</v>
      </c>
    </row>
    <row r="170" spans="1:14" ht="14.25" customHeight="1" x14ac:dyDescent="0.25">
      <c r="A170" s="78">
        <v>45713</v>
      </c>
      <c r="B170" s="79">
        <v>0.78749999999999998</v>
      </c>
      <c r="C170" s="78" t="str">
        <f>"Q" &amp; CHOOSE(MONTH(Sales!$A170), "1", "1", "1", "2", "2", "2", "3", "3", "3", "4", "4", "4") &amp; "_" &amp; YEAR(Sales!$A170)</f>
        <v>Q1_2025</v>
      </c>
      <c r="D170" s="80" t="s">
        <v>60</v>
      </c>
      <c r="E170" s="81" t="s">
        <v>14</v>
      </c>
      <c r="F170" s="82" t="s">
        <v>15</v>
      </c>
      <c r="G170" s="82" t="s">
        <v>16</v>
      </c>
      <c r="H170" s="82" t="s">
        <v>20</v>
      </c>
      <c r="I170" s="82" t="s">
        <v>18</v>
      </c>
      <c r="J170" s="82">
        <v>1</v>
      </c>
      <c r="K170" s="82" t="s">
        <v>48</v>
      </c>
      <c r="L170" s="83">
        <v>1</v>
      </c>
      <c r="M170" s="84">
        <v>0</v>
      </c>
      <c r="N170" s="85">
        <v>0</v>
      </c>
    </row>
    <row r="171" spans="1:14" ht="14.25" customHeight="1" x14ac:dyDescent="0.25">
      <c r="A171" s="78">
        <v>45713</v>
      </c>
      <c r="B171" s="79">
        <v>0.84166666666666667</v>
      </c>
      <c r="C171" s="78" t="s">
        <v>73</v>
      </c>
      <c r="D171" s="80" t="s">
        <v>62</v>
      </c>
      <c r="E171" s="81" t="s">
        <v>14</v>
      </c>
      <c r="F171" s="82" t="s">
        <v>15</v>
      </c>
      <c r="G171" s="82" t="s">
        <v>24</v>
      </c>
      <c r="H171" s="82" t="s">
        <v>20</v>
      </c>
      <c r="I171" s="82" t="s">
        <v>44</v>
      </c>
      <c r="J171" s="82">
        <v>1</v>
      </c>
      <c r="K171" s="82" t="s">
        <v>22</v>
      </c>
      <c r="L171" s="83">
        <v>5</v>
      </c>
      <c r="M171" s="84">
        <v>489</v>
      </c>
      <c r="N171" s="85">
        <v>349</v>
      </c>
    </row>
    <row r="172" spans="1:14" ht="14.25" customHeight="1" x14ac:dyDescent="0.25">
      <c r="A172" s="78">
        <v>45713</v>
      </c>
      <c r="B172" s="79">
        <v>0.84930555555555554</v>
      </c>
      <c r="C172" s="78" t="s">
        <v>73</v>
      </c>
      <c r="D172" s="80" t="s">
        <v>59</v>
      </c>
      <c r="E172" s="81" t="s">
        <v>14</v>
      </c>
      <c r="F172" s="82" t="s">
        <v>15</v>
      </c>
      <c r="G172" s="82" t="s">
        <v>24</v>
      </c>
      <c r="H172" s="82" t="s">
        <v>20</v>
      </c>
      <c r="I172" s="82" t="s">
        <v>52</v>
      </c>
      <c r="J172" s="82">
        <v>2</v>
      </c>
      <c r="K172" s="82" t="s">
        <v>22</v>
      </c>
      <c r="L172" s="83">
        <v>10</v>
      </c>
      <c r="M172" s="84">
        <v>948</v>
      </c>
      <c r="N172" s="85">
        <v>700</v>
      </c>
    </row>
    <row r="173" spans="1:14" ht="14.25" customHeight="1" x14ac:dyDescent="0.25">
      <c r="A173" s="78">
        <v>45713</v>
      </c>
      <c r="B173" s="79">
        <v>0.85972222222222228</v>
      </c>
      <c r="C173" s="78" t="s">
        <v>73</v>
      </c>
      <c r="D173" s="80" t="s">
        <v>56</v>
      </c>
      <c r="E173" s="81" t="s">
        <v>14</v>
      </c>
      <c r="F173" s="82" t="s">
        <v>15</v>
      </c>
      <c r="G173" s="82" t="s">
        <v>24</v>
      </c>
      <c r="H173" s="82" t="s">
        <v>20</v>
      </c>
      <c r="I173" s="82" t="s">
        <v>25</v>
      </c>
      <c r="J173" s="82">
        <v>1</v>
      </c>
      <c r="K173" s="82" t="s">
        <v>22</v>
      </c>
      <c r="L173" s="83">
        <v>3</v>
      </c>
      <c r="M173" s="84">
        <v>348</v>
      </c>
      <c r="N173" s="85">
        <v>219</v>
      </c>
    </row>
    <row r="174" spans="1:14" ht="14.25" customHeight="1" x14ac:dyDescent="0.25">
      <c r="A174" s="78">
        <v>45713</v>
      </c>
      <c r="B174" s="79">
        <v>0.89375000000000004</v>
      </c>
      <c r="C174" s="78" t="s">
        <v>73</v>
      </c>
      <c r="D174" s="80" t="s">
        <v>68</v>
      </c>
      <c r="E174" s="81" t="s">
        <v>14</v>
      </c>
      <c r="F174" s="82" t="s">
        <v>15</v>
      </c>
      <c r="G174" s="82" t="s">
        <v>87</v>
      </c>
      <c r="H174" s="82" t="s">
        <v>17</v>
      </c>
      <c r="I174" s="82" t="s">
        <v>88</v>
      </c>
      <c r="J174" s="82">
        <v>1</v>
      </c>
      <c r="K174" s="82" t="s">
        <v>22</v>
      </c>
      <c r="L174" s="83">
        <v>1</v>
      </c>
      <c r="M174" s="84">
        <v>699</v>
      </c>
      <c r="N174" s="85">
        <v>483</v>
      </c>
    </row>
    <row r="175" spans="1:14" ht="14.25" customHeight="1" x14ac:dyDescent="0.25">
      <c r="A175" s="78">
        <v>45713</v>
      </c>
      <c r="B175" s="79">
        <v>0.9916666666666667</v>
      </c>
      <c r="C175" s="78" t="s">
        <v>73</v>
      </c>
      <c r="D175" s="80" t="s">
        <v>57</v>
      </c>
      <c r="E175" s="81" t="s">
        <v>14</v>
      </c>
      <c r="F175" s="82" t="s">
        <v>15</v>
      </c>
      <c r="G175" s="82" t="s">
        <v>35</v>
      </c>
      <c r="H175" s="82" t="s">
        <v>20</v>
      </c>
      <c r="I175" s="82" t="s">
        <v>36</v>
      </c>
      <c r="J175" s="82">
        <v>1</v>
      </c>
      <c r="K175" s="82" t="s">
        <v>22</v>
      </c>
      <c r="L175" s="83">
        <v>5</v>
      </c>
      <c r="M175" s="84">
        <v>325</v>
      </c>
      <c r="N175" s="85">
        <v>199</v>
      </c>
    </row>
    <row r="176" spans="1:14" ht="14.25" customHeight="1" x14ac:dyDescent="0.25">
      <c r="A176" s="78">
        <v>45714</v>
      </c>
      <c r="B176" s="79">
        <v>7.3611111111111113E-2</v>
      </c>
      <c r="C176" s="78" t="s">
        <v>73</v>
      </c>
      <c r="D176" s="80" t="s">
        <v>62</v>
      </c>
      <c r="E176" s="81" t="s">
        <v>14</v>
      </c>
      <c r="F176" s="82" t="s">
        <v>15</v>
      </c>
      <c r="G176" s="82" t="s">
        <v>24</v>
      </c>
      <c r="H176" s="82" t="s">
        <v>20</v>
      </c>
      <c r="I176" s="82" t="s">
        <v>25</v>
      </c>
      <c r="J176" s="82">
        <v>1</v>
      </c>
      <c r="K176" s="82" t="s">
        <v>22</v>
      </c>
      <c r="L176" s="83">
        <v>3</v>
      </c>
      <c r="M176" s="84">
        <v>349</v>
      </c>
      <c r="N176" s="85">
        <v>220</v>
      </c>
    </row>
    <row r="177" spans="1:14" ht="14.25" customHeight="1" x14ac:dyDescent="0.25">
      <c r="A177" s="78">
        <v>45714</v>
      </c>
      <c r="B177" s="79">
        <v>0.4152777777777778</v>
      </c>
      <c r="C177" s="78" t="s">
        <v>73</v>
      </c>
      <c r="D177" s="80" t="s">
        <v>60</v>
      </c>
      <c r="E177" s="81" t="s">
        <v>14</v>
      </c>
      <c r="F177" s="82" t="s">
        <v>15</v>
      </c>
      <c r="G177" s="82" t="s">
        <v>24</v>
      </c>
      <c r="H177" s="82" t="s">
        <v>20</v>
      </c>
      <c r="I177" s="82" t="s">
        <v>25</v>
      </c>
      <c r="J177" s="82">
        <v>1</v>
      </c>
      <c r="K177" s="82" t="s">
        <v>22</v>
      </c>
      <c r="L177" s="83">
        <v>3</v>
      </c>
      <c r="M177" s="84">
        <v>349</v>
      </c>
      <c r="N177" s="85">
        <v>220</v>
      </c>
    </row>
    <row r="178" spans="1:14" ht="14.25" customHeight="1" x14ac:dyDescent="0.25">
      <c r="A178" s="78">
        <v>45714</v>
      </c>
      <c r="B178" s="79">
        <v>0.49236111111111114</v>
      </c>
      <c r="C178" s="78" t="s">
        <v>73</v>
      </c>
      <c r="D178" s="80" t="s">
        <v>58</v>
      </c>
      <c r="E178" s="81" t="s">
        <v>14</v>
      </c>
      <c r="F178" s="82" t="s">
        <v>15</v>
      </c>
      <c r="G178" s="82" t="s">
        <v>24</v>
      </c>
      <c r="H178" s="82" t="s">
        <v>20</v>
      </c>
      <c r="I178" s="82" t="s">
        <v>52</v>
      </c>
      <c r="J178" s="82">
        <v>1</v>
      </c>
      <c r="K178" s="82" t="s">
        <v>22</v>
      </c>
      <c r="L178" s="83">
        <v>5</v>
      </c>
      <c r="M178" s="84">
        <v>489</v>
      </c>
      <c r="N178" s="85">
        <v>349</v>
      </c>
    </row>
    <row r="179" spans="1:14" ht="14.25" customHeight="1" x14ac:dyDescent="0.25">
      <c r="A179" s="78">
        <v>45714</v>
      </c>
      <c r="B179" s="79">
        <v>0.58333333333333337</v>
      </c>
      <c r="C179" s="78" t="s">
        <v>73</v>
      </c>
      <c r="D179" s="80" t="s">
        <v>68</v>
      </c>
      <c r="E179" s="81" t="s">
        <v>14</v>
      </c>
      <c r="F179" s="82" t="s">
        <v>15</v>
      </c>
      <c r="G179" s="82" t="s">
        <v>24</v>
      </c>
      <c r="H179" s="82" t="s">
        <v>20</v>
      </c>
      <c r="I179" s="82" t="s">
        <v>25</v>
      </c>
      <c r="J179" s="82">
        <v>1</v>
      </c>
      <c r="K179" s="82" t="s">
        <v>22</v>
      </c>
      <c r="L179" s="83">
        <v>3</v>
      </c>
      <c r="M179" s="84">
        <v>359</v>
      </c>
      <c r="N179" s="85">
        <v>239</v>
      </c>
    </row>
    <row r="180" spans="1:14" ht="14.25" customHeight="1" x14ac:dyDescent="0.25">
      <c r="A180" s="78">
        <v>45714</v>
      </c>
      <c r="B180" s="79">
        <v>0.71875</v>
      </c>
      <c r="C180" s="78" t="s">
        <v>73</v>
      </c>
      <c r="D180" s="80" t="s">
        <v>66</v>
      </c>
      <c r="E180" s="81" t="s">
        <v>14</v>
      </c>
      <c r="F180" s="82" t="s">
        <v>15</v>
      </c>
      <c r="G180" s="82" t="s">
        <v>24</v>
      </c>
      <c r="H180" s="82" t="s">
        <v>20</v>
      </c>
      <c r="I180" s="82" t="s">
        <v>25</v>
      </c>
      <c r="J180" s="82">
        <v>1</v>
      </c>
      <c r="K180" s="82" t="s">
        <v>22</v>
      </c>
      <c r="L180" s="83">
        <v>3</v>
      </c>
      <c r="M180" s="84">
        <v>359</v>
      </c>
      <c r="N180" s="85">
        <v>239</v>
      </c>
    </row>
    <row r="181" spans="1:14" ht="14.25" customHeight="1" x14ac:dyDescent="0.25">
      <c r="A181" s="78">
        <v>45714</v>
      </c>
      <c r="B181" s="79">
        <v>0.73333333333333328</v>
      </c>
      <c r="C181" s="78" t="s">
        <v>73</v>
      </c>
      <c r="D181" s="80" t="s">
        <v>68</v>
      </c>
      <c r="E181" s="81" t="s">
        <v>14</v>
      </c>
      <c r="F181" s="82" t="s">
        <v>15</v>
      </c>
      <c r="G181" s="82" t="s">
        <v>87</v>
      </c>
      <c r="H181" s="82" t="s">
        <v>17</v>
      </c>
      <c r="I181" s="82" t="s">
        <v>88</v>
      </c>
      <c r="J181" s="82">
        <v>1</v>
      </c>
      <c r="K181" s="82" t="s">
        <v>22</v>
      </c>
      <c r="L181" s="83">
        <v>1</v>
      </c>
      <c r="M181" s="84">
        <v>685</v>
      </c>
      <c r="N181" s="85">
        <v>426</v>
      </c>
    </row>
    <row r="182" spans="1:14" ht="14.25" customHeight="1" x14ac:dyDescent="0.25">
      <c r="A182" s="78">
        <v>45714</v>
      </c>
      <c r="B182" s="79">
        <v>0.80277777777777781</v>
      </c>
      <c r="C182" s="78" t="s">
        <v>73</v>
      </c>
      <c r="D182" s="80" t="s">
        <v>68</v>
      </c>
      <c r="E182" s="81" t="s">
        <v>14</v>
      </c>
      <c r="F182" s="82" t="s">
        <v>15</v>
      </c>
      <c r="G182" s="82" t="s">
        <v>28</v>
      </c>
      <c r="H182" s="82" t="s">
        <v>17</v>
      </c>
      <c r="I182" s="82" t="s">
        <v>90</v>
      </c>
      <c r="J182" s="82">
        <v>1</v>
      </c>
      <c r="K182" s="82" t="s">
        <v>22</v>
      </c>
      <c r="L182" s="83">
        <v>1</v>
      </c>
      <c r="M182" s="84">
        <v>759</v>
      </c>
      <c r="N182" s="85">
        <v>508</v>
      </c>
    </row>
    <row r="183" spans="1:14" ht="14.25" customHeight="1" x14ac:dyDescent="0.25">
      <c r="A183" s="78">
        <v>45714</v>
      </c>
      <c r="B183" s="79">
        <v>0.87152777777777779</v>
      </c>
      <c r="C183" s="78" t="s">
        <v>73</v>
      </c>
      <c r="D183" s="80" t="s">
        <v>91</v>
      </c>
      <c r="E183" s="81" t="s">
        <v>14</v>
      </c>
      <c r="F183" s="82" t="s">
        <v>15</v>
      </c>
      <c r="G183" s="82" t="s">
        <v>28</v>
      </c>
      <c r="H183" s="82" t="s">
        <v>17</v>
      </c>
      <c r="I183" s="82" t="s">
        <v>86</v>
      </c>
      <c r="J183" s="82">
        <v>1</v>
      </c>
      <c r="K183" s="82" t="s">
        <v>22</v>
      </c>
      <c r="L183" s="83">
        <v>1</v>
      </c>
      <c r="M183" s="84">
        <v>759</v>
      </c>
      <c r="N183" s="85">
        <v>508</v>
      </c>
    </row>
    <row r="184" spans="1:14" ht="14.25" customHeight="1" x14ac:dyDescent="0.25">
      <c r="A184" s="78">
        <v>45714</v>
      </c>
      <c r="B184" s="79">
        <v>0.87152777777777779</v>
      </c>
      <c r="C184" s="78" t="s">
        <v>73</v>
      </c>
      <c r="D184" s="80" t="s">
        <v>58</v>
      </c>
      <c r="E184" s="81" t="s">
        <v>92</v>
      </c>
      <c r="F184" s="82" t="s">
        <v>15</v>
      </c>
      <c r="G184" s="82" t="s">
        <v>93</v>
      </c>
      <c r="H184" s="82" t="s">
        <v>17</v>
      </c>
      <c r="I184" s="82" t="s">
        <v>94</v>
      </c>
      <c r="J184" s="82">
        <v>1</v>
      </c>
      <c r="K184" s="82" t="s">
        <v>22</v>
      </c>
      <c r="L184" s="83">
        <v>1</v>
      </c>
      <c r="M184" s="84">
        <v>155</v>
      </c>
      <c r="N184" s="85">
        <v>155</v>
      </c>
    </row>
    <row r="185" spans="1:14" ht="14.25" customHeight="1" x14ac:dyDescent="0.25">
      <c r="A185" s="78">
        <v>45715</v>
      </c>
      <c r="B185" s="79">
        <v>1.9444444444444445E-2</v>
      </c>
      <c r="C185" s="78" t="s">
        <v>73</v>
      </c>
      <c r="D185" s="80" t="s">
        <v>95</v>
      </c>
      <c r="E185" s="81" t="s">
        <v>14</v>
      </c>
      <c r="F185" s="82" t="s">
        <v>15</v>
      </c>
      <c r="G185" s="82" t="s">
        <v>24</v>
      </c>
      <c r="H185" s="82" t="s">
        <v>20</v>
      </c>
      <c r="I185" s="82" t="s">
        <v>25</v>
      </c>
      <c r="J185" s="82">
        <v>1</v>
      </c>
      <c r="K185" s="82" t="s">
        <v>22</v>
      </c>
      <c r="L185" s="83">
        <v>3</v>
      </c>
      <c r="M185" s="84">
        <v>359</v>
      </c>
      <c r="N185" s="85">
        <v>239</v>
      </c>
    </row>
    <row r="186" spans="1:14" ht="14.25" customHeight="1" x14ac:dyDescent="0.25">
      <c r="A186" s="78">
        <v>45715</v>
      </c>
      <c r="B186" s="79">
        <v>0.23333333333333334</v>
      </c>
      <c r="C186" s="78" t="s">
        <v>73</v>
      </c>
      <c r="D186" s="80" t="s">
        <v>59</v>
      </c>
      <c r="E186" s="81" t="s">
        <v>14</v>
      </c>
      <c r="F186" s="82" t="s">
        <v>15</v>
      </c>
      <c r="G186" s="82" t="s">
        <v>93</v>
      </c>
      <c r="H186" s="82" t="s">
        <v>17</v>
      </c>
      <c r="I186" s="82" t="s">
        <v>94</v>
      </c>
      <c r="J186" s="82">
        <v>1</v>
      </c>
      <c r="K186" s="82" t="s">
        <v>22</v>
      </c>
      <c r="L186" s="83">
        <v>1</v>
      </c>
      <c r="M186" s="84">
        <v>199</v>
      </c>
      <c r="N186" s="85">
        <v>77.95</v>
      </c>
    </row>
    <row r="187" spans="1:14" ht="14.25" customHeight="1" x14ac:dyDescent="0.25">
      <c r="A187" s="78">
        <v>45715</v>
      </c>
      <c r="B187" s="79">
        <v>0.51388888888888884</v>
      </c>
      <c r="C187" s="78" t="s">
        <v>73</v>
      </c>
      <c r="D187" s="80" t="s">
        <v>58</v>
      </c>
      <c r="E187" s="81" t="s">
        <v>14</v>
      </c>
      <c r="F187" s="82" t="s">
        <v>15</v>
      </c>
      <c r="G187" s="82" t="s">
        <v>24</v>
      </c>
      <c r="H187" s="82" t="s">
        <v>20</v>
      </c>
      <c r="I187" s="82" t="s">
        <v>52</v>
      </c>
      <c r="J187" s="82">
        <v>2</v>
      </c>
      <c r="K187" s="82" t="s">
        <v>22</v>
      </c>
      <c r="L187" s="83">
        <v>10</v>
      </c>
      <c r="M187" s="84">
        <v>968</v>
      </c>
      <c r="N187" s="85">
        <v>717</v>
      </c>
    </row>
    <row r="188" spans="1:14" ht="14.25" customHeight="1" x14ac:dyDescent="0.25">
      <c r="A188" s="78">
        <v>45715</v>
      </c>
      <c r="B188" s="79">
        <v>0.56180555555555556</v>
      </c>
      <c r="C188" s="78" t="s">
        <v>73</v>
      </c>
      <c r="D188" s="80" t="s">
        <v>62</v>
      </c>
      <c r="E188" s="81" t="s">
        <v>14</v>
      </c>
      <c r="F188" s="82" t="s">
        <v>15</v>
      </c>
      <c r="G188" s="82" t="s">
        <v>24</v>
      </c>
      <c r="H188" s="82" t="s">
        <v>20</v>
      </c>
      <c r="I188" s="82" t="s">
        <v>25</v>
      </c>
      <c r="J188" s="82">
        <v>2</v>
      </c>
      <c r="K188" s="82" t="s">
        <v>22</v>
      </c>
      <c r="L188" s="83">
        <v>6</v>
      </c>
      <c r="M188" s="84">
        <v>696</v>
      </c>
      <c r="N188" s="85">
        <v>480</v>
      </c>
    </row>
    <row r="189" spans="1:14" ht="14.25" customHeight="1" x14ac:dyDescent="0.25">
      <c r="A189" s="78">
        <v>45715</v>
      </c>
      <c r="B189" s="79">
        <v>0.78194444444444444</v>
      </c>
      <c r="C189" s="78" t="s">
        <v>73</v>
      </c>
      <c r="D189" s="80" t="s">
        <v>91</v>
      </c>
      <c r="E189" s="81" t="s">
        <v>14</v>
      </c>
      <c r="F189" s="82" t="s">
        <v>15</v>
      </c>
      <c r="G189" s="82" t="s">
        <v>16</v>
      </c>
      <c r="H189" s="82" t="s">
        <v>20</v>
      </c>
      <c r="I189" s="82" t="s">
        <v>49</v>
      </c>
      <c r="J189" s="82">
        <v>1</v>
      </c>
      <c r="K189" s="82" t="s">
        <v>22</v>
      </c>
      <c r="L189" s="83">
        <v>3</v>
      </c>
      <c r="M189" s="84">
        <v>799</v>
      </c>
      <c r="N189" s="85">
        <v>570</v>
      </c>
    </row>
    <row r="190" spans="1:14" ht="14.25" customHeight="1" x14ac:dyDescent="0.25">
      <c r="A190" s="78">
        <v>45715</v>
      </c>
      <c r="B190" s="79">
        <v>0.78194444444444444</v>
      </c>
      <c r="C190" s="78" t="s">
        <v>73</v>
      </c>
      <c r="D190" s="80" t="s">
        <v>91</v>
      </c>
      <c r="E190" s="81" t="s">
        <v>14</v>
      </c>
      <c r="F190" s="82" t="s">
        <v>15</v>
      </c>
      <c r="G190" s="82" t="s">
        <v>16</v>
      </c>
      <c r="H190" s="82" t="s">
        <v>20</v>
      </c>
      <c r="I190" s="82" t="s">
        <v>41</v>
      </c>
      <c r="J190" s="82">
        <v>1</v>
      </c>
      <c r="K190" s="82" t="s">
        <v>48</v>
      </c>
      <c r="L190" s="83">
        <v>1</v>
      </c>
      <c r="M190" s="84">
        <v>0</v>
      </c>
      <c r="N190" s="85">
        <v>0</v>
      </c>
    </row>
    <row r="191" spans="1:14" ht="14.25" customHeight="1" x14ac:dyDescent="0.25">
      <c r="A191" s="78">
        <v>45715</v>
      </c>
      <c r="B191" s="79">
        <v>0.95486111111111116</v>
      </c>
      <c r="C191" s="78" t="s">
        <v>73</v>
      </c>
      <c r="D191" s="80" t="s">
        <v>68</v>
      </c>
      <c r="E191" s="81" t="s">
        <v>14</v>
      </c>
      <c r="F191" s="82" t="s">
        <v>15</v>
      </c>
      <c r="G191" s="82" t="s">
        <v>24</v>
      </c>
      <c r="H191" s="82" t="s">
        <v>20</v>
      </c>
      <c r="I191" s="82" t="s">
        <v>52</v>
      </c>
      <c r="J191" s="82">
        <v>1</v>
      </c>
      <c r="K191" s="82" t="s">
        <v>22</v>
      </c>
      <c r="L191" s="83">
        <v>5</v>
      </c>
      <c r="M191" s="84">
        <v>499</v>
      </c>
      <c r="N191" s="85">
        <v>357</v>
      </c>
    </row>
    <row r="192" spans="1:14" ht="14.25" customHeight="1" x14ac:dyDescent="0.25">
      <c r="A192" s="78">
        <v>45715</v>
      </c>
      <c r="B192" s="79">
        <v>0.96666666666666667</v>
      </c>
      <c r="C192" s="78" t="s">
        <v>73</v>
      </c>
      <c r="D192" s="80" t="s">
        <v>58</v>
      </c>
      <c r="E192" s="81" t="s">
        <v>14</v>
      </c>
      <c r="F192" s="82" t="s">
        <v>15</v>
      </c>
      <c r="G192" s="82" t="s">
        <v>16</v>
      </c>
      <c r="H192" s="82" t="s">
        <v>20</v>
      </c>
      <c r="I192" s="82" t="s">
        <v>49</v>
      </c>
      <c r="J192" s="82">
        <v>1</v>
      </c>
      <c r="K192" s="82" t="s">
        <v>22</v>
      </c>
      <c r="L192" s="83">
        <v>3</v>
      </c>
      <c r="M192" s="84">
        <v>799</v>
      </c>
      <c r="N192" s="85">
        <v>570</v>
      </c>
    </row>
    <row r="193" spans="1:14" ht="14.25" customHeight="1" x14ac:dyDescent="0.25">
      <c r="A193" s="78">
        <v>45715</v>
      </c>
      <c r="B193" s="79">
        <v>0.96666666666666667</v>
      </c>
      <c r="C193" s="78" t="s">
        <v>73</v>
      </c>
      <c r="D193" s="80" t="s">
        <v>58</v>
      </c>
      <c r="E193" s="81" t="s">
        <v>14</v>
      </c>
      <c r="F193" s="82" t="s">
        <v>15</v>
      </c>
      <c r="G193" s="82" t="s">
        <v>16</v>
      </c>
      <c r="H193" s="82" t="s">
        <v>20</v>
      </c>
      <c r="I193" s="82" t="s">
        <v>18</v>
      </c>
      <c r="J193" s="82">
        <v>1</v>
      </c>
      <c r="K193" s="82" t="s">
        <v>48</v>
      </c>
      <c r="L193" s="83">
        <v>1</v>
      </c>
      <c r="M193" s="84">
        <v>0</v>
      </c>
      <c r="N193" s="85">
        <v>0</v>
      </c>
    </row>
    <row r="194" spans="1:14" ht="14.25" customHeight="1" x14ac:dyDescent="0.25">
      <c r="A194" s="78">
        <v>45716</v>
      </c>
      <c r="B194" s="79">
        <v>0.12986111111111112</v>
      </c>
      <c r="C194" s="78" t="s">
        <v>73</v>
      </c>
      <c r="D194" s="80" t="s">
        <v>78</v>
      </c>
      <c r="E194" s="81" t="s">
        <v>14</v>
      </c>
      <c r="F194" s="82" t="s">
        <v>15</v>
      </c>
      <c r="G194" s="82" t="s">
        <v>16</v>
      </c>
      <c r="H194" s="82" t="s">
        <v>17</v>
      </c>
      <c r="I194" s="82" t="s">
        <v>47</v>
      </c>
      <c r="J194" s="82">
        <v>1</v>
      </c>
      <c r="K194" s="82" t="s">
        <v>22</v>
      </c>
      <c r="L194" s="83">
        <v>1</v>
      </c>
      <c r="M194" s="84">
        <v>279</v>
      </c>
      <c r="N194" s="85">
        <v>158</v>
      </c>
    </row>
    <row r="195" spans="1:14" ht="14.25" customHeight="1" x14ac:dyDescent="0.25">
      <c r="A195" s="78">
        <v>45716</v>
      </c>
      <c r="B195" s="79">
        <v>0.43472222222222223</v>
      </c>
      <c r="C195" s="78" t="s">
        <v>73</v>
      </c>
      <c r="D195" s="80" t="s">
        <v>66</v>
      </c>
      <c r="E195" s="81" t="s">
        <v>14</v>
      </c>
      <c r="F195" s="82" t="s">
        <v>15</v>
      </c>
      <c r="G195" s="82" t="s">
        <v>24</v>
      </c>
      <c r="H195" s="82" t="s">
        <v>20</v>
      </c>
      <c r="I195" s="82" t="s">
        <v>26</v>
      </c>
      <c r="J195" s="82">
        <v>1</v>
      </c>
      <c r="K195" s="82" t="s">
        <v>22</v>
      </c>
      <c r="L195" s="83">
        <v>6</v>
      </c>
      <c r="M195" s="84">
        <v>579</v>
      </c>
      <c r="N195" s="85">
        <v>378</v>
      </c>
    </row>
    <row r="196" spans="1:14" ht="14.25" customHeight="1" x14ac:dyDescent="0.25">
      <c r="A196" s="78">
        <v>45716</v>
      </c>
      <c r="B196" s="79">
        <v>0.43958333333333333</v>
      </c>
      <c r="C196" s="78" t="s">
        <v>73</v>
      </c>
      <c r="D196" s="80" t="s">
        <v>62</v>
      </c>
      <c r="E196" s="81" t="s">
        <v>14</v>
      </c>
      <c r="F196" s="82" t="s">
        <v>15</v>
      </c>
      <c r="G196" s="82" t="s">
        <v>24</v>
      </c>
      <c r="H196" s="82" t="s">
        <v>20</v>
      </c>
      <c r="I196" s="82" t="s">
        <v>96</v>
      </c>
      <c r="J196" s="82">
        <v>1</v>
      </c>
      <c r="K196" s="82" t="s">
        <v>22</v>
      </c>
      <c r="L196" s="83">
        <v>2</v>
      </c>
      <c r="M196" s="84">
        <v>268</v>
      </c>
      <c r="N196" s="85">
        <v>148</v>
      </c>
    </row>
    <row r="197" spans="1:14" ht="14.25" customHeight="1" x14ac:dyDescent="0.25">
      <c r="A197" s="78">
        <v>45716</v>
      </c>
      <c r="B197" s="79">
        <v>0.71944444444444444</v>
      </c>
      <c r="C197" s="78" t="s">
        <v>73</v>
      </c>
      <c r="D197" s="80" t="s">
        <v>75</v>
      </c>
      <c r="E197" s="81" t="s">
        <v>14</v>
      </c>
      <c r="F197" s="82" t="s">
        <v>15</v>
      </c>
      <c r="G197" s="82" t="s">
        <v>24</v>
      </c>
      <c r="H197" s="82" t="s">
        <v>20</v>
      </c>
      <c r="I197" s="82" t="s">
        <v>25</v>
      </c>
      <c r="J197" s="82">
        <v>1</v>
      </c>
      <c r="K197" s="82" t="s">
        <v>22</v>
      </c>
      <c r="L197" s="83">
        <v>3</v>
      </c>
      <c r="M197" s="84">
        <v>359</v>
      </c>
      <c r="N197" s="85">
        <v>239</v>
      </c>
    </row>
    <row r="198" spans="1:14" ht="14.25" customHeight="1" x14ac:dyDescent="0.25">
      <c r="A198" s="78">
        <v>45716</v>
      </c>
      <c r="B198" s="79">
        <v>0.9604166666666667</v>
      </c>
      <c r="C198" s="78" t="s">
        <v>73</v>
      </c>
      <c r="D198" s="80" t="s">
        <v>69</v>
      </c>
      <c r="E198" s="81" t="s">
        <v>14</v>
      </c>
      <c r="F198" s="82" t="s">
        <v>15</v>
      </c>
      <c r="G198" s="82" t="s">
        <v>24</v>
      </c>
      <c r="H198" s="82" t="s">
        <v>20</v>
      </c>
      <c r="I198" s="82" t="s">
        <v>25</v>
      </c>
      <c r="J198" s="82">
        <v>1</v>
      </c>
      <c r="K198" s="82" t="s">
        <v>22</v>
      </c>
      <c r="L198" s="83">
        <v>3</v>
      </c>
      <c r="M198" s="84">
        <v>359</v>
      </c>
      <c r="N198" s="85">
        <v>239</v>
      </c>
    </row>
    <row r="199" spans="1:14" ht="14.25" customHeight="1" x14ac:dyDescent="0.25">
      <c r="A199" s="78">
        <v>45716</v>
      </c>
      <c r="B199" s="79">
        <v>0.96527777777777779</v>
      </c>
      <c r="C199" s="78" t="s">
        <v>73</v>
      </c>
      <c r="D199" s="80" t="s">
        <v>62</v>
      </c>
      <c r="E199" s="81" t="s">
        <v>14</v>
      </c>
      <c r="F199" s="82" t="s">
        <v>15</v>
      </c>
      <c r="G199" s="82" t="s">
        <v>16</v>
      </c>
      <c r="H199" s="82" t="s">
        <v>20</v>
      </c>
      <c r="I199" s="82" t="s">
        <v>49</v>
      </c>
      <c r="J199" s="82">
        <v>1</v>
      </c>
      <c r="K199" s="82" t="s">
        <v>22</v>
      </c>
      <c r="L199" s="83">
        <v>3</v>
      </c>
      <c r="M199" s="84">
        <v>799</v>
      </c>
      <c r="N199" s="85">
        <v>570</v>
      </c>
    </row>
    <row r="200" spans="1:14" ht="14.25" customHeight="1" x14ac:dyDescent="0.25">
      <c r="A200" s="78">
        <v>45716</v>
      </c>
      <c r="B200" s="79">
        <v>0.96527777777777779</v>
      </c>
      <c r="C200" s="78" t="s">
        <v>73</v>
      </c>
      <c r="D200" s="80" t="s">
        <v>62</v>
      </c>
      <c r="E200" s="81" t="s">
        <v>14</v>
      </c>
      <c r="F200" s="82" t="s">
        <v>15</v>
      </c>
      <c r="G200" s="82" t="s">
        <v>16</v>
      </c>
      <c r="H200" s="82" t="s">
        <v>17</v>
      </c>
      <c r="I200" s="82" t="s">
        <v>27</v>
      </c>
      <c r="J200" s="82">
        <v>1</v>
      </c>
      <c r="K200" s="82" t="s">
        <v>22</v>
      </c>
      <c r="L200" s="83">
        <v>1</v>
      </c>
      <c r="M200" s="84">
        <v>0</v>
      </c>
      <c r="N200" s="85">
        <v>0</v>
      </c>
    </row>
    <row r="201" spans="1:14" ht="14.25" customHeight="1" x14ac:dyDescent="0.25">
      <c r="A201" s="78">
        <v>45717</v>
      </c>
      <c r="B201" s="79">
        <v>9.7916666666666666E-2</v>
      </c>
      <c r="C201" s="78" t="str">
        <f>"Q" &amp; CHOOSE(MONTH(Sales!$A201), "1", "1", "1", "2", "2", "2", "3", "3", "3", "4", "4", "4") &amp; "_" &amp; YEAR(Sales!$A201)</f>
        <v>Q1_2025</v>
      </c>
      <c r="D201" s="80" t="s">
        <v>66</v>
      </c>
      <c r="E201" s="81" t="s">
        <v>14</v>
      </c>
      <c r="F201" s="82" t="s">
        <v>15</v>
      </c>
      <c r="G201" s="82" t="s">
        <v>35</v>
      </c>
      <c r="H201" s="82" t="s">
        <v>20</v>
      </c>
      <c r="I201" s="82" t="s">
        <v>97</v>
      </c>
      <c r="J201" s="82">
        <v>1</v>
      </c>
      <c r="K201" s="82" t="s">
        <v>22</v>
      </c>
      <c r="L201" s="83">
        <v>5</v>
      </c>
      <c r="M201" s="84">
        <v>329</v>
      </c>
      <c r="N201" s="85">
        <v>193</v>
      </c>
    </row>
    <row r="202" spans="1:14" ht="14.25" customHeight="1" x14ac:dyDescent="0.25">
      <c r="A202" s="78">
        <v>45717</v>
      </c>
      <c r="B202" s="79">
        <v>0.10208333333333333</v>
      </c>
      <c r="C202" s="78" t="str">
        <f>"Q" &amp; CHOOSE(MONTH(Sales!$A202), "1", "1", "1", "2", "2", "2", "3", "3", "3", "4", "4", "4") &amp; "_" &amp; YEAR(Sales!$A202)</f>
        <v>Q1_2025</v>
      </c>
      <c r="D202" s="80" t="s">
        <v>74</v>
      </c>
      <c r="E202" s="81" t="s">
        <v>14</v>
      </c>
      <c r="F202" s="82" t="s">
        <v>15</v>
      </c>
      <c r="G202" s="82" t="s">
        <v>24</v>
      </c>
      <c r="H202" s="82" t="s">
        <v>20</v>
      </c>
      <c r="I202" s="82" t="s">
        <v>25</v>
      </c>
      <c r="J202" s="82">
        <v>1</v>
      </c>
      <c r="K202" s="82" t="s">
        <v>22</v>
      </c>
      <c r="L202" s="83">
        <v>3</v>
      </c>
      <c r="M202" s="84">
        <v>359</v>
      </c>
      <c r="N202" s="85">
        <v>239</v>
      </c>
    </row>
    <row r="203" spans="1:14" ht="14.25" customHeight="1" x14ac:dyDescent="0.25">
      <c r="A203" s="78">
        <v>45717</v>
      </c>
      <c r="B203" s="79">
        <v>0.37708333333333333</v>
      </c>
      <c r="C203" s="78" t="str">
        <f>"Q" &amp; CHOOSE(MONTH(Sales!$A203), "1", "1", "1", "2", "2", "2", "3", "3", "3", "4", "4", "4") &amp; "_" &amp; YEAR(Sales!$A203)</f>
        <v>Q1_2025</v>
      </c>
      <c r="D203" s="80" t="s">
        <v>60</v>
      </c>
      <c r="E203" s="81" t="s">
        <v>14</v>
      </c>
      <c r="F203" s="82" t="s">
        <v>15</v>
      </c>
      <c r="G203" s="82" t="s">
        <v>87</v>
      </c>
      <c r="H203" s="82" t="s">
        <v>17</v>
      </c>
      <c r="I203" s="82" t="s">
        <v>88</v>
      </c>
      <c r="J203" s="82">
        <v>1</v>
      </c>
      <c r="K203" s="82" t="s">
        <v>22</v>
      </c>
      <c r="L203" s="83">
        <v>1</v>
      </c>
      <c r="M203" s="84">
        <v>739</v>
      </c>
      <c r="N203" s="85">
        <v>470</v>
      </c>
    </row>
    <row r="204" spans="1:14" ht="14.25" customHeight="1" x14ac:dyDescent="0.25">
      <c r="A204" s="78">
        <v>45717</v>
      </c>
      <c r="B204" s="79">
        <v>0.38055555555555554</v>
      </c>
      <c r="C204" s="78" t="str">
        <f>"Q" &amp; CHOOSE(MONTH(Sales!$A204), "1", "1", "1", "2", "2", "2", "3", "3", "3", "4", "4", "4") &amp; "_" &amp; YEAR(Sales!$A204)</f>
        <v>Q1_2025</v>
      </c>
      <c r="D204" s="80" t="s">
        <v>56</v>
      </c>
      <c r="E204" s="81" t="s">
        <v>14</v>
      </c>
      <c r="F204" s="82" t="s">
        <v>15</v>
      </c>
      <c r="G204" s="82" t="s">
        <v>35</v>
      </c>
      <c r="H204" s="82" t="s">
        <v>20</v>
      </c>
      <c r="I204" s="82" t="s">
        <v>42</v>
      </c>
      <c r="J204" s="82">
        <v>1</v>
      </c>
      <c r="K204" s="82" t="s">
        <v>22</v>
      </c>
      <c r="L204" s="83">
        <v>3</v>
      </c>
      <c r="M204" s="84">
        <v>209</v>
      </c>
      <c r="N204" s="85">
        <v>96</v>
      </c>
    </row>
    <row r="205" spans="1:14" ht="14.25" customHeight="1" x14ac:dyDescent="0.25">
      <c r="A205" s="78">
        <v>45717</v>
      </c>
      <c r="B205" s="79">
        <v>0.50694444444444442</v>
      </c>
      <c r="C205" s="78" t="str">
        <f>"Q" &amp; CHOOSE(MONTH(Sales!$A205), "1", "1", "1", "2", "2", "2", "3", "3", "3", "4", "4", "4") &amp; "_" &amp; YEAR(Sales!$A205)</f>
        <v>Q1_2025</v>
      </c>
      <c r="D205" s="80" t="s">
        <v>64</v>
      </c>
      <c r="E205" s="81" t="s">
        <v>14</v>
      </c>
      <c r="F205" s="82" t="s">
        <v>15</v>
      </c>
      <c r="G205" s="82" t="s">
        <v>35</v>
      </c>
      <c r="H205" s="82" t="s">
        <v>20</v>
      </c>
      <c r="I205" s="82" t="s">
        <v>43</v>
      </c>
      <c r="J205" s="82">
        <v>1</v>
      </c>
      <c r="K205" s="82" t="s">
        <v>22</v>
      </c>
      <c r="L205" s="83">
        <v>6</v>
      </c>
      <c r="M205" s="84">
        <v>389</v>
      </c>
      <c r="N205" s="85">
        <v>246</v>
      </c>
    </row>
    <row r="206" spans="1:14" ht="14.25" customHeight="1" x14ac:dyDescent="0.25">
      <c r="A206" s="78">
        <v>45717</v>
      </c>
      <c r="B206" s="79">
        <v>0.52222222222222225</v>
      </c>
      <c r="C206" s="78" t="str">
        <f>"Q" &amp; CHOOSE(MONTH(Sales!$A206), "1", "1", "1", "2", "2", "2", "3", "3", "3", "4", "4", "4") &amp; "_" &amp; YEAR(Sales!$A206)</f>
        <v>Q1_2025</v>
      </c>
      <c r="D206" s="80" t="s">
        <v>75</v>
      </c>
      <c r="E206" s="81" t="s">
        <v>14</v>
      </c>
      <c r="F206" s="82" t="s">
        <v>15</v>
      </c>
      <c r="G206" s="82" t="s">
        <v>16</v>
      </c>
      <c r="H206" s="82" t="s">
        <v>20</v>
      </c>
      <c r="I206" s="82" t="s">
        <v>44</v>
      </c>
      <c r="J206" s="82">
        <v>1</v>
      </c>
      <c r="K206" s="82" t="s">
        <v>22</v>
      </c>
      <c r="L206" s="83">
        <v>5</v>
      </c>
      <c r="M206" s="84">
        <v>1289</v>
      </c>
      <c r="N206" s="85">
        <v>809</v>
      </c>
    </row>
    <row r="207" spans="1:14" ht="14.25" customHeight="1" x14ac:dyDescent="0.25">
      <c r="A207" s="78">
        <v>45717</v>
      </c>
      <c r="B207" s="79">
        <v>0.52430555555555558</v>
      </c>
      <c r="C207" s="78" t="str">
        <f>"Q" &amp; CHOOSE(MONTH(Sales!$A207), "1", "1", "1", "2", "2", "2", "3", "3", "3", "4", "4", "4") &amp; "_" &amp; YEAR(Sales!$A207)</f>
        <v>Q1_2025</v>
      </c>
      <c r="D207" s="80" t="s">
        <v>60</v>
      </c>
      <c r="E207" s="81" t="s">
        <v>14</v>
      </c>
      <c r="F207" s="82" t="s">
        <v>15</v>
      </c>
      <c r="G207" s="82" t="s">
        <v>24</v>
      </c>
      <c r="H207" s="82" t="s">
        <v>20</v>
      </c>
      <c r="I207" s="82" t="s">
        <v>52</v>
      </c>
      <c r="J207" s="82">
        <v>1</v>
      </c>
      <c r="K207" s="82" t="s">
        <v>22</v>
      </c>
      <c r="L207" s="83">
        <v>5</v>
      </c>
      <c r="M207" s="84">
        <v>509</v>
      </c>
      <c r="N207" s="85">
        <v>317</v>
      </c>
    </row>
    <row r="208" spans="1:14" ht="14.25" customHeight="1" x14ac:dyDescent="0.25">
      <c r="A208" s="78">
        <v>45717</v>
      </c>
      <c r="B208" s="79">
        <v>0.7104166666666667</v>
      </c>
      <c r="C208" s="78" t="str">
        <f>"Q" &amp; CHOOSE(MONTH(Sales!$A208), "1", "1", "1", "2", "2", "2", "3", "3", "3", "4", "4", "4") &amp; "_" &amp; YEAR(Sales!$A208)</f>
        <v>Q1_2025</v>
      </c>
      <c r="D208" s="80" t="s">
        <v>68</v>
      </c>
      <c r="E208" s="81" t="s">
        <v>14</v>
      </c>
      <c r="F208" s="82" t="s">
        <v>15</v>
      </c>
      <c r="G208" s="82" t="s">
        <v>32</v>
      </c>
      <c r="H208" s="82" t="s">
        <v>20</v>
      </c>
      <c r="I208" s="82" t="s">
        <v>98</v>
      </c>
      <c r="J208" s="82">
        <v>1</v>
      </c>
      <c r="K208" s="82" t="s">
        <v>22</v>
      </c>
      <c r="L208" s="83">
        <v>3</v>
      </c>
      <c r="M208" s="84">
        <v>259</v>
      </c>
      <c r="N208" s="85">
        <v>136</v>
      </c>
    </row>
    <row r="209" spans="1:14" ht="14.25" customHeight="1" x14ac:dyDescent="0.25">
      <c r="A209" s="78">
        <v>45717</v>
      </c>
      <c r="B209" s="79">
        <v>0.74375000000000002</v>
      </c>
      <c r="C209" s="78" t="str">
        <f>"Q" &amp; CHOOSE(MONTH(Sales!$A209), "1", "1", "1", "2", "2", "2", "3", "3", "3", "4", "4", "4") &amp; "_" &amp; YEAR(Sales!$A209)</f>
        <v>Q1_2025</v>
      </c>
      <c r="D209" s="80" t="s">
        <v>66</v>
      </c>
      <c r="E209" s="81" t="s">
        <v>14</v>
      </c>
      <c r="F209" s="82" t="s">
        <v>15</v>
      </c>
      <c r="G209" s="82" t="s">
        <v>99</v>
      </c>
      <c r="H209" s="82" t="s">
        <v>20</v>
      </c>
      <c r="I209" s="82" t="s">
        <v>100</v>
      </c>
      <c r="J209" s="82">
        <v>1</v>
      </c>
      <c r="K209" s="82" t="s">
        <v>22</v>
      </c>
      <c r="L209" s="83">
        <v>2</v>
      </c>
      <c r="M209" s="84">
        <v>299</v>
      </c>
      <c r="N209" s="85">
        <v>148</v>
      </c>
    </row>
    <row r="210" spans="1:14" ht="14.25" customHeight="1" x14ac:dyDescent="0.25">
      <c r="A210" s="78">
        <v>45717</v>
      </c>
      <c r="B210" s="79">
        <v>0.81597222222222221</v>
      </c>
      <c r="C210" s="78" t="str">
        <f>"Q" &amp; CHOOSE(MONTH(Sales!$A210), "1", "1", "1", "2", "2", "2", "3", "3", "3", "4", "4", "4") &amp; "_" &amp; YEAR(Sales!$A210)</f>
        <v>Q1_2025</v>
      </c>
      <c r="D210" s="80" t="s">
        <v>68</v>
      </c>
      <c r="E210" s="81" t="s">
        <v>14</v>
      </c>
      <c r="F210" s="82" t="s">
        <v>15</v>
      </c>
      <c r="G210" s="82" t="s">
        <v>35</v>
      </c>
      <c r="H210" s="82" t="s">
        <v>20</v>
      </c>
      <c r="I210" s="82" t="s">
        <v>51</v>
      </c>
      <c r="J210" s="82">
        <v>1</v>
      </c>
      <c r="K210" s="82" t="s">
        <v>22</v>
      </c>
      <c r="L210" s="83">
        <v>6</v>
      </c>
      <c r="M210" s="84">
        <v>395</v>
      </c>
      <c r="N210" s="85">
        <v>246</v>
      </c>
    </row>
    <row r="211" spans="1:14" ht="14.25" customHeight="1" x14ac:dyDescent="0.25">
      <c r="A211" s="78">
        <v>45717</v>
      </c>
      <c r="B211" s="79">
        <v>0.84166666666666667</v>
      </c>
      <c r="C211" s="78" t="str">
        <f>"Q" &amp; CHOOSE(MONTH(Sales!$A211), "1", "1", "1", "2", "2", "2", "3", "3", "3", "4", "4", "4") &amp; "_" &amp; YEAR(Sales!$A211)</f>
        <v>Q1_2025</v>
      </c>
      <c r="D211" s="80" t="s">
        <v>60</v>
      </c>
      <c r="E211" s="81" t="s">
        <v>14</v>
      </c>
      <c r="F211" s="82" t="s">
        <v>15</v>
      </c>
      <c r="G211" s="82" t="s">
        <v>87</v>
      </c>
      <c r="H211" s="82" t="s">
        <v>17</v>
      </c>
      <c r="I211" s="82" t="s">
        <v>88</v>
      </c>
      <c r="J211" s="82">
        <v>1</v>
      </c>
      <c r="K211" s="82" t="s">
        <v>22</v>
      </c>
      <c r="L211" s="83">
        <v>1</v>
      </c>
      <c r="M211" s="84">
        <v>734</v>
      </c>
      <c r="N211" s="85">
        <v>474</v>
      </c>
    </row>
    <row r="212" spans="1:14" ht="14.25" customHeight="1" x14ac:dyDescent="0.25">
      <c r="A212" s="78">
        <v>45717</v>
      </c>
      <c r="B212" s="79">
        <v>0.84930555555555554</v>
      </c>
      <c r="C212" s="78" t="str">
        <f>"Q" &amp; CHOOSE(MONTH(Sales!$A212), "1", "1", "1", "2", "2", "2", "3", "3", "3", "4", "4", "4") &amp; "_" &amp; YEAR(Sales!$A212)</f>
        <v>Q1_2025</v>
      </c>
      <c r="D212" s="80" t="s">
        <v>68</v>
      </c>
      <c r="E212" s="81" t="s">
        <v>14</v>
      </c>
      <c r="F212" s="82" t="s">
        <v>15</v>
      </c>
      <c r="G212" s="82" t="s">
        <v>24</v>
      </c>
      <c r="H212" s="82" t="s">
        <v>20</v>
      </c>
      <c r="I212" s="82" t="s">
        <v>52</v>
      </c>
      <c r="J212" s="82">
        <v>1</v>
      </c>
      <c r="K212" s="82" t="s">
        <v>22</v>
      </c>
      <c r="L212" s="83">
        <v>5</v>
      </c>
      <c r="M212" s="84">
        <v>509</v>
      </c>
      <c r="N212" s="85">
        <v>317</v>
      </c>
    </row>
    <row r="213" spans="1:14" ht="14.25" customHeight="1" x14ac:dyDescent="0.25">
      <c r="A213" s="78">
        <v>45717</v>
      </c>
      <c r="B213" s="79">
        <v>0.95138888888888884</v>
      </c>
      <c r="C213" s="78" t="str">
        <f>"Q" &amp; CHOOSE(MONTH(Sales!$A213), "1", "1", "1", "2", "2", "2", "3", "3", "3", "4", "4", "4") &amp; "_" &amp; YEAR(Sales!$A213)</f>
        <v>Q1_2025</v>
      </c>
      <c r="D213" s="80" t="s">
        <v>85</v>
      </c>
      <c r="E213" s="81" t="s">
        <v>14</v>
      </c>
      <c r="F213" s="82" t="s">
        <v>15</v>
      </c>
      <c r="G213" s="82" t="s">
        <v>16</v>
      </c>
      <c r="H213" s="82" t="s">
        <v>20</v>
      </c>
      <c r="I213" s="82" t="s">
        <v>49</v>
      </c>
      <c r="J213" s="82">
        <v>1</v>
      </c>
      <c r="K213" s="82" t="s">
        <v>22</v>
      </c>
      <c r="L213" s="83">
        <v>3</v>
      </c>
      <c r="M213" s="84">
        <v>799</v>
      </c>
      <c r="N213" s="85">
        <v>570</v>
      </c>
    </row>
    <row r="214" spans="1:14" ht="14.25" customHeight="1" x14ac:dyDescent="0.25">
      <c r="A214" s="78">
        <v>45717</v>
      </c>
      <c r="B214" s="79">
        <v>0.99583333333333335</v>
      </c>
      <c r="C214" s="78" t="str">
        <f>"Q" &amp; CHOOSE(MONTH(Sales!$A214), "1", "1", "1", "2", "2", "2", "3", "3", "3", "4", "4", "4") &amp; "_" &amp; YEAR(Sales!$A214)</f>
        <v>Q1_2025</v>
      </c>
      <c r="D214" s="80" t="s">
        <v>68</v>
      </c>
      <c r="E214" s="81" t="s">
        <v>14</v>
      </c>
      <c r="F214" s="82" t="s">
        <v>15</v>
      </c>
      <c r="G214" s="82" t="s">
        <v>87</v>
      </c>
      <c r="H214" s="82" t="s">
        <v>17</v>
      </c>
      <c r="I214" s="82" t="s">
        <v>88</v>
      </c>
      <c r="J214" s="82">
        <v>1</v>
      </c>
      <c r="K214" s="82" t="s">
        <v>22</v>
      </c>
      <c r="L214" s="83">
        <v>1</v>
      </c>
      <c r="M214" s="84">
        <v>759</v>
      </c>
      <c r="N214" s="85">
        <v>489</v>
      </c>
    </row>
    <row r="215" spans="1:14" ht="14.25" customHeight="1" x14ac:dyDescent="0.25">
      <c r="A215" s="78">
        <v>45717</v>
      </c>
      <c r="B215" s="79">
        <v>0.73541666666666672</v>
      </c>
      <c r="C215" s="78" t="str">
        <f>"Q" &amp; CHOOSE(MONTH(Sales!$A215), "1", "1", "1", "2", "2", "2", "3", "3", "3", "4", "4", "4") &amp; "_" &amp; YEAR(Sales!$A215)</f>
        <v>Q1_2025</v>
      </c>
      <c r="D215" s="80" t="s">
        <v>63</v>
      </c>
      <c r="E215" s="81" t="s">
        <v>14</v>
      </c>
      <c r="F215" s="82" t="s">
        <v>15</v>
      </c>
      <c r="G215" s="82" t="s">
        <v>35</v>
      </c>
      <c r="H215" s="82" t="s">
        <v>20</v>
      </c>
      <c r="I215" s="82" t="s">
        <v>51</v>
      </c>
      <c r="J215" s="82">
        <v>1</v>
      </c>
      <c r="K215" s="82" t="s">
        <v>22</v>
      </c>
      <c r="L215" s="83">
        <v>6</v>
      </c>
      <c r="M215" s="84">
        <v>395</v>
      </c>
      <c r="N215" s="85">
        <v>246</v>
      </c>
    </row>
    <row r="216" spans="1:14" ht="14.25" customHeight="1" x14ac:dyDescent="0.25">
      <c r="A216" s="78">
        <v>45718</v>
      </c>
      <c r="B216" s="79">
        <v>9.8611111111111108E-2</v>
      </c>
      <c r="C216" s="78" t="str">
        <f>"Q" &amp; CHOOSE(MONTH(Sales!$A216), "1", "1", "1", "2", "2", "2", "3", "3", "3", "4", "4", "4") &amp; "_" &amp; YEAR(Sales!$A216)</f>
        <v>Q1_2025</v>
      </c>
      <c r="D216" s="80" t="s">
        <v>60</v>
      </c>
      <c r="E216" s="81" t="s">
        <v>14</v>
      </c>
      <c r="F216" s="82" t="s">
        <v>15</v>
      </c>
      <c r="G216" s="82" t="s">
        <v>24</v>
      </c>
      <c r="H216" s="82" t="s">
        <v>20</v>
      </c>
      <c r="I216" s="82" t="s">
        <v>52</v>
      </c>
      <c r="J216" s="82">
        <v>1</v>
      </c>
      <c r="K216" s="82" t="s">
        <v>22</v>
      </c>
      <c r="L216" s="83">
        <v>5</v>
      </c>
      <c r="M216" s="84">
        <v>509</v>
      </c>
      <c r="N216" s="85">
        <v>317</v>
      </c>
    </row>
    <row r="217" spans="1:14" ht="14.25" customHeight="1" x14ac:dyDescent="0.25">
      <c r="A217" s="78">
        <v>45718</v>
      </c>
      <c r="B217" s="79">
        <v>0.52083333333333337</v>
      </c>
      <c r="C217" s="78" t="str">
        <f>"Q" &amp; CHOOSE(MONTH(Sales!$A217), "1", "1", "1", "2", "2", "2", "3", "3", "3", "4", "4", "4") &amp; "_" &amp; YEAR(Sales!$A217)</f>
        <v>Q1_2025</v>
      </c>
      <c r="D217" s="80" t="s">
        <v>58</v>
      </c>
      <c r="E217" s="81" t="s">
        <v>14</v>
      </c>
      <c r="F217" s="82" t="s">
        <v>15</v>
      </c>
      <c r="G217" s="82" t="s">
        <v>87</v>
      </c>
      <c r="H217" s="82" t="s">
        <v>17</v>
      </c>
      <c r="I217" s="82" t="s">
        <v>88</v>
      </c>
      <c r="J217" s="82">
        <v>1</v>
      </c>
      <c r="K217" s="82" t="s">
        <v>22</v>
      </c>
      <c r="L217" s="83">
        <v>1</v>
      </c>
      <c r="M217" s="84">
        <v>759</v>
      </c>
      <c r="N217" s="85">
        <v>489</v>
      </c>
    </row>
    <row r="218" spans="1:14" ht="14.25" customHeight="1" x14ac:dyDescent="0.25">
      <c r="A218" s="78">
        <v>45718</v>
      </c>
      <c r="B218" s="79">
        <v>0.52569444444444446</v>
      </c>
      <c r="C218" s="78" t="str">
        <f>"Q" &amp; CHOOSE(MONTH(Sales!$A218), "1", "1", "1", "2", "2", "2", "3", "3", "3", "4", "4", "4") &amp; "_" &amp; YEAR(Sales!$A218)</f>
        <v>Q1_2025</v>
      </c>
      <c r="D218" s="80" t="s">
        <v>60</v>
      </c>
      <c r="E218" s="81" t="s">
        <v>14</v>
      </c>
      <c r="F218" s="82" t="s">
        <v>15</v>
      </c>
      <c r="G218" s="82" t="s">
        <v>24</v>
      </c>
      <c r="H218" s="82" t="s">
        <v>20</v>
      </c>
      <c r="I218" s="82" t="s">
        <v>25</v>
      </c>
      <c r="J218" s="82">
        <v>1</v>
      </c>
      <c r="K218" s="82" t="s">
        <v>22</v>
      </c>
      <c r="L218" s="83">
        <v>3</v>
      </c>
      <c r="M218" s="84">
        <v>359</v>
      </c>
      <c r="N218" s="85">
        <v>239</v>
      </c>
    </row>
    <row r="219" spans="1:14" ht="14.25" customHeight="1" x14ac:dyDescent="0.25">
      <c r="A219" s="78">
        <v>45718</v>
      </c>
      <c r="B219" s="79">
        <v>0.5805555555555556</v>
      </c>
      <c r="C219" s="78" t="str">
        <f>"Q" &amp; CHOOSE(MONTH(Sales!$A219), "1", "1", "1", "2", "2", "2", "3", "3", "3", "4", "4", "4") &amp; "_" &amp; YEAR(Sales!$A219)</f>
        <v>Q1_2025</v>
      </c>
      <c r="D219" s="80" t="s">
        <v>58</v>
      </c>
      <c r="E219" s="81" t="s">
        <v>14</v>
      </c>
      <c r="F219" s="82" t="s">
        <v>15</v>
      </c>
      <c r="G219" s="82" t="s">
        <v>35</v>
      </c>
      <c r="H219" s="82" t="s">
        <v>20</v>
      </c>
      <c r="I219" s="82" t="s">
        <v>70</v>
      </c>
      <c r="J219" s="82">
        <v>1</v>
      </c>
      <c r="K219" s="82" t="s">
        <v>22</v>
      </c>
      <c r="L219" s="83">
        <v>3</v>
      </c>
      <c r="M219" s="84">
        <v>219</v>
      </c>
      <c r="N219" s="85">
        <v>119</v>
      </c>
    </row>
    <row r="220" spans="1:14" ht="14.25" customHeight="1" x14ac:dyDescent="0.25">
      <c r="A220" s="78">
        <v>45718</v>
      </c>
      <c r="B220" s="79">
        <v>0.59722222222222221</v>
      </c>
      <c r="C220" s="78" t="str">
        <f>"Q" &amp; CHOOSE(MONTH(Sales!$A220), "1", "1", "1", "2", "2", "2", "3", "3", "3", "4", "4", "4") &amp; "_" &amp; YEAR(Sales!$A220)</f>
        <v>Q1_2025</v>
      </c>
      <c r="D220" s="80" t="s">
        <v>60</v>
      </c>
      <c r="E220" s="81" t="s">
        <v>14</v>
      </c>
      <c r="F220" s="82" t="s">
        <v>15</v>
      </c>
      <c r="G220" s="82" t="s">
        <v>24</v>
      </c>
      <c r="H220" s="82" t="s">
        <v>20</v>
      </c>
      <c r="I220" s="82" t="s">
        <v>25</v>
      </c>
      <c r="J220" s="82">
        <v>1</v>
      </c>
      <c r="K220" s="82" t="s">
        <v>22</v>
      </c>
      <c r="L220" s="83">
        <v>3</v>
      </c>
      <c r="M220" s="84">
        <v>359</v>
      </c>
      <c r="N220" s="85">
        <v>239</v>
      </c>
    </row>
    <row r="221" spans="1:14" ht="14.25" customHeight="1" x14ac:dyDescent="0.25">
      <c r="A221" s="78">
        <v>45718</v>
      </c>
      <c r="B221" s="79">
        <v>0.62291666666666667</v>
      </c>
      <c r="C221" s="78" t="str">
        <f>"Q" &amp; CHOOSE(MONTH(Sales!$A221), "1", "1", "1", "2", "2", "2", "3", "3", "3", "4", "4", "4") &amp; "_" &amp; YEAR(Sales!$A221)</f>
        <v>Q1_2025</v>
      </c>
      <c r="D221" s="80" t="s">
        <v>71</v>
      </c>
      <c r="E221" s="81" t="s">
        <v>14</v>
      </c>
      <c r="F221" s="82" t="s">
        <v>15</v>
      </c>
      <c r="G221" s="82" t="s">
        <v>24</v>
      </c>
      <c r="H221" s="82" t="s">
        <v>20</v>
      </c>
      <c r="I221" s="82" t="s">
        <v>81</v>
      </c>
      <c r="J221" s="82">
        <v>1</v>
      </c>
      <c r="K221" s="82" t="s">
        <v>22</v>
      </c>
      <c r="L221" s="83">
        <v>9</v>
      </c>
      <c r="M221" s="84">
        <v>759</v>
      </c>
      <c r="N221" s="85">
        <v>535</v>
      </c>
    </row>
    <row r="222" spans="1:14" ht="14.25" customHeight="1" x14ac:dyDescent="0.25">
      <c r="A222" s="78">
        <v>45718</v>
      </c>
      <c r="B222" s="79">
        <v>0.63541666666666663</v>
      </c>
      <c r="C222" s="78" t="str">
        <f>"Q" &amp; CHOOSE(MONTH(Sales!$A222), "1", "1", "1", "2", "2", "2", "3", "3", "3", "4", "4", "4") &amp; "_" &amp; YEAR(Sales!$A222)</f>
        <v>Q1_2025</v>
      </c>
      <c r="D222" s="80" t="s">
        <v>59</v>
      </c>
      <c r="E222" s="81" t="s">
        <v>14</v>
      </c>
      <c r="F222" s="82" t="s">
        <v>15</v>
      </c>
      <c r="G222" s="82" t="s">
        <v>35</v>
      </c>
      <c r="H222" s="82" t="s">
        <v>20</v>
      </c>
      <c r="I222" s="82" t="s">
        <v>70</v>
      </c>
      <c r="J222" s="82">
        <v>1</v>
      </c>
      <c r="K222" s="82" t="s">
        <v>22</v>
      </c>
      <c r="L222" s="83">
        <v>3</v>
      </c>
      <c r="M222" s="84">
        <v>219</v>
      </c>
      <c r="N222" s="85">
        <v>119</v>
      </c>
    </row>
    <row r="223" spans="1:14" ht="14.25" customHeight="1" x14ac:dyDescent="0.25">
      <c r="A223" s="78">
        <v>45718</v>
      </c>
      <c r="B223" s="79">
        <v>0.69305555555555554</v>
      </c>
      <c r="C223" s="78" t="str">
        <f>"Q" &amp; CHOOSE(MONTH(Sales!$A223), "1", "1", "1", "2", "2", "2", "3", "3", "3", "4", "4", "4") &amp; "_" &amp; YEAR(Sales!$A223)</f>
        <v>Q1_2025</v>
      </c>
      <c r="D223" s="80" t="s">
        <v>75</v>
      </c>
      <c r="E223" s="81" t="s">
        <v>14</v>
      </c>
      <c r="F223" s="82" t="s">
        <v>15</v>
      </c>
      <c r="G223" s="82" t="s">
        <v>24</v>
      </c>
      <c r="H223" s="82" t="s">
        <v>20</v>
      </c>
      <c r="I223" s="82" t="s">
        <v>52</v>
      </c>
      <c r="J223" s="82">
        <v>1</v>
      </c>
      <c r="K223" s="82" t="s">
        <v>22</v>
      </c>
      <c r="L223" s="83">
        <v>5</v>
      </c>
      <c r="M223" s="84">
        <v>509</v>
      </c>
      <c r="N223" s="85">
        <v>317</v>
      </c>
    </row>
    <row r="224" spans="1:14" ht="14.25" customHeight="1" x14ac:dyDescent="0.25">
      <c r="A224" s="78">
        <v>45718</v>
      </c>
      <c r="B224" s="79">
        <v>0.75</v>
      </c>
      <c r="C224" s="78" t="str">
        <f>"Q" &amp; CHOOSE(MONTH(Sales!$A224), "1", "1", "1", "2", "2", "2", "3", "3", "3", "4", "4", "4") &amp; "_" &amp; YEAR(Sales!$A224)</f>
        <v>Q1_2025</v>
      </c>
      <c r="D224" s="80" t="s">
        <v>101</v>
      </c>
      <c r="E224" s="81" t="s">
        <v>14</v>
      </c>
      <c r="F224" s="82" t="s">
        <v>15</v>
      </c>
      <c r="G224" s="82" t="s">
        <v>35</v>
      </c>
      <c r="H224" s="82" t="s">
        <v>20</v>
      </c>
      <c r="I224" s="82" t="s">
        <v>65</v>
      </c>
      <c r="J224" s="82">
        <v>1</v>
      </c>
      <c r="K224" s="82" t="s">
        <v>22</v>
      </c>
      <c r="L224" s="83">
        <v>3</v>
      </c>
      <c r="M224" s="84">
        <v>209</v>
      </c>
      <c r="N224" s="85">
        <v>96</v>
      </c>
    </row>
    <row r="225" spans="1:14" ht="14.25" customHeight="1" x14ac:dyDescent="0.25">
      <c r="A225" s="78">
        <v>45718</v>
      </c>
      <c r="B225" s="79">
        <v>0.93541666666666667</v>
      </c>
      <c r="C225" s="78" t="str">
        <f>"Q" &amp; CHOOSE(MONTH(Sales!$A225), "1", "1", "1", "2", "2", "2", "3", "3", "3", "4", "4", "4") &amp; "_" &amp; YEAR(Sales!$A225)</f>
        <v>Q1_2025</v>
      </c>
      <c r="D225" s="80" t="s">
        <v>64</v>
      </c>
      <c r="E225" s="81" t="s">
        <v>14</v>
      </c>
      <c r="F225" s="82" t="s">
        <v>15</v>
      </c>
      <c r="G225" s="82" t="s">
        <v>24</v>
      </c>
      <c r="H225" s="82" t="s">
        <v>20</v>
      </c>
      <c r="I225" s="82" t="s">
        <v>25</v>
      </c>
      <c r="J225" s="82">
        <v>1</v>
      </c>
      <c r="K225" s="82" t="s">
        <v>22</v>
      </c>
      <c r="L225" s="83">
        <v>3</v>
      </c>
      <c r="M225" s="84">
        <v>359</v>
      </c>
      <c r="N225" s="85">
        <v>239</v>
      </c>
    </row>
    <row r="226" spans="1:14" ht="14.25" customHeight="1" x14ac:dyDescent="0.25">
      <c r="A226" s="78">
        <v>45719</v>
      </c>
      <c r="B226" s="79">
        <v>4.8611111111111112E-3</v>
      </c>
      <c r="C226" s="78" t="str">
        <f>"Q" &amp; CHOOSE(MONTH(Sales!$A226), "1", "1", "1", "2", "2", "2", "3", "3", "3", "4", "4", "4") &amp; "_" &amp; YEAR(Sales!$A226)</f>
        <v>Q1_2025</v>
      </c>
      <c r="D226" s="80" t="s">
        <v>76</v>
      </c>
      <c r="E226" s="81" t="s">
        <v>14</v>
      </c>
      <c r="F226" s="82" t="s">
        <v>15</v>
      </c>
      <c r="G226" s="82" t="s">
        <v>24</v>
      </c>
      <c r="H226" s="82" t="s">
        <v>20</v>
      </c>
      <c r="I226" s="82" t="s">
        <v>26</v>
      </c>
      <c r="J226" s="82">
        <v>1</v>
      </c>
      <c r="K226" s="82" t="s">
        <v>22</v>
      </c>
      <c r="L226" s="83">
        <v>6</v>
      </c>
      <c r="M226" s="84">
        <v>599</v>
      </c>
      <c r="N226" s="85">
        <v>399</v>
      </c>
    </row>
    <row r="227" spans="1:14" ht="14.25" customHeight="1" x14ac:dyDescent="0.25">
      <c r="A227" s="78">
        <v>45719</v>
      </c>
      <c r="B227" s="79">
        <v>0.40486111111111112</v>
      </c>
      <c r="C227" s="78" t="str">
        <f>"Q" &amp; CHOOSE(MONTH(Sales!$A227), "1", "1", "1", "2", "2", "2", "3", "3", "3", "4", "4", "4") &amp; "_" &amp; YEAR(Sales!$A227)</f>
        <v>Q1_2025</v>
      </c>
      <c r="D227" s="80" t="s">
        <v>63</v>
      </c>
      <c r="E227" s="81" t="s">
        <v>14</v>
      </c>
      <c r="F227" s="82" t="s">
        <v>15</v>
      </c>
      <c r="G227" s="82" t="s">
        <v>24</v>
      </c>
      <c r="H227" s="82" t="s">
        <v>20</v>
      </c>
      <c r="I227" s="82" t="s">
        <v>25</v>
      </c>
      <c r="J227" s="82">
        <v>1</v>
      </c>
      <c r="K227" s="82" t="s">
        <v>22</v>
      </c>
      <c r="L227" s="83">
        <v>3</v>
      </c>
      <c r="M227" s="84">
        <v>359</v>
      </c>
      <c r="N227" s="85">
        <v>239</v>
      </c>
    </row>
    <row r="228" spans="1:14" ht="14.25" customHeight="1" x14ac:dyDescent="0.25">
      <c r="A228" s="78">
        <v>45719</v>
      </c>
      <c r="B228" s="79">
        <v>0.44374999999999998</v>
      </c>
      <c r="C228" s="78" t="str">
        <f>"Q" &amp; CHOOSE(MONTH(Sales!$A228), "1", "1", "1", "2", "2", "2", "3", "3", "3", "4", "4", "4") &amp; "_" &amp; YEAR(Sales!$A228)</f>
        <v>Q1_2025</v>
      </c>
      <c r="D228" s="80" t="s">
        <v>58</v>
      </c>
      <c r="E228" s="81" t="s">
        <v>14</v>
      </c>
      <c r="F228" s="82" t="s">
        <v>15</v>
      </c>
      <c r="G228" s="82" t="s">
        <v>93</v>
      </c>
      <c r="H228" s="82" t="s">
        <v>17</v>
      </c>
      <c r="I228" s="82" t="s">
        <v>94</v>
      </c>
      <c r="J228" s="82">
        <v>1</v>
      </c>
      <c r="K228" s="82" t="s">
        <v>22</v>
      </c>
      <c r="L228" s="83">
        <v>1</v>
      </c>
      <c r="M228" s="84">
        <v>220</v>
      </c>
      <c r="N228" s="85">
        <v>81</v>
      </c>
    </row>
    <row r="229" spans="1:14" ht="14.25" customHeight="1" x14ac:dyDescent="0.25">
      <c r="A229" s="78">
        <v>45719</v>
      </c>
      <c r="B229" s="79">
        <v>0.46805555555555556</v>
      </c>
      <c r="C229" s="78" t="str">
        <f>"Q" &amp; CHOOSE(MONTH(Sales!$A229), "1", "1", "1", "2", "2", "2", "3", "3", "3", "4", "4", "4") &amp; "_" &amp; YEAR(Sales!$A229)</f>
        <v>Q1_2025</v>
      </c>
      <c r="D229" s="80" t="s">
        <v>68</v>
      </c>
      <c r="E229" s="81" t="s">
        <v>14</v>
      </c>
      <c r="F229" s="82" t="s">
        <v>15</v>
      </c>
      <c r="G229" s="82" t="s">
        <v>35</v>
      </c>
      <c r="H229" s="82" t="s">
        <v>20</v>
      </c>
      <c r="I229" s="82" t="s">
        <v>83</v>
      </c>
      <c r="J229" s="82">
        <v>1</v>
      </c>
      <c r="K229" s="82" t="s">
        <v>84</v>
      </c>
      <c r="L229" s="83">
        <v>6</v>
      </c>
      <c r="M229" s="84">
        <v>0</v>
      </c>
      <c r="N229" s="85">
        <v>0</v>
      </c>
    </row>
    <row r="230" spans="1:14" ht="14.25" customHeight="1" x14ac:dyDescent="0.25">
      <c r="A230" s="78">
        <v>45719</v>
      </c>
      <c r="B230" s="79">
        <v>0.4861111111111111</v>
      </c>
      <c r="C230" s="78" t="str">
        <f>"Q" &amp; CHOOSE(MONTH(Sales!$A230), "1", "1", "1", "2", "2", "2", "3", "3", "3", "4", "4", "4") &amp; "_" &amp; YEAR(Sales!$A230)</f>
        <v>Q1_2025</v>
      </c>
      <c r="D230" s="80" t="s">
        <v>69</v>
      </c>
      <c r="E230" s="81" t="s">
        <v>14</v>
      </c>
      <c r="F230" s="82" t="s">
        <v>15</v>
      </c>
      <c r="G230" s="82" t="s">
        <v>24</v>
      </c>
      <c r="H230" s="82" t="s">
        <v>20</v>
      </c>
      <c r="I230" s="82" t="s">
        <v>26</v>
      </c>
      <c r="J230" s="82">
        <v>1</v>
      </c>
      <c r="K230" s="82" t="s">
        <v>22</v>
      </c>
      <c r="L230" s="83">
        <v>6</v>
      </c>
      <c r="M230" s="84">
        <v>599</v>
      </c>
      <c r="N230" s="85">
        <v>399</v>
      </c>
    </row>
    <row r="231" spans="1:14" ht="14.25" customHeight="1" x14ac:dyDescent="0.25">
      <c r="A231" s="78">
        <v>45719</v>
      </c>
      <c r="B231" s="79">
        <v>0.52361111111111114</v>
      </c>
      <c r="C231" s="78" t="str">
        <f>"Q" &amp; CHOOSE(MONTH(Sales!$A231), "1", "1", "1", "2", "2", "2", "3", "3", "3", "4", "4", "4") &amp; "_" &amp; YEAR(Sales!$A231)</f>
        <v>Q1_2025</v>
      </c>
      <c r="D231" s="80" t="s">
        <v>59</v>
      </c>
      <c r="E231" s="81" t="s">
        <v>14</v>
      </c>
      <c r="F231" s="82" t="s">
        <v>15</v>
      </c>
      <c r="G231" s="82" t="s">
        <v>24</v>
      </c>
      <c r="H231" s="82" t="s">
        <v>20</v>
      </c>
      <c r="I231" s="82" t="s">
        <v>52</v>
      </c>
      <c r="J231" s="82">
        <v>1</v>
      </c>
      <c r="K231" s="82" t="s">
        <v>22</v>
      </c>
      <c r="L231" s="83">
        <v>5</v>
      </c>
      <c r="M231" s="84">
        <v>519</v>
      </c>
      <c r="N231" s="85">
        <v>327</v>
      </c>
    </row>
    <row r="232" spans="1:14" ht="14.25" customHeight="1" x14ac:dyDescent="0.25">
      <c r="A232" s="78">
        <v>45719</v>
      </c>
      <c r="B232" s="79">
        <v>0.53263888888888888</v>
      </c>
      <c r="C232" s="78" t="str">
        <f>"Q" &amp; CHOOSE(MONTH(Sales!$A232), "1", "1", "1", "2", "2", "2", "3", "3", "3", "4", "4", "4") &amp; "_" &amp; YEAR(Sales!$A232)</f>
        <v>Q1_2025</v>
      </c>
      <c r="D232" s="80" t="s">
        <v>60</v>
      </c>
      <c r="E232" s="81" t="s">
        <v>14</v>
      </c>
      <c r="F232" s="82" t="s">
        <v>15</v>
      </c>
      <c r="G232" s="82" t="s">
        <v>102</v>
      </c>
      <c r="H232" s="82" t="s">
        <v>17</v>
      </c>
      <c r="I232" s="82" t="s">
        <v>240</v>
      </c>
      <c r="J232" s="82">
        <v>1</v>
      </c>
      <c r="K232" s="82" t="s">
        <v>22</v>
      </c>
      <c r="L232" s="83">
        <v>1</v>
      </c>
      <c r="M232" s="84">
        <v>329</v>
      </c>
      <c r="N232" s="85">
        <v>164</v>
      </c>
    </row>
    <row r="233" spans="1:14" ht="14.25" customHeight="1" x14ac:dyDescent="0.25">
      <c r="A233" s="78">
        <v>45719</v>
      </c>
      <c r="B233" s="79">
        <v>0.89027777777777772</v>
      </c>
      <c r="C233" s="78" t="str">
        <f>"Q" &amp; CHOOSE(MONTH(Sales!$A233), "1", "1", "1", "2", "2", "2", "3", "3", "3", "4", "4", "4") &amp; "_" &amp; YEAR(Sales!$A233)</f>
        <v>Q1_2025</v>
      </c>
      <c r="D233" s="80" t="s">
        <v>71</v>
      </c>
      <c r="E233" s="81" t="s">
        <v>14</v>
      </c>
      <c r="F233" s="82" t="s">
        <v>15</v>
      </c>
      <c r="G233" s="82" t="s">
        <v>35</v>
      </c>
      <c r="H233" s="82" t="s">
        <v>20</v>
      </c>
      <c r="I233" s="82" t="s">
        <v>43</v>
      </c>
      <c r="J233" s="82">
        <v>1</v>
      </c>
      <c r="K233" s="82" t="s">
        <v>22</v>
      </c>
      <c r="L233" s="83">
        <v>6</v>
      </c>
      <c r="M233" s="84">
        <v>399</v>
      </c>
      <c r="N233" s="85">
        <v>255</v>
      </c>
    </row>
    <row r="234" spans="1:14" ht="14.25" customHeight="1" x14ac:dyDescent="0.25">
      <c r="A234" s="78">
        <v>45719</v>
      </c>
      <c r="B234" s="79">
        <v>0.94791666666666663</v>
      </c>
      <c r="C234" s="78" t="str">
        <f>"Q" &amp; CHOOSE(MONTH(Sales!$A234), "1", "1", "1", "2", "2", "2", "3", "3", "3", "4", "4", "4") &amp; "_" &amp; YEAR(Sales!$A234)</f>
        <v>Q1_2025</v>
      </c>
      <c r="D234" s="80" t="s">
        <v>71</v>
      </c>
      <c r="E234" s="81" t="s">
        <v>14</v>
      </c>
      <c r="F234" s="82" t="s">
        <v>15</v>
      </c>
      <c r="G234" s="82" t="s">
        <v>24</v>
      </c>
      <c r="H234" s="82" t="s">
        <v>20</v>
      </c>
      <c r="I234" s="82" t="s">
        <v>25</v>
      </c>
      <c r="J234" s="82">
        <v>1</v>
      </c>
      <c r="K234" s="82" t="s">
        <v>22</v>
      </c>
      <c r="L234" s="83">
        <v>3</v>
      </c>
      <c r="M234" s="84">
        <v>359</v>
      </c>
      <c r="N234" s="85">
        <v>239</v>
      </c>
    </row>
    <row r="235" spans="1:14" ht="14.25" customHeight="1" x14ac:dyDescent="0.25">
      <c r="A235" s="78">
        <v>45720</v>
      </c>
      <c r="B235" s="79">
        <v>0.40625</v>
      </c>
      <c r="C235" s="78" t="str">
        <f>"Q" &amp; CHOOSE(MONTH(Sales!$A235), "1", "1", "1", "2", "2", "2", "3", "3", "3", "4", "4", "4") &amp; "_" &amp; YEAR(Sales!$A235)</f>
        <v>Q1_2025</v>
      </c>
      <c r="D235" s="80" t="s">
        <v>62</v>
      </c>
      <c r="E235" s="81" t="s">
        <v>14</v>
      </c>
      <c r="F235" s="82" t="s">
        <v>15</v>
      </c>
      <c r="G235" s="82" t="s">
        <v>35</v>
      </c>
      <c r="H235" s="82" t="s">
        <v>20</v>
      </c>
      <c r="I235" s="82" t="s">
        <v>43</v>
      </c>
      <c r="J235" s="82">
        <v>1</v>
      </c>
      <c r="K235" s="82" t="s">
        <v>22</v>
      </c>
      <c r="L235" s="83">
        <v>6</v>
      </c>
      <c r="M235" s="84">
        <v>399</v>
      </c>
      <c r="N235" s="85">
        <v>255</v>
      </c>
    </row>
    <row r="236" spans="1:14" ht="14.25" customHeight="1" x14ac:dyDescent="0.25">
      <c r="A236" s="78">
        <v>45720</v>
      </c>
      <c r="B236" s="79">
        <v>0.50902777777777775</v>
      </c>
      <c r="C236" s="78" t="str">
        <f>"Q" &amp; CHOOSE(MONTH(Sales!$A236), "1", "1", "1", "2", "2", "2", "3", "3", "3", "4", "4", "4") &amp; "_" &amp; YEAR(Sales!$A236)</f>
        <v>Q1_2025</v>
      </c>
      <c r="D236" s="80" t="s">
        <v>60</v>
      </c>
      <c r="E236" s="81" t="s">
        <v>14</v>
      </c>
      <c r="F236" s="82" t="s">
        <v>15</v>
      </c>
      <c r="G236" s="82" t="s">
        <v>99</v>
      </c>
      <c r="H236" s="82" t="s">
        <v>20</v>
      </c>
      <c r="I236" s="82" t="s">
        <v>100</v>
      </c>
      <c r="J236" s="82">
        <v>1</v>
      </c>
      <c r="K236" s="82" t="s">
        <v>22</v>
      </c>
      <c r="L236" s="83">
        <v>2</v>
      </c>
      <c r="M236" s="84">
        <v>179</v>
      </c>
      <c r="N236" s="85">
        <v>54</v>
      </c>
    </row>
    <row r="237" spans="1:14" ht="14.25" customHeight="1" x14ac:dyDescent="0.25">
      <c r="A237" s="78">
        <v>45720</v>
      </c>
      <c r="B237" s="79">
        <v>0.85277777777777775</v>
      </c>
      <c r="C237" s="78" t="str">
        <f>"Q" &amp; CHOOSE(MONTH(Sales!$A237), "1", "1", "1", "2", "2", "2", "3", "3", "3", "4", "4", "4") &amp; "_" &amp; YEAR(Sales!$A237)</f>
        <v>Q1_2025</v>
      </c>
      <c r="D237" s="80" t="s">
        <v>69</v>
      </c>
      <c r="E237" s="81" t="s">
        <v>14</v>
      </c>
      <c r="F237" s="82" t="s">
        <v>15</v>
      </c>
      <c r="G237" s="82" t="s">
        <v>16</v>
      </c>
      <c r="H237" s="82" t="s">
        <v>20</v>
      </c>
      <c r="I237" s="82" t="s">
        <v>49</v>
      </c>
      <c r="J237" s="82">
        <v>1</v>
      </c>
      <c r="K237" s="82" t="s">
        <v>22</v>
      </c>
      <c r="L237" s="83">
        <v>3</v>
      </c>
      <c r="M237" s="84">
        <v>829</v>
      </c>
      <c r="N237" s="85">
        <v>596</v>
      </c>
    </row>
    <row r="238" spans="1:14" ht="14.25" customHeight="1" x14ac:dyDescent="0.25">
      <c r="A238" s="78">
        <v>45720</v>
      </c>
      <c r="B238" s="79">
        <v>0.85277777777777775</v>
      </c>
      <c r="C238" s="78" t="str">
        <f>"Q" &amp; CHOOSE(MONTH(Sales!$A238), "1", "1", "1", "2", "2", "2", "3", "3", "3", "4", "4", "4") &amp; "_" &amp; YEAR(Sales!$A238)</f>
        <v>Q1_2025</v>
      </c>
      <c r="D238" s="80" t="s">
        <v>69</v>
      </c>
      <c r="E238" s="81" t="s">
        <v>14</v>
      </c>
      <c r="F238" s="82" t="s">
        <v>15</v>
      </c>
      <c r="G238" s="82" t="s">
        <v>16</v>
      </c>
      <c r="H238" s="82" t="s">
        <v>20</v>
      </c>
      <c r="I238" s="82" t="s">
        <v>41</v>
      </c>
      <c r="J238" s="82">
        <v>1</v>
      </c>
      <c r="K238" s="82" t="s">
        <v>48</v>
      </c>
      <c r="L238" s="83">
        <v>1</v>
      </c>
      <c r="M238" s="84">
        <v>0</v>
      </c>
      <c r="N238" s="85">
        <v>0</v>
      </c>
    </row>
    <row r="239" spans="1:14" ht="14.25" customHeight="1" x14ac:dyDescent="0.25">
      <c r="A239" s="78">
        <v>45720</v>
      </c>
      <c r="B239" s="79">
        <v>0.95208333333333328</v>
      </c>
      <c r="C239" s="78" t="str">
        <f>"Q" &amp; CHOOSE(MONTH(Sales!$A239), "1", "1", "1", "2", "2", "2", "3", "3", "3", "4", "4", "4") &amp; "_" &amp; YEAR(Sales!$A239)</f>
        <v>Q1_2025</v>
      </c>
      <c r="D239" s="80" t="s">
        <v>69</v>
      </c>
      <c r="E239" s="81" t="s">
        <v>14</v>
      </c>
      <c r="F239" s="82" t="s">
        <v>15</v>
      </c>
      <c r="G239" s="82" t="s">
        <v>35</v>
      </c>
      <c r="H239" s="82" t="s">
        <v>20</v>
      </c>
      <c r="I239" s="82" t="s">
        <v>67</v>
      </c>
      <c r="J239" s="82">
        <v>1</v>
      </c>
      <c r="K239" s="82" t="s">
        <v>22</v>
      </c>
      <c r="L239" s="83">
        <v>1</v>
      </c>
      <c r="M239" s="84">
        <v>209</v>
      </c>
      <c r="N239" s="85">
        <v>87</v>
      </c>
    </row>
    <row r="240" spans="1:14" ht="14.25" customHeight="1" x14ac:dyDescent="0.25">
      <c r="A240" s="78">
        <v>45721</v>
      </c>
      <c r="B240" s="79">
        <v>0.30555555555555558</v>
      </c>
      <c r="C240" s="78" t="str">
        <f>"Q" &amp; CHOOSE(MONTH(Sales!$A240), "1", "1", "1", "2", "2", "2", "3", "3", "3", "4", "4", "4") &amp; "_" &amp; YEAR(Sales!$A240)</f>
        <v>Q1_2025</v>
      </c>
      <c r="D240" s="80" t="s">
        <v>62</v>
      </c>
      <c r="E240" s="81" t="s">
        <v>14</v>
      </c>
      <c r="F240" s="82" t="s">
        <v>15</v>
      </c>
      <c r="G240" s="82" t="s">
        <v>24</v>
      </c>
      <c r="H240" s="82" t="s">
        <v>20</v>
      </c>
      <c r="I240" s="82" t="s">
        <v>26</v>
      </c>
      <c r="J240" s="82">
        <v>1</v>
      </c>
      <c r="K240" s="82" t="s">
        <v>22</v>
      </c>
      <c r="L240" s="83">
        <v>6</v>
      </c>
      <c r="M240" s="84">
        <v>599</v>
      </c>
      <c r="N240" s="85">
        <v>396</v>
      </c>
    </row>
    <row r="241" spans="1:14" ht="14.25" customHeight="1" x14ac:dyDescent="0.25">
      <c r="A241" s="78">
        <v>45721</v>
      </c>
      <c r="B241" s="79">
        <v>0.40833333333333333</v>
      </c>
      <c r="C241" s="78" t="str">
        <f>"Q" &amp; CHOOSE(MONTH(Sales!$A241), "1", "1", "1", "2", "2", "2", "3", "3", "3", "4", "4", "4") &amp; "_" &amp; YEAR(Sales!$A241)</f>
        <v>Q1_2025</v>
      </c>
      <c r="D241" s="80" t="s">
        <v>63</v>
      </c>
      <c r="E241" s="81" t="s">
        <v>14</v>
      </c>
      <c r="F241" s="82" t="s">
        <v>15</v>
      </c>
      <c r="G241" s="82" t="s">
        <v>35</v>
      </c>
      <c r="H241" s="82" t="s">
        <v>20</v>
      </c>
      <c r="I241" s="82" t="s">
        <v>65</v>
      </c>
      <c r="J241" s="82">
        <v>1</v>
      </c>
      <c r="K241" s="82" t="s">
        <v>22</v>
      </c>
      <c r="L241" s="83">
        <v>3</v>
      </c>
      <c r="M241" s="84">
        <v>219</v>
      </c>
      <c r="N241" s="85">
        <v>105</v>
      </c>
    </row>
    <row r="242" spans="1:14" ht="14.25" customHeight="1" x14ac:dyDescent="0.25">
      <c r="A242" s="78">
        <v>45721</v>
      </c>
      <c r="B242" s="79">
        <v>0.47916666666666669</v>
      </c>
      <c r="C242" s="78" t="str">
        <f>"Q" &amp; CHOOSE(MONTH(Sales!$A242), "1", "1", "1", "2", "2", "2", "3", "3", "3", "4", "4", "4") &amp; "_" &amp; YEAR(Sales!$A242)</f>
        <v>Q1_2025</v>
      </c>
      <c r="D242" s="80" t="s">
        <v>66</v>
      </c>
      <c r="E242" s="81" t="s">
        <v>14</v>
      </c>
      <c r="F242" s="82" t="s">
        <v>15</v>
      </c>
      <c r="G242" s="82" t="s">
        <v>93</v>
      </c>
      <c r="H242" s="82" t="s">
        <v>17</v>
      </c>
      <c r="I242" s="82" t="s">
        <v>94</v>
      </c>
      <c r="J242" s="82">
        <v>1</v>
      </c>
      <c r="K242" s="82" t="s">
        <v>22</v>
      </c>
      <c r="L242" s="83">
        <v>1</v>
      </c>
      <c r="M242" s="84">
        <v>229</v>
      </c>
      <c r="N242" s="85">
        <v>89</v>
      </c>
    </row>
    <row r="243" spans="1:14" ht="14.25" customHeight="1" x14ac:dyDescent="0.25">
      <c r="A243" s="78">
        <v>45721</v>
      </c>
      <c r="B243" s="79">
        <v>0.51527777777777772</v>
      </c>
      <c r="C243" s="78" t="str">
        <f>"Q" &amp; CHOOSE(MONTH(Sales!$A243), "1", "1", "1", "2", "2", "2", "3", "3", "3", "4", "4", "4") &amp; "_" &amp; YEAR(Sales!$A243)</f>
        <v>Q1_2025</v>
      </c>
      <c r="D243" s="80" t="s">
        <v>58</v>
      </c>
      <c r="E243" s="81" t="s">
        <v>14</v>
      </c>
      <c r="F243" s="82" t="s">
        <v>15</v>
      </c>
      <c r="G243" s="82" t="s">
        <v>103</v>
      </c>
      <c r="H243" s="82" t="s">
        <v>20</v>
      </c>
      <c r="I243" s="82" t="s">
        <v>104</v>
      </c>
      <c r="J243" s="82">
        <v>1</v>
      </c>
      <c r="K243" s="82" t="s">
        <v>22</v>
      </c>
      <c r="L243" s="83">
        <v>3</v>
      </c>
      <c r="M243" s="84">
        <v>999</v>
      </c>
      <c r="N243" s="85">
        <v>680</v>
      </c>
    </row>
    <row r="244" spans="1:14" ht="14.25" customHeight="1" x14ac:dyDescent="0.25">
      <c r="A244" s="78">
        <v>45721</v>
      </c>
      <c r="B244" s="79">
        <v>0.51597222222222228</v>
      </c>
      <c r="C244" s="78" t="str">
        <f>"Q" &amp; CHOOSE(MONTH(Sales!$A244), "1", "1", "1", "2", "2", "2", "3", "3", "3", "4", "4", "4") &amp; "_" &amp; YEAR(Sales!$A244)</f>
        <v>Q1_2025</v>
      </c>
      <c r="D244" s="80" t="s">
        <v>75</v>
      </c>
      <c r="E244" s="81" t="s">
        <v>14</v>
      </c>
      <c r="F244" s="82" t="s">
        <v>15</v>
      </c>
      <c r="G244" s="82" t="s">
        <v>32</v>
      </c>
      <c r="H244" s="82" t="s">
        <v>17</v>
      </c>
      <c r="I244" s="82" t="s">
        <v>98</v>
      </c>
      <c r="J244" s="82">
        <v>1</v>
      </c>
      <c r="K244" s="82" t="s">
        <v>84</v>
      </c>
      <c r="L244" s="83">
        <v>3</v>
      </c>
      <c r="M244" s="84">
        <v>0</v>
      </c>
      <c r="N244" s="85">
        <v>0</v>
      </c>
    </row>
    <row r="245" spans="1:14" ht="14.25" customHeight="1" x14ac:dyDescent="0.25">
      <c r="A245" s="78">
        <v>45721</v>
      </c>
      <c r="B245" s="79">
        <v>0.60416666666666663</v>
      </c>
      <c r="C245" s="78" t="str">
        <f>"Q" &amp; CHOOSE(MONTH(Sales!$A245), "1", "1", "1", "2", "2", "2", "3", "3", "3", "4", "4", "4") &amp; "_" &amp; YEAR(Sales!$A245)</f>
        <v>Q1_2025</v>
      </c>
      <c r="D245" s="80" t="s">
        <v>56</v>
      </c>
      <c r="E245" s="81" t="s">
        <v>14</v>
      </c>
      <c r="F245" s="82" t="s">
        <v>15</v>
      </c>
      <c r="G245" s="82" t="s">
        <v>24</v>
      </c>
      <c r="H245" s="82" t="s">
        <v>20</v>
      </c>
      <c r="I245" s="82" t="s">
        <v>81</v>
      </c>
      <c r="J245" s="82">
        <v>1</v>
      </c>
      <c r="K245" s="82" t="s">
        <v>22</v>
      </c>
      <c r="L245" s="83">
        <v>9</v>
      </c>
      <c r="M245" s="84">
        <v>749</v>
      </c>
      <c r="N245" s="85">
        <v>526</v>
      </c>
    </row>
    <row r="246" spans="1:14" ht="14.25" customHeight="1" x14ac:dyDescent="0.25">
      <c r="A246" s="78">
        <v>45721</v>
      </c>
      <c r="B246" s="79">
        <v>0.65902777777777777</v>
      </c>
      <c r="C246" s="78" t="str">
        <f>"Q" &amp; CHOOSE(MONTH(Sales!$A246), "1", "1", "1", "2", "2", "2", "3", "3", "3", "4", "4", "4") &amp; "_" &amp; YEAR(Sales!$A246)</f>
        <v>Q1_2025</v>
      </c>
      <c r="D246" s="80" t="s">
        <v>60</v>
      </c>
      <c r="E246" s="81" t="s">
        <v>14</v>
      </c>
      <c r="F246" s="82" t="s">
        <v>15</v>
      </c>
      <c r="G246" s="82" t="s">
        <v>35</v>
      </c>
      <c r="H246" s="82" t="s">
        <v>20</v>
      </c>
      <c r="I246" s="82" t="s">
        <v>97</v>
      </c>
      <c r="J246" s="82">
        <v>1</v>
      </c>
      <c r="K246" s="82" t="s">
        <v>22</v>
      </c>
      <c r="L246" s="83">
        <v>5</v>
      </c>
      <c r="M246" s="84">
        <v>399</v>
      </c>
      <c r="N246" s="85">
        <v>255</v>
      </c>
    </row>
    <row r="247" spans="1:14" ht="14.25" customHeight="1" x14ac:dyDescent="0.25">
      <c r="A247" s="78">
        <v>45721</v>
      </c>
      <c r="B247" s="79">
        <v>0.73958333333333337</v>
      </c>
      <c r="C247" s="78" t="str">
        <f>"Q" &amp; CHOOSE(MONTH(Sales!$A247), "1", "1", "1", "2", "2", "2", "3", "3", "3", "4", "4", "4") &amp; "_" &amp; YEAR(Sales!$A247)</f>
        <v>Q1_2025</v>
      </c>
      <c r="D247" s="80" t="s">
        <v>58</v>
      </c>
      <c r="E247" s="81" t="s">
        <v>14</v>
      </c>
      <c r="F247" s="82" t="s">
        <v>15</v>
      </c>
      <c r="G247" s="82" t="s">
        <v>24</v>
      </c>
      <c r="H247" s="82" t="s">
        <v>20</v>
      </c>
      <c r="I247" s="82" t="s">
        <v>96</v>
      </c>
      <c r="J247" s="82">
        <v>1</v>
      </c>
      <c r="K247" s="82" t="s">
        <v>22</v>
      </c>
      <c r="L247" s="83">
        <v>2</v>
      </c>
      <c r="M247" s="84">
        <v>265</v>
      </c>
      <c r="N247" s="85">
        <v>145</v>
      </c>
    </row>
    <row r="248" spans="1:14" ht="14.25" customHeight="1" x14ac:dyDescent="0.25">
      <c r="A248" s="78">
        <v>45721</v>
      </c>
      <c r="B248" s="79">
        <v>0.8256944444444444</v>
      </c>
      <c r="C248" s="78" t="str">
        <f>"Q" &amp; CHOOSE(MONTH(Sales!$A248), "1", "1", "1", "2", "2", "2", "3", "3", "3", "4", "4", "4") &amp; "_" &amp; YEAR(Sales!$A248)</f>
        <v>Q1_2025</v>
      </c>
      <c r="D248" s="80" t="s">
        <v>64</v>
      </c>
      <c r="E248" s="81" t="s">
        <v>14</v>
      </c>
      <c r="F248" s="82" t="s">
        <v>15</v>
      </c>
      <c r="G248" s="82" t="s">
        <v>24</v>
      </c>
      <c r="H248" s="82" t="s">
        <v>20</v>
      </c>
      <c r="I248" s="82" t="s">
        <v>25</v>
      </c>
      <c r="J248" s="82">
        <v>1</v>
      </c>
      <c r="K248" s="82" t="s">
        <v>22</v>
      </c>
      <c r="L248" s="83">
        <v>3</v>
      </c>
      <c r="M248" s="84">
        <v>359</v>
      </c>
      <c r="N248" s="85">
        <v>239</v>
      </c>
    </row>
    <row r="249" spans="1:14" ht="14.25" customHeight="1" x14ac:dyDescent="0.25">
      <c r="A249" s="78">
        <v>45721</v>
      </c>
      <c r="B249" s="79">
        <v>0.88263888888888886</v>
      </c>
      <c r="C249" s="78" t="str">
        <f>"Q" &amp; CHOOSE(MONTH(Sales!$A249), "1", "1", "1", "2", "2", "2", "3", "3", "3", "4", "4", "4") &amp; "_" &amp; YEAR(Sales!$A249)</f>
        <v>Q1_2025</v>
      </c>
      <c r="D249" s="80" t="s">
        <v>60</v>
      </c>
      <c r="E249" s="81" t="s">
        <v>14</v>
      </c>
      <c r="F249" s="82" t="s">
        <v>15</v>
      </c>
      <c r="G249" s="82" t="s">
        <v>24</v>
      </c>
      <c r="H249" s="82" t="s">
        <v>20</v>
      </c>
      <c r="I249" s="82" t="s">
        <v>25</v>
      </c>
      <c r="J249" s="82">
        <v>1</v>
      </c>
      <c r="K249" s="82" t="s">
        <v>22</v>
      </c>
      <c r="L249" s="83">
        <v>3</v>
      </c>
      <c r="M249" s="84">
        <v>359</v>
      </c>
      <c r="N249" s="85">
        <v>239</v>
      </c>
    </row>
    <row r="250" spans="1:14" ht="14.25" customHeight="1" x14ac:dyDescent="0.25">
      <c r="A250" s="78">
        <v>45721</v>
      </c>
      <c r="B250" s="79">
        <v>0.89930555555555558</v>
      </c>
      <c r="C250" s="78" t="str">
        <f>"Q" &amp; CHOOSE(MONTH(Sales!$A250), "1", "1", "1", "2", "2", "2", "3", "3", "3", "4", "4", "4") &amp; "_" &amp; YEAR(Sales!$A250)</f>
        <v>Q1_2025</v>
      </c>
      <c r="D250" s="80" t="s">
        <v>62</v>
      </c>
      <c r="E250" s="81" t="s">
        <v>14</v>
      </c>
      <c r="F250" s="82" t="s">
        <v>15</v>
      </c>
      <c r="G250" s="82" t="s">
        <v>93</v>
      </c>
      <c r="H250" s="82" t="s">
        <v>17</v>
      </c>
      <c r="I250" s="82" t="s">
        <v>94</v>
      </c>
      <c r="J250" s="82">
        <v>1</v>
      </c>
      <c r="K250" s="82" t="s">
        <v>22</v>
      </c>
      <c r="L250" s="83">
        <v>1</v>
      </c>
      <c r="M250" s="84">
        <v>229</v>
      </c>
      <c r="N250" s="85">
        <v>89</v>
      </c>
    </row>
    <row r="251" spans="1:14" ht="14.25" customHeight="1" x14ac:dyDescent="0.25">
      <c r="A251" s="78">
        <v>45721</v>
      </c>
      <c r="B251" s="79">
        <v>0.89930555555555558</v>
      </c>
      <c r="C251" s="78" t="str">
        <f>"Q" &amp; CHOOSE(MONTH(Sales!$A251), "1", "1", "1", "2", "2", "2", "3", "3", "3", "4", "4", "4") &amp; "_" &amp; YEAR(Sales!$A251)</f>
        <v>Q1_2025</v>
      </c>
      <c r="D251" s="80" t="s">
        <v>68</v>
      </c>
      <c r="E251" s="81" t="s">
        <v>14</v>
      </c>
      <c r="F251" s="82" t="s">
        <v>15</v>
      </c>
      <c r="G251" s="82" t="s">
        <v>102</v>
      </c>
      <c r="H251" s="82" t="s">
        <v>17</v>
      </c>
      <c r="I251" s="82" t="s">
        <v>240</v>
      </c>
      <c r="J251" s="82">
        <v>1</v>
      </c>
      <c r="K251" s="82" t="s">
        <v>22</v>
      </c>
      <c r="L251" s="83">
        <v>1</v>
      </c>
      <c r="M251" s="84">
        <v>339</v>
      </c>
      <c r="N251" s="85">
        <v>172</v>
      </c>
    </row>
    <row r="252" spans="1:14" ht="14.25" customHeight="1" x14ac:dyDescent="0.25">
      <c r="A252" s="78">
        <v>45722</v>
      </c>
      <c r="B252" s="79">
        <v>2.2916666666666665E-2</v>
      </c>
      <c r="C252" s="78" t="str">
        <f>"Q" &amp; CHOOSE(MONTH(Sales!$A252), "1", "1", "1", "2", "2", "2", "3", "3", "3", "4", "4", "4") &amp; "_" &amp; YEAR(Sales!$A252)</f>
        <v>Q1_2025</v>
      </c>
      <c r="D252" s="80" t="s">
        <v>62</v>
      </c>
      <c r="E252" s="81" t="s">
        <v>14</v>
      </c>
      <c r="F252" s="82" t="s">
        <v>15</v>
      </c>
      <c r="G252" s="82" t="s">
        <v>24</v>
      </c>
      <c r="H252" s="82" t="s">
        <v>20</v>
      </c>
      <c r="I252" s="82" t="s">
        <v>25</v>
      </c>
      <c r="J252" s="82">
        <v>1</v>
      </c>
      <c r="K252" s="82" t="s">
        <v>22</v>
      </c>
      <c r="L252" s="83">
        <v>3</v>
      </c>
      <c r="M252" s="84">
        <v>358</v>
      </c>
      <c r="N252" s="85">
        <v>238</v>
      </c>
    </row>
    <row r="253" spans="1:14" ht="14.25" customHeight="1" x14ac:dyDescent="0.25">
      <c r="A253" s="78">
        <v>45722</v>
      </c>
      <c r="B253" s="79">
        <v>0.24236111111111111</v>
      </c>
      <c r="C253" s="78" t="str">
        <f>"Q" &amp; CHOOSE(MONTH(Sales!$A253), "1", "1", "1", "2", "2", "2", "3", "3", "3", "4", "4", "4") &amp; "_" &amp; YEAR(Sales!$A253)</f>
        <v>Q1_2025</v>
      </c>
      <c r="D253" s="80" t="s">
        <v>68</v>
      </c>
      <c r="E253" s="81" t="s">
        <v>14</v>
      </c>
      <c r="F253" s="82" t="s">
        <v>15</v>
      </c>
      <c r="G253" s="82" t="s">
        <v>16</v>
      </c>
      <c r="H253" s="82" t="s">
        <v>20</v>
      </c>
      <c r="I253" s="82" t="s">
        <v>49</v>
      </c>
      <c r="J253" s="82">
        <v>1</v>
      </c>
      <c r="K253" s="82" t="s">
        <v>22</v>
      </c>
      <c r="L253" s="83">
        <v>3</v>
      </c>
      <c r="M253" s="84">
        <v>839</v>
      </c>
      <c r="N253" s="85">
        <v>606</v>
      </c>
    </row>
    <row r="254" spans="1:14" ht="14.25" customHeight="1" x14ac:dyDescent="0.25">
      <c r="A254" s="78">
        <v>45722</v>
      </c>
      <c r="B254" s="79">
        <v>0.24236111111111111</v>
      </c>
      <c r="C254" s="78" t="str">
        <f>"Q" &amp; CHOOSE(MONTH(Sales!$A254), "1", "1", "1", "2", "2", "2", "3", "3", "3", "4", "4", "4") &amp; "_" &amp; YEAR(Sales!$A254)</f>
        <v>Q1_2025</v>
      </c>
      <c r="D254" s="80" t="s">
        <v>68</v>
      </c>
      <c r="E254" s="81" t="s">
        <v>14</v>
      </c>
      <c r="F254" s="82" t="s">
        <v>15</v>
      </c>
      <c r="G254" s="82" t="s">
        <v>16</v>
      </c>
      <c r="H254" s="82" t="s">
        <v>17</v>
      </c>
      <c r="I254" s="82" t="s">
        <v>27</v>
      </c>
      <c r="J254" s="82">
        <v>1</v>
      </c>
      <c r="K254" s="82" t="s">
        <v>22</v>
      </c>
      <c r="L254" s="83">
        <v>1</v>
      </c>
      <c r="M254" s="84">
        <v>0</v>
      </c>
      <c r="N254" s="85">
        <v>0</v>
      </c>
    </row>
    <row r="255" spans="1:14" ht="14.25" customHeight="1" x14ac:dyDescent="0.25">
      <c r="A255" s="78">
        <v>45722</v>
      </c>
      <c r="B255" s="79">
        <v>0.27500000000000002</v>
      </c>
      <c r="C255" s="78" t="str">
        <f>"Q" &amp; CHOOSE(MONTH(Sales!$A255), "1", "1", "1", "2", "2", "2", "3", "3", "3", "4", "4", "4") &amp; "_" &amp; YEAR(Sales!$A255)</f>
        <v>Q1_2025</v>
      </c>
      <c r="D255" s="80" t="s">
        <v>60</v>
      </c>
      <c r="E255" s="81" t="s">
        <v>14</v>
      </c>
      <c r="F255" s="82" t="s">
        <v>15</v>
      </c>
      <c r="G255" s="82" t="s">
        <v>24</v>
      </c>
      <c r="H255" s="82" t="s">
        <v>20</v>
      </c>
      <c r="I255" s="82" t="s">
        <v>52</v>
      </c>
      <c r="J255" s="82">
        <v>1</v>
      </c>
      <c r="K255" s="82" t="s">
        <v>22</v>
      </c>
      <c r="L255" s="83">
        <v>5</v>
      </c>
      <c r="M255" s="84">
        <v>509</v>
      </c>
      <c r="N255" s="85">
        <v>317</v>
      </c>
    </row>
    <row r="256" spans="1:14" ht="14.25" customHeight="1" x14ac:dyDescent="0.25">
      <c r="A256" s="78">
        <v>45722</v>
      </c>
      <c r="B256" s="79">
        <v>0.52361111111111114</v>
      </c>
      <c r="C256" s="78" t="str">
        <f>"Q" &amp; CHOOSE(MONTH(Sales!$A256), "1", "1", "1", "2", "2", "2", "3", "3", "3", "4", "4", "4") &amp; "_" &amp; YEAR(Sales!$A256)</f>
        <v>Q1_2025</v>
      </c>
      <c r="D256" s="80" t="s">
        <v>85</v>
      </c>
      <c r="E256" s="81" t="s">
        <v>14</v>
      </c>
      <c r="F256" s="82" t="s">
        <v>15</v>
      </c>
      <c r="G256" s="82" t="s">
        <v>24</v>
      </c>
      <c r="H256" s="82" t="s">
        <v>20</v>
      </c>
      <c r="I256" s="82" t="s">
        <v>25</v>
      </c>
      <c r="J256" s="82">
        <v>1</v>
      </c>
      <c r="K256" s="82" t="s">
        <v>22</v>
      </c>
      <c r="L256" s="83">
        <v>3</v>
      </c>
      <c r="M256" s="84">
        <v>358</v>
      </c>
      <c r="N256" s="85">
        <v>238</v>
      </c>
    </row>
    <row r="257" spans="1:14" ht="14.25" customHeight="1" x14ac:dyDescent="0.25">
      <c r="A257" s="78">
        <v>45722</v>
      </c>
      <c r="B257" s="79">
        <v>0.60138888888888886</v>
      </c>
      <c r="C257" s="78" t="str">
        <f>"Q" &amp; CHOOSE(MONTH(Sales!$A257), "1", "1", "1", "2", "2", "2", "3", "3", "3", "4", "4", "4") &amp; "_" &amp; YEAR(Sales!$A257)</f>
        <v>Q1_2025</v>
      </c>
      <c r="D257" s="80" t="s">
        <v>58</v>
      </c>
      <c r="E257" s="81" t="s">
        <v>14</v>
      </c>
      <c r="F257" s="82" t="s">
        <v>15</v>
      </c>
      <c r="G257" s="82" t="s">
        <v>24</v>
      </c>
      <c r="H257" s="82" t="s">
        <v>20</v>
      </c>
      <c r="I257" s="82" t="s">
        <v>96</v>
      </c>
      <c r="J257" s="82">
        <v>1</v>
      </c>
      <c r="K257" s="82" t="s">
        <v>22</v>
      </c>
      <c r="L257" s="83">
        <v>2</v>
      </c>
      <c r="M257" s="84">
        <v>265</v>
      </c>
      <c r="N257" s="85">
        <v>145</v>
      </c>
    </row>
    <row r="258" spans="1:14" ht="14.25" customHeight="1" x14ac:dyDescent="0.25">
      <c r="A258" s="78">
        <v>45722</v>
      </c>
      <c r="B258" s="79">
        <v>0.60138888888888886</v>
      </c>
      <c r="C258" s="78" t="str">
        <f>"Q" &amp; CHOOSE(MONTH(Sales!$A258), "1", "1", "1", "2", "2", "2", "3", "3", "3", "4", "4", "4") &amp; "_" &amp; YEAR(Sales!$A258)</f>
        <v>Q1_2025</v>
      </c>
      <c r="D258" s="80" t="s">
        <v>63</v>
      </c>
      <c r="E258" s="81" t="s">
        <v>14</v>
      </c>
      <c r="F258" s="82" t="s">
        <v>15</v>
      </c>
      <c r="G258" s="82" t="s">
        <v>24</v>
      </c>
      <c r="H258" s="82" t="s">
        <v>20</v>
      </c>
      <c r="I258" s="82" t="s">
        <v>52</v>
      </c>
      <c r="J258" s="82">
        <v>1</v>
      </c>
      <c r="K258" s="82" t="s">
        <v>22</v>
      </c>
      <c r="L258" s="83">
        <v>5</v>
      </c>
      <c r="M258" s="84">
        <v>519</v>
      </c>
      <c r="N258" s="85">
        <v>326</v>
      </c>
    </row>
    <row r="259" spans="1:14" ht="14.25" customHeight="1" x14ac:dyDescent="0.25">
      <c r="A259" s="78">
        <v>45722</v>
      </c>
      <c r="B259" s="79">
        <v>0.77152777777777781</v>
      </c>
      <c r="C259" s="78" t="str">
        <f>"Q" &amp; CHOOSE(MONTH(Sales!$A259), "1", "1", "1", "2", "2", "2", "3", "3", "3", "4", "4", "4") &amp; "_" &amp; YEAR(Sales!$A259)</f>
        <v>Q1_2025</v>
      </c>
      <c r="D259" s="80" t="s">
        <v>58</v>
      </c>
      <c r="E259" s="81" t="s">
        <v>14</v>
      </c>
      <c r="F259" s="82" t="s">
        <v>15</v>
      </c>
      <c r="G259" s="82" t="s">
        <v>24</v>
      </c>
      <c r="H259" s="82" t="s">
        <v>20</v>
      </c>
      <c r="I259" s="82" t="s">
        <v>52</v>
      </c>
      <c r="J259" s="82">
        <v>1</v>
      </c>
      <c r="K259" s="82" t="s">
        <v>22</v>
      </c>
      <c r="L259" s="83">
        <v>5</v>
      </c>
      <c r="M259" s="84">
        <v>519</v>
      </c>
      <c r="N259" s="85">
        <v>326</v>
      </c>
    </row>
    <row r="260" spans="1:14" ht="14.25" customHeight="1" x14ac:dyDescent="0.25">
      <c r="A260" s="78">
        <v>45722</v>
      </c>
      <c r="B260" s="79">
        <v>0.78819444444444442</v>
      </c>
      <c r="C260" s="78" t="str">
        <f>"Q" &amp; CHOOSE(MONTH(Sales!$A260), "1", "1", "1", "2", "2", "2", "3", "3", "3", "4", "4", "4") &amp; "_" &amp; YEAR(Sales!$A260)</f>
        <v>Q1_2025</v>
      </c>
      <c r="D260" s="80" t="s">
        <v>60</v>
      </c>
      <c r="E260" s="81" t="s">
        <v>14</v>
      </c>
      <c r="F260" s="82" t="s">
        <v>15</v>
      </c>
      <c r="G260" s="82" t="s">
        <v>87</v>
      </c>
      <c r="H260" s="82" t="s">
        <v>17</v>
      </c>
      <c r="I260" s="82" t="s">
        <v>88</v>
      </c>
      <c r="J260" s="82">
        <v>1</v>
      </c>
      <c r="K260" s="82" t="s">
        <v>22</v>
      </c>
      <c r="L260" s="83">
        <v>1</v>
      </c>
      <c r="M260" s="84">
        <v>769</v>
      </c>
      <c r="N260" s="85">
        <v>494</v>
      </c>
    </row>
    <row r="261" spans="1:14" ht="14.25" customHeight="1" x14ac:dyDescent="0.25">
      <c r="A261" s="78">
        <v>45722</v>
      </c>
      <c r="B261" s="79">
        <v>0.95833333333333337</v>
      </c>
      <c r="C261" s="78" t="str">
        <f>"Q" &amp; CHOOSE(MONTH(Sales!$A261), "1", "1", "1", "2", "2", "2", "3", "3", "3", "4", "4", "4") &amp; "_" &amp; YEAR(Sales!$A261)</f>
        <v>Q1_2025</v>
      </c>
      <c r="D261" s="80" t="s">
        <v>59</v>
      </c>
      <c r="E261" s="81" t="s">
        <v>14</v>
      </c>
      <c r="F261" s="82" t="s">
        <v>15</v>
      </c>
      <c r="G261" s="82" t="s">
        <v>24</v>
      </c>
      <c r="H261" s="82" t="s">
        <v>20</v>
      </c>
      <c r="I261" s="82" t="s">
        <v>25</v>
      </c>
      <c r="J261" s="82">
        <v>1</v>
      </c>
      <c r="K261" s="82" t="s">
        <v>22</v>
      </c>
      <c r="L261" s="83">
        <v>3</v>
      </c>
      <c r="M261" s="84">
        <v>358</v>
      </c>
      <c r="N261" s="85">
        <v>238</v>
      </c>
    </row>
    <row r="262" spans="1:14" ht="14.25" customHeight="1" x14ac:dyDescent="0.25">
      <c r="A262" s="78">
        <v>45722</v>
      </c>
      <c r="B262" s="79">
        <v>0.96250000000000002</v>
      </c>
      <c r="C262" s="78" t="str">
        <f>"Q" &amp; CHOOSE(MONTH(Sales!$A262), "1", "1", "1", "2", "2", "2", "3", "3", "3", "4", "4", "4") &amp; "_" &amp; YEAR(Sales!$A262)</f>
        <v>Q1_2025</v>
      </c>
      <c r="D262" s="80" t="s">
        <v>60</v>
      </c>
      <c r="E262" s="81" t="s">
        <v>14</v>
      </c>
      <c r="F262" s="82" t="s">
        <v>15</v>
      </c>
      <c r="G262" s="82" t="s">
        <v>16</v>
      </c>
      <c r="H262" s="82" t="s">
        <v>105</v>
      </c>
      <c r="I262" s="82" t="s">
        <v>18</v>
      </c>
      <c r="J262" s="82">
        <v>1</v>
      </c>
      <c r="K262" s="82" t="s">
        <v>22</v>
      </c>
      <c r="L262" s="83">
        <v>2</v>
      </c>
      <c r="M262" s="84">
        <v>483</v>
      </c>
      <c r="N262" s="85">
        <v>345</v>
      </c>
    </row>
    <row r="263" spans="1:14" ht="14.25" customHeight="1" x14ac:dyDescent="0.25">
      <c r="A263" s="78">
        <v>45722</v>
      </c>
      <c r="B263" s="79">
        <v>0.96527777777777779</v>
      </c>
      <c r="C263" s="78" t="str">
        <f>"Q" &amp; CHOOSE(MONTH(Sales!$A263), "1", "1", "1", "2", "2", "2", "3", "3", "3", "4", "4", "4") &amp; "_" &amp; YEAR(Sales!$A263)</f>
        <v>Q1_2025</v>
      </c>
      <c r="D263" s="80" t="s">
        <v>68</v>
      </c>
      <c r="E263" s="81" t="s">
        <v>14</v>
      </c>
      <c r="F263" s="82" t="s">
        <v>15</v>
      </c>
      <c r="G263" s="82" t="s">
        <v>103</v>
      </c>
      <c r="H263" s="82" t="s">
        <v>20</v>
      </c>
      <c r="I263" s="82" t="s">
        <v>104</v>
      </c>
      <c r="J263" s="82">
        <v>1</v>
      </c>
      <c r="K263" s="82" t="s">
        <v>22</v>
      </c>
      <c r="L263" s="83">
        <v>3</v>
      </c>
      <c r="M263" s="84">
        <v>1145</v>
      </c>
      <c r="N263" s="85">
        <v>761</v>
      </c>
    </row>
    <row r="264" spans="1:14" ht="14.25" customHeight="1" x14ac:dyDescent="0.25">
      <c r="A264" s="78">
        <v>45723</v>
      </c>
      <c r="B264" s="79">
        <v>0.29791666666666666</v>
      </c>
      <c r="C264" s="78" t="str">
        <f>"Q" &amp; CHOOSE(MONTH(Sales!$A264), "1", "1", "1", "2", "2", "2", "3", "3", "3", "4", "4", "4") &amp; "_" &amp; YEAR(Sales!$A264)</f>
        <v>Q1_2025</v>
      </c>
      <c r="D264" s="80" t="s">
        <v>59</v>
      </c>
      <c r="E264" s="81" t="s">
        <v>14</v>
      </c>
      <c r="F264" s="82" t="s">
        <v>15</v>
      </c>
      <c r="G264" s="82" t="s">
        <v>87</v>
      </c>
      <c r="H264" s="82" t="s">
        <v>17</v>
      </c>
      <c r="I264" s="82" t="s">
        <v>88</v>
      </c>
      <c r="J264" s="82">
        <v>1</v>
      </c>
      <c r="K264" s="82" t="s">
        <v>22</v>
      </c>
      <c r="L264" s="83">
        <v>1</v>
      </c>
      <c r="M264" s="84">
        <v>832</v>
      </c>
      <c r="N264" s="85">
        <v>545</v>
      </c>
    </row>
    <row r="265" spans="1:14" ht="14.25" customHeight="1" x14ac:dyDescent="0.25">
      <c r="A265" s="78">
        <v>45723</v>
      </c>
      <c r="B265" s="79">
        <v>0.39305555555555555</v>
      </c>
      <c r="C265" s="78" t="str">
        <f>"Q" &amp; CHOOSE(MONTH(Sales!$A265), "1", "1", "1", "2", "2", "2", "3", "3", "3", "4", "4", "4") &amp; "_" &amp; YEAR(Sales!$A265)</f>
        <v>Q1_2025</v>
      </c>
      <c r="D265" s="80" t="s">
        <v>60</v>
      </c>
      <c r="E265" s="81" t="s">
        <v>14</v>
      </c>
      <c r="F265" s="82" t="s">
        <v>15</v>
      </c>
      <c r="G265" s="82" t="s">
        <v>102</v>
      </c>
      <c r="H265" s="82" t="s">
        <v>17</v>
      </c>
      <c r="I265" s="82" t="s">
        <v>240</v>
      </c>
      <c r="J265" s="82">
        <v>1</v>
      </c>
      <c r="K265" s="82" t="s">
        <v>22</v>
      </c>
      <c r="L265" s="83">
        <v>1</v>
      </c>
      <c r="M265" s="84">
        <v>349</v>
      </c>
      <c r="N265" s="85">
        <v>180</v>
      </c>
    </row>
    <row r="266" spans="1:14" ht="14.25" customHeight="1" x14ac:dyDescent="0.25">
      <c r="A266" s="78">
        <v>45723</v>
      </c>
      <c r="B266" s="79">
        <v>0.57708333333333328</v>
      </c>
      <c r="C266" s="78" t="str">
        <f>"Q" &amp; CHOOSE(MONTH(Sales!$A266), "1", "1", "1", "2", "2", "2", "3", "3", "3", "4", "4", "4") &amp; "_" &amp; YEAR(Sales!$A266)</f>
        <v>Q1_2025</v>
      </c>
      <c r="D266" s="80" t="s">
        <v>68</v>
      </c>
      <c r="E266" s="81" t="s">
        <v>14</v>
      </c>
      <c r="F266" s="82" t="s">
        <v>15</v>
      </c>
      <c r="G266" s="82" t="s">
        <v>24</v>
      </c>
      <c r="H266" s="82" t="s">
        <v>20</v>
      </c>
      <c r="I266" s="82" t="s">
        <v>96</v>
      </c>
      <c r="J266" s="82">
        <v>1</v>
      </c>
      <c r="K266" s="82" t="s">
        <v>22</v>
      </c>
      <c r="L266" s="83">
        <v>2</v>
      </c>
      <c r="M266" s="84">
        <v>269</v>
      </c>
      <c r="N266" s="85">
        <v>149</v>
      </c>
    </row>
    <row r="267" spans="1:14" ht="14.25" customHeight="1" x14ac:dyDescent="0.25">
      <c r="A267" s="78">
        <v>45723</v>
      </c>
      <c r="B267" s="79">
        <v>0.99236111111111114</v>
      </c>
      <c r="C267" s="78" t="str">
        <f>"Q" &amp; CHOOSE(MONTH(Sales!$A267), "1", "1", "1", "2", "2", "2", "3", "3", "3", "4", "4", "4") &amp; "_" &amp; YEAR(Sales!$A267)</f>
        <v>Q1_2025</v>
      </c>
      <c r="D267" s="80" t="s">
        <v>63</v>
      </c>
      <c r="E267" s="81" t="s">
        <v>14</v>
      </c>
      <c r="F267" s="82" t="s">
        <v>15</v>
      </c>
      <c r="G267" s="82" t="s">
        <v>16</v>
      </c>
      <c r="H267" s="82" t="s">
        <v>20</v>
      </c>
      <c r="I267" s="82" t="s">
        <v>18</v>
      </c>
      <c r="J267" s="82">
        <v>2</v>
      </c>
      <c r="K267" s="82" t="s">
        <v>22</v>
      </c>
      <c r="L267" s="83">
        <v>2</v>
      </c>
      <c r="M267" s="84">
        <v>483</v>
      </c>
      <c r="N267" s="85">
        <v>345</v>
      </c>
    </row>
    <row r="268" spans="1:14" ht="14.25" customHeight="1" x14ac:dyDescent="0.25">
      <c r="A268" s="78">
        <v>45724</v>
      </c>
      <c r="B268" s="79">
        <v>0.23333333333333334</v>
      </c>
      <c r="C268" s="78" t="str">
        <f>"Q" &amp; CHOOSE(MONTH(Sales!$A268), "1", "1", "1", "2", "2", "2", "3", "3", "3", "4", "4", "4") &amp; "_" &amp; YEAR(Sales!$A268)</f>
        <v>Q1_2025</v>
      </c>
      <c r="D268" s="80" t="s">
        <v>58</v>
      </c>
      <c r="E268" s="81" t="s">
        <v>14</v>
      </c>
      <c r="F268" s="82" t="s">
        <v>15</v>
      </c>
      <c r="G268" s="82" t="s">
        <v>24</v>
      </c>
      <c r="H268" s="82" t="s">
        <v>20</v>
      </c>
      <c r="I268" s="82" t="s">
        <v>25</v>
      </c>
      <c r="J268" s="82">
        <v>1</v>
      </c>
      <c r="K268" s="82" t="s">
        <v>22</v>
      </c>
      <c r="L268" s="83">
        <v>3</v>
      </c>
      <c r="M268" s="84">
        <v>355</v>
      </c>
      <c r="N268" s="85">
        <v>185</v>
      </c>
    </row>
    <row r="269" spans="1:14" ht="14.25" customHeight="1" x14ac:dyDescent="0.25">
      <c r="A269" s="78">
        <v>45724</v>
      </c>
      <c r="B269" s="79">
        <v>0.34097222222222223</v>
      </c>
      <c r="C269" s="78" t="str">
        <f>"Q" &amp; CHOOSE(MONTH(Sales!$A269), "1", "1", "1", "2", "2", "2", "3", "3", "3", "4", "4", "4") &amp; "_" &amp; YEAR(Sales!$A269)</f>
        <v>Q1_2025</v>
      </c>
      <c r="D269" s="80" t="s">
        <v>57</v>
      </c>
      <c r="E269" s="81" t="s">
        <v>14</v>
      </c>
      <c r="F269" s="82" t="s">
        <v>15</v>
      </c>
      <c r="G269" s="82" t="s">
        <v>16</v>
      </c>
      <c r="H269" s="82" t="s">
        <v>20</v>
      </c>
      <c r="I269" s="82" t="s">
        <v>72</v>
      </c>
      <c r="J269" s="82">
        <v>1</v>
      </c>
      <c r="K269" s="82" t="s">
        <v>22</v>
      </c>
      <c r="L269" s="83">
        <v>2</v>
      </c>
      <c r="M269" s="84">
        <v>589</v>
      </c>
      <c r="N269" s="85">
        <v>387</v>
      </c>
    </row>
    <row r="270" spans="1:14" ht="14.25" customHeight="1" x14ac:dyDescent="0.25">
      <c r="A270" s="78">
        <v>45724</v>
      </c>
      <c r="B270" s="79">
        <v>0.64236111111111116</v>
      </c>
      <c r="C270" s="78" t="str">
        <f>"Q" &amp; CHOOSE(MONTH(Sales!$A270), "1", "1", "1", "2", "2", "2", "3", "3", "3", "4", "4", "4") &amp; "_" &amp; YEAR(Sales!$A270)</f>
        <v>Q1_2025</v>
      </c>
      <c r="D270" s="80" t="s">
        <v>58</v>
      </c>
      <c r="E270" s="81" t="s">
        <v>14</v>
      </c>
      <c r="F270" s="82" t="s">
        <v>15</v>
      </c>
      <c r="G270" s="82" t="s">
        <v>24</v>
      </c>
      <c r="H270" s="82" t="s">
        <v>20</v>
      </c>
      <c r="I270" s="82" t="s">
        <v>96</v>
      </c>
      <c r="J270" s="82">
        <v>1</v>
      </c>
      <c r="K270" s="82" t="s">
        <v>22</v>
      </c>
      <c r="L270" s="83">
        <v>2</v>
      </c>
      <c r="M270" s="84">
        <v>265</v>
      </c>
      <c r="N270" s="85">
        <v>145</v>
      </c>
    </row>
    <row r="271" spans="1:14" ht="14.25" customHeight="1" x14ac:dyDescent="0.25">
      <c r="A271" s="78">
        <v>45724</v>
      </c>
      <c r="B271" s="79">
        <v>0.65972222222222221</v>
      </c>
      <c r="C271" s="78" t="str">
        <f>"Q" &amp; CHOOSE(MONTH(Sales!$A271), "1", "1", "1", "2", "2", "2", "3", "3", "3", "4", "4", "4") &amp; "_" &amp; YEAR(Sales!$A271)</f>
        <v>Q1_2025</v>
      </c>
      <c r="D271" s="80" t="s">
        <v>58</v>
      </c>
      <c r="E271" s="81" t="s">
        <v>14</v>
      </c>
      <c r="F271" s="82" t="s">
        <v>15</v>
      </c>
      <c r="G271" s="82" t="s">
        <v>24</v>
      </c>
      <c r="H271" s="82" t="s">
        <v>20</v>
      </c>
      <c r="I271" s="82" t="s">
        <v>25</v>
      </c>
      <c r="J271" s="82">
        <v>1</v>
      </c>
      <c r="K271" s="82" t="s">
        <v>22</v>
      </c>
      <c r="L271" s="83">
        <v>3</v>
      </c>
      <c r="M271" s="84">
        <v>349</v>
      </c>
      <c r="N271" s="85">
        <v>229</v>
      </c>
    </row>
    <row r="272" spans="1:14" ht="14.25" customHeight="1" x14ac:dyDescent="0.25">
      <c r="A272" s="78">
        <v>45724</v>
      </c>
      <c r="B272" s="79">
        <v>0.88472222222222219</v>
      </c>
      <c r="C272" s="78" t="str">
        <f>"Q" &amp; CHOOSE(MONTH(Sales!$A272), "1", "1", "1", "2", "2", "2", "3", "3", "3", "4", "4", "4") &amp; "_" &amp; YEAR(Sales!$A272)</f>
        <v>Q1_2025</v>
      </c>
      <c r="D272" s="80" t="s">
        <v>64</v>
      </c>
      <c r="E272" s="81" t="s">
        <v>14</v>
      </c>
      <c r="F272" s="82" t="s">
        <v>15</v>
      </c>
      <c r="G272" s="82" t="s">
        <v>24</v>
      </c>
      <c r="H272" s="82" t="s">
        <v>20</v>
      </c>
      <c r="I272" s="82" t="s">
        <v>25</v>
      </c>
      <c r="J272" s="82">
        <v>1</v>
      </c>
      <c r="K272" s="82" t="s">
        <v>22</v>
      </c>
      <c r="L272" s="83">
        <v>3</v>
      </c>
      <c r="M272" s="84">
        <v>349</v>
      </c>
      <c r="N272" s="85">
        <v>229</v>
      </c>
    </row>
    <row r="273" spans="1:14" ht="14.25" customHeight="1" x14ac:dyDescent="0.25">
      <c r="A273" s="78">
        <v>45724</v>
      </c>
      <c r="B273" s="79">
        <v>0.97083333333333333</v>
      </c>
      <c r="C273" s="78" t="str">
        <f>"Q" &amp; CHOOSE(MONTH(Sales!$A273), "1", "1", "1", "2", "2", "2", "3", "3", "3", "4", "4", "4") &amp; "_" &amp; YEAR(Sales!$A273)</f>
        <v>Q1_2025</v>
      </c>
      <c r="D273" s="80" t="s">
        <v>64</v>
      </c>
      <c r="E273" s="81" t="s">
        <v>14</v>
      </c>
      <c r="F273" s="82" t="s">
        <v>15</v>
      </c>
      <c r="G273" s="82" t="s">
        <v>24</v>
      </c>
      <c r="H273" s="82" t="s">
        <v>20</v>
      </c>
      <c r="I273" s="82" t="s">
        <v>25</v>
      </c>
      <c r="J273" s="82">
        <v>1</v>
      </c>
      <c r="K273" s="82" t="s">
        <v>22</v>
      </c>
      <c r="L273" s="83">
        <v>3</v>
      </c>
      <c r="M273" s="84">
        <v>349</v>
      </c>
      <c r="N273" s="85">
        <v>229</v>
      </c>
    </row>
    <row r="274" spans="1:14" ht="14.25" customHeight="1" x14ac:dyDescent="0.25">
      <c r="A274" s="78">
        <v>45724</v>
      </c>
      <c r="B274" s="79">
        <v>0.96319444444444446</v>
      </c>
      <c r="C274" s="78" t="str">
        <f>"Q" &amp; CHOOSE(MONTH(Sales!$A274), "1", "1", "1", "2", "2", "2", "3", "3", "3", "4", "4", "4") &amp; "_" &amp; YEAR(Sales!$A274)</f>
        <v>Q1_2025</v>
      </c>
      <c r="D274" s="80" t="s">
        <v>62</v>
      </c>
      <c r="E274" s="81" t="s">
        <v>14</v>
      </c>
      <c r="F274" s="82" t="s">
        <v>15</v>
      </c>
      <c r="G274" s="82" t="s">
        <v>35</v>
      </c>
      <c r="H274" s="82" t="s">
        <v>20</v>
      </c>
      <c r="I274" s="82" t="s">
        <v>43</v>
      </c>
      <c r="J274" s="82">
        <v>1</v>
      </c>
      <c r="K274" s="82" t="s">
        <v>22</v>
      </c>
      <c r="L274" s="83">
        <v>6</v>
      </c>
      <c r="M274" s="84">
        <v>449</v>
      </c>
      <c r="N274" s="85">
        <v>300</v>
      </c>
    </row>
    <row r="275" spans="1:14" ht="14.25" customHeight="1" x14ac:dyDescent="0.25">
      <c r="A275" s="78">
        <v>45725</v>
      </c>
      <c r="B275" s="79">
        <v>0.66249999999999998</v>
      </c>
      <c r="C275" s="78" t="str">
        <f>"Q" &amp; CHOOSE(MONTH(Sales!$A275), "1", "1", "1", "2", "2", "2", "3", "3", "3", "4", "4", "4") &amp; "_" &amp; YEAR(Sales!$A275)</f>
        <v>Q1_2025</v>
      </c>
      <c r="D275" s="80" t="s">
        <v>106</v>
      </c>
      <c r="E275" s="81" t="s">
        <v>14</v>
      </c>
      <c r="F275" s="82" t="s">
        <v>15</v>
      </c>
      <c r="G275" s="82" t="s">
        <v>16</v>
      </c>
      <c r="H275" s="82" t="s">
        <v>20</v>
      </c>
      <c r="I275" s="82" t="s">
        <v>44</v>
      </c>
      <c r="J275" s="82">
        <v>1</v>
      </c>
      <c r="K275" s="82" t="s">
        <v>22</v>
      </c>
      <c r="L275" s="83">
        <v>5</v>
      </c>
      <c r="M275" s="84">
        <v>1163</v>
      </c>
      <c r="N275" s="85">
        <v>851</v>
      </c>
    </row>
    <row r="276" spans="1:14" ht="14.25" customHeight="1" x14ac:dyDescent="0.25">
      <c r="A276" s="78">
        <v>45725</v>
      </c>
      <c r="B276" s="79">
        <v>0.66249999999999998</v>
      </c>
      <c r="C276" s="78" t="str">
        <f>"Q" &amp; CHOOSE(MONTH(Sales!$A276), "1", "1", "1", "2", "2", "2", "3", "3", "3", "4", "4", "4") &amp; "_" &amp; YEAR(Sales!$A276)</f>
        <v>Q1_2025</v>
      </c>
      <c r="D276" s="80" t="s">
        <v>106</v>
      </c>
      <c r="E276" s="81" t="s">
        <v>14</v>
      </c>
      <c r="F276" s="82" t="s">
        <v>15</v>
      </c>
      <c r="G276" s="82" t="s">
        <v>16</v>
      </c>
      <c r="H276" s="82" t="s">
        <v>17</v>
      </c>
      <c r="I276" s="82" t="s">
        <v>41</v>
      </c>
      <c r="J276" s="82">
        <v>1</v>
      </c>
      <c r="K276" s="82" t="s">
        <v>22</v>
      </c>
      <c r="L276" s="83">
        <v>1</v>
      </c>
      <c r="M276" s="84">
        <v>290</v>
      </c>
      <c r="N276" s="85">
        <v>168</v>
      </c>
    </row>
    <row r="277" spans="1:14" ht="14.25" customHeight="1" x14ac:dyDescent="0.25">
      <c r="A277" s="78">
        <v>45725</v>
      </c>
      <c r="B277" s="79">
        <v>0.66249999999999998</v>
      </c>
      <c r="C277" s="78" t="str">
        <f>"Q" &amp; CHOOSE(MONTH(Sales!$A277), "1", "1", "1", "2", "2", "2", "3", "3", "3", "4", "4", "4") &amp; "_" &amp; YEAR(Sales!$A277)</f>
        <v>Q1_2025</v>
      </c>
      <c r="D277" s="80" t="s">
        <v>106</v>
      </c>
      <c r="E277" s="81" t="s">
        <v>14</v>
      </c>
      <c r="F277" s="82" t="s">
        <v>15</v>
      </c>
      <c r="G277" s="82" t="s">
        <v>16</v>
      </c>
      <c r="H277" s="82" t="s">
        <v>17</v>
      </c>
      <c r="I277" s="82" t="s">
        <v>41</v>
      </c>
      <c r="J277" s="82">
        <v>1</v>
      </c>
      <c r="K277" s="82" t="s">
        <v>48</v>
      </c>
      <c r="L277" s="83">
        <v>1</v>
      </c>
      <c r="M277" s="84">
        <v>0</v>
      </c>
      <c r="N277" s="85">
        <v>0</v>
      </c>
    </row>
    <row r="278" spans="1:14" ht="14.25" customHeight="1" x14ac:dyDescent="0.25">
      <c r="A278" s="78">
        <v>45725</v>
      </c>
      <c r="B278" s="79">
        <v>0.67777777777777781</v>
      </c>
      <c r="C278" s="78" t="str">
        <f>"Q" &amp; CHOOSE(MONTH(Sales!$A278), "1", "1", "1", "2", "2", "2", "3", "3", "3", "4", "4", "4") &amp; "_" &amp; YEAR(Sales!$A278)</f>
        <v>Q1_2025</v>
      </c>
      <c r="D278" s="80" t="s">
        <v>60</v>
      </c>
      <c r="E278" s="81" t="s">
        <v>14</v>
      </c>
      <c r="F278" s="82" t="s">
        <v>15</v>
      </c>
      <c r="G278" s="82" t="s">
        <v>24</v>
      </c>
      <c r="H278" s="82" t="s">
        <v>20</v>
      </c>
      <c r="I278" s="82" t="s">
        <v>25</v>
      </c>
      <c r="J278" s="82">
        <v>1</v>
      </c>
      <c r="K278" s="82" t="s">
        <v>22</v>
      </c>
      <c r="L278" s="83">
        <v>3</v>
      </c>
      <c r="M278" s="84">
        <v>349</v>
      </c>
      <c r="N278" s="85">
        <v>229</v>
      </c>
    </row>
    <row r="279" spans="1:14" ht="14.25" customHeight="1" x14ac:dyDescent="0.25">
      <c r="A279" s="78">
        <v>45725</v>
      </c>
      <c r="B279" s="79">
        <v>0.71250000000000002</v>
      </c>
      <c r="C279" s="78" t="str">
        <f>"Q" &amp; CHOOSE(MONTH(Sales!$A279), "1", "1", "1", "2", "2", "2", "3", "3", "3", "4", "4", "4") &amp; "_" &amp; YEAR(Sales!$A279)</f>
        <v>Q1_2025</v>
      </c>
      <c r="D279" s="80" t="s">
        <v>62</v>
      </c>
      <c r="E279" s="81" t="s">
        <v>14</v>
      </c>
      <c r="F279" s="82" t="s">
        <v>15</v>
      </c>
      <c r="G279" s="82" t="s">
        <v>16</v>
      </c>
      <c r="H279" s="82" t="s">
        <v>20</v>
      </c>
      <c r="I279" s="82" t="s">
        <v>44</v>
      </c>
      <c r="J279" s="82">
        <v>1</v>
      </c>
      <c r="K279" s="82" t="s">
        <v>22</v>
      </c>
      <c r="L279" s="83">
        <v>5</v>
      </c>
      <c r="M279" s="84">
        <v>1163.03</v>
      </c>
      <c r="N279" s="85">
        <v>851</v>
      </c>
    </row>
    <row r="280" spans="1:14" ht="14.25" customHeight="1" x14ac:dyDescent="0.25">
      <c r="A280" s="78">
        <v>45725</v>
      </c>
      <c r="B280" s="79">
        <v>0.71250000000000002</v>
      </c>
      <c r="C280" s="78" t="str">
        <f>"Q" &amp; CHOOSE(MONTH(Sales!$A280), "1", "1", "1", "2", "2", "2", "3", "3", "3", "4", "4", "4") &amp; "_" &amp; YEAR(Sales!$A280)</f>
        <v>Q1_2025</v>
      </c>
      <c r="D280" s="80" t="s">
        <v>62</v>
      </c>
      <c r="E280" s="81" t="s">
        <v>14</v>
      </c>
      <c r="F280" s="82" t="s">
        <v>15</v>
      </c>
      <c r="G280" s="82" t="s">
        <v>16</v>
      </c>
      <c r="H280" s="82" t="s">
        <v>17</v>
      </c>
      <c r="I280" s="82" t="s">
        <v>41</v>
      </c>
      <c r="J280" s="82">
        <v>1</v>
      </c>
      <c r="K280" s="82" t="s">
        <v>22</v>
      </c>
      <c r="L280" s="83">
        <v>1</v>
      </c>
      <c r="M280" s="84">
        <v>290</v>
      </c>
      <c r="N280" s="85">
        <v>168</v>
      </c>
    </row>
    <row r="281" spans="1:14" ht="14.25" customHeight="1" x14ac:dyDescent="0.25">
      <c r="A281" s="78">
        <v>45725</v>
      </c>
      <c r="B281" s="79">
        <v>0.71250000000000002</v>
      </c>
      <c r="C281" s="78" t="str">
        <f>"Q" &amp; CHOOSE(MONTH(Sales!$A281), "1", "1", "1", "2", "2", "2", "3", "3", "3", "4", "4", "4") &amp; "_" &amp; YEAR(Sales!$A281)</f>
        <v>Q1_2025</v>
      </c>
      <c r="D281" s="80" t="s">
        <v>62</v>
      </c>
      <c r="E281" s="81" t="s">
        <v>14</v>
      </c>
      <c r="F281" s="82" t="s">
        <v>15</v>
      </c>
      <c r="G281" s="82" t="s">
        <v>16</v>
      </c>
      <c r="H281" s="82" t="s">
        <v>17</v>
      </c>
      <c r="I281" s="82" t="s">
        <v>41</v>
      </c>
      <c r="J281" s="82">
        <v>1</v>
      </c>
      <c r="K281" s="82" t="s">
        <v>48</v>
      </c>
      <c r="L281" s="83">
        <v>1</v>
      </c>
      <c r="M281" s="84">
        <v>0</v>
      </c>
      <c r="N281" s="85">
        <v>0</v>
      </c>
    </row>
    <row r="282" spans="1:14" ht="14.25" customHeight="1" x14ac:dyDescent="0.25">
      <c r="A282" s="78">
        <v>45725</v>
      </c>
      <c r="B282" s="79">
        <v>0.80208333333333337</v>
      </c>
      <c r="C282" s="78" t="str">
        <f>"Q" &amp; CHOOSE(MONTH(Sales!$A282), "1", "1", "1", "2", "2", "2", "3", "3", "3", "4", "4", "4") &amp; "_" &amp; YEAR(Sales!$A282)</f>
        <v>Q1_2025</v>
      </c>
      <c r="D282" s="80" t="s">
        <v>66</v>
      </c>
      <c r="E282" s="81" t="s">
        <v>14</v>
      </c>
      <c r="F282" s="82" t="s">
        <v>15</v>
      </c>
      <c r="G282" s="82" t="s">
        <v>24</v>
      </c>
      <c r="H282" s="82" t="s">
        <v>20</v>
      </c>
      <c r="I282" s="82" t="s">
        <v>96</v>
      </c>
      <c r="J282" s="82">
        <v>1</v>
      </c>
      <c r="K282" s="82" t="s">
        <v>22</v>
      </c>
      <c r="L282" s="83">
        <v>2</v>
      </c>
      <c r="M282" s="84">
        <v>279</v>
      </c>
      <c r="N282" s="85">
        <v>149</v>
      </c>
    </row>
    <row r="283" spans="1:14" ht="14.25" customHeight="1" x14ac:dyDescent="0.25">
      <c r="A283" s="78">
        <v>45725</v>
      </c>
      <c r="B283" s="79">
        <v>0.80347222222222225</v>
      </c>
      <c r="C283" s="78" t="str">
        <f>"Q" &amp; CHOOSE(MONTH(Sales!$A283), "1", "1", "1", "2", "2", "2", "3", "3", "3", "4", "4", "4") &amp; "_" &amp; YEAR(Sales!$A283)</f>
        <v>Q1_2025</v>
      </c>
      <c r="D283" s="80" t="s">
        <v>78</v>
      </c>
      <c r="E283" s="81" t="s">
        <v>14</v>
      </c>
      <c r="F283" s="82" t="s">
        <v>15</v>
      </c>
      <c r="G283" s="82" t="s">
        <v>99</v>
      </c>
      <c r="H283" s="82" t="s">
        <v>20</v>
      </c>
      <c r="I283" s="82" t="s">
        <v>100</v>
      </c>
      <c r="J283" s="82">
        <v>1</v>
      </c>
      <c r="K283" s="82" t="s">
        <v>22</v>
      </c>
      <c r="L283" s="83">
        <v>2</v>
      </c>
      <c r="M283" s="84">
        <v>295</v>
      </c>
      <c r="N283" s="85">
        <v>145</v>
      </c>
    </row>
    <row r="284" spans="1:14" ht="14.25" customHeight="1" x14ac:dyDescent="0.25">
      <c r="A284" s="78">
        <v>45725</v>
      </c>
      <c r="B284" s="79">
        <v>0.85833333333333328</v>
      </c>
      <c r="C284" s="78" t="str">
        <f>"Q" &amp; CHOOSE(MONTH(Sales!$A284), "1", "1", "1", "2", "2", "2", "3", "3", "3", "4", "4", "4") &amp; "_" &amp; YEAR(Sales!$A284)</f>
        <v>Q1_2025</v>
      </c>
      <c r="D284" s="80" t="s">
        <v>60</v>
      </c>
      <c r="E284" s="81" t="s">
        <v>14</v>
      </c>
      <c r="F284" s="82" t="s">
        <v>15</v>
      </c>
      <c r="G284" s="82" t="s">
        <v>93</v>
      </c>
      <c r="H284" s="82" t="s">
        <v>17</v>
      </c>
      <c r="I284" s="82" t="s">
        <v>94</v>
      </c>
      <c r="J284" s="82">
        <v>1</v>
      </c>
      <c r="K284" s="82" t="s">
        <v>22</v>
      </c>
      <c r="L284" s="83">
        <v>1</v>
      </c>
      <c r="M284" s="84">
        <v>240</v>
      </c>
      <c r="N284" s="85">
        <v>105</v>
      </c>
    </row>
    <row r="285" spans="1:14" ht="14.25" customHeight="1" x14ac:dyDescent="0.25">
      <c r="A285" s="78">
        <v>45725</v>
      </c>
      <c r="B285" s="79">
        <v>0.92986111111111114</v>
      </c>
      <c r="C285" s="78" t="str">
        <f>"Q" &amp; CHOOSE(MONTH(Sales!$A285), "1", "1", "1", "2", "2", "2", "3", "3", "3", "4", "4", "4") &amp; "_" &amp; YEAR(Sales!$A285)</f>
        <v>Q1_2025</v>
      </c>
      <c r="D285" s="80" t="s">
        <v>58</v>
      </c>
      <c r="E285" s="81" t="s">
        <v>14</v>
      </c>
      <c r="F285" s="82" t="s">
        <v>15</v>
      </c>
      <c r="G285" s="82" t="s">
        <v>87</v>
      </c>
      <c r="H285" s="82" t="s">
        <v>17</v>
      </c>
      <c r="I285" s="82" t="s">
        <v>88</v>
      </c>
      <c r="J285" s="82">
        <v>1</v>
      </c>
      <c r="K285" s="82" t="s">
        <v>22</v>
      </c>
      <c r="L285" s="83">
        <v>1</v>
      </c>
      <c r="M285" s="84">
        <v>841</v>
      </c>
      <c r="N285" s="85">
        <v>552</v>
      </c>
    </row>
    <row r="286" spans="1:14" ht="14.25" customHeight="1" x14ac:dyDescent="0.25">
      <c r="A286" s="78">
        <v>45725</v>
      </c>
      <c r="B286" s="79">
        <v>0.94791666666666663</v>
      </c>
      <c r="C286" s="78" t="str">
        <f>"Q" &amp; CHOOSE(MONTH(Sales!$A286), "1", "1", "1", "2", "2", "2", "3", "3", "3", "4", "4", "4") &amp; "_" &amp; YEAR(Sales!$A286)</f>
        <v>Q1_2025</v>
      </c>
      <c r="D286" s="80" t="s">
        <v>63</v>
      </c>
      <c r="E286" s="81" t="s">
        <v>14</v>
      </c>
      <c r="F286" s="82" t="s">
        <v>15</v>
      </c>
      <c r="G286" s="82" t="s">
        <v>24</v>
      </c>
      <c r="H286" s="82" t="s">
        <v>20</v>
      </c>
      <c r="I286" s="82" t="s">
        <v>52</v>
      </c>
      <c r="J286" s="82">
        <v>1</v>
      </c>
      <c r="K286" s="82" t="s">
        <v>22</v>
      </c>
      <c r="L286" s="83">
        <v>5</v>
      </c>
      <c r="M286" s="84">
        <v>559</v>
      </c>
      <c r="N286" s="85">
        <v>361</v>
      </c>
    </row>
    <row r="287" spans="1:14" ht="14.25" customHeight="1" x14ac:dyDescent="0.25">
      <c r="A287" s="78">
        <v>45726</v>
      </c>
      <c r="B287" s="79">
        <v>0.23958333333333334</v>
      </c>
      <c r="C287" s="78" t="str">
        <f>"Q" &amp; CHOOSE(MONTH(Sales!$A287), "1", "1", "1", "2", "2", "2", "3", "3", "3", "4", "4", "4") &amp; "_" &amp; YEAR(Sales!$A287)</f>
        <v>Q1_2025</v>
      </c>
      <c r="D287" s="80" t="s">
        <v>68</v>
      </c>
      <c r="E287" s="81" t="s">
        <v>14</v>
      </c>
      <c r="F287" s="82" t="s">
        <v>15</v>
      </c>
      <c r="G287" s="82" t="s">
        <v>93</v>
      </c>
      <c r="H287" s="82" t="s">
        <v>17</v>
      </c>
      <c r="I287" s="82" t="s">
        <v>94</v>
      </c>
      <c r="J287" s="82">
        <v>1</v>
      </c>
      <c r="K287" s="82" t="s">
        <v>22</v>
      </c>
      <c r="L287" s="83">
        <v>1</v>
      </c>
      <c r="M287" s="84">
        <v>259</v>
      </c>
      <c r="N287" s="85">
        <v>115</v>
      </c>
    </row>
    <row r="288" spans="1:14" ht="14.25" customHeight="1" x14ac:dyDescent="0.25">
      <c r="A288" s="78">
        <v>45726</v>
      </c>
      <c r="B288" s="79">
        <v>0.33750000000000002</v>
      </c>
      <c r="C288" s="78" t="s">
        <v>73</v>
      </c>
      <c r="D288" s="80" t="s">
        <v>95</v>
      </c>
      <c r="E288" s="81" t="s">
        <v>14</v>
      </c>
      <c r="F288" s="82" t="s">
        <v>15</v>
      </c>
      <c r="G288" s="82" t="s">
        <v>24</v>
      </c>
      <c r="H288" s="82" t="s">
        <v>20</v>
      </c>
      <c r="I288" s="82" t="s">
        <v>52</v>
      </c>
      <c r="J288" s="82">
        <v>1</v>
      </c>
      <c r="K288" s="82" t="s">
        <v>22</v>
      </c>
      <c r="L288" s="83">
        <v>5</v>
      </c>
      <c r="M288" s="84">
        <v>559</v>
      </c>
      <c r="N288" s="85">
        <v>361</v>
      </c>
    </row>
    <row r="289" spans="1:14" ht="14.25" customHeight="1" x14ac:dyDescent="0.25">
      <c r="A289" s="78">
        <v>45726</v>
      </c>
      <c r="B289" s="79">
        <v>0.37638888888888888</v>
      </c>
      <c r="C289" s="78" t="s">
        <v>73</v>
      </c>
      <c r="D289" s="80" t="s">
        <v>58</v>
      </c>
      <c r="E289" s="81" t="s">
        <v>14</v>
      </c>
      <c r="F289" s="82" t="s">
        <v>15</v>
      </c>
      <c r="G289" s="82" t="s">
        <v>24</v>
      </c>
      <c r="H289" s="82" t="s">
        <v>20</v>
      </c>
      <c r="I289" s="82" t="s">
        <v>25</v>
      </c>
      <c r="J289" s="82">
        <v>1</v>
      </c>
      <c r="K289" s="82" t="s">
        <v>22</v>
      </c>
      <c r="L289" s="83">
        <v>3</v>
      </c>
      <c r="M289" s="84">
        <v>359</v>
      </c>
      <c r="N289" s="85">
        <v>239</v>
      </c>
    </row>
    <row r="290" spans="1:14" ht="14.25" customHeight="1" x14ac:dyDescent="0.25">
      <c r="A290" s="78">
        <v>45726</v>
      </c>
      <c r="B290" s="79">
        <v>0.44930555555555557</v>
      </c>
      <c r="C290" s="78" t="s">
        <v>73</v>
      </c>
      <c r="D290" s="80" t="s">
        <v>68</v>
      </c>
      <c r="E290" s="81" t="s">
        <v>14</v>
      </c>
      <c r="F290" s="82" t="s">
        <v>15</v>
      </c>
      <c r="G290" s="82" t="s">
        <v>87</v>
      </c>
      <c r="H290" s="82" t="s">
        <v>17</v>
      </c>
      <c r="I290" s="82" t="s">
        <v>88</v>
      </c>
      <c r="J290" s="82">
        <v>1</v>
      </c>
      <c r="K290" s="82" t="s">
        <v>22</v>
      </c>
      <c r="L290" s="83">
        <v>1</v>
      </c>
      <c r="M290" s="84">
        <v>861</v>
      </c>
      <c r="N290" s="85">
        <v>572</v>
      </c>
    </row>
    <row r="291" spans="1:14" ht="14.25" customHeight="1" x14ac:dyDescent="0.25">
      <c r="A291" s="78">
        <v>45726</v>
      </c>
      <c r="B291" s="79">
        <v>0.55694444444444446</v>
      </c>
      <c r="C291" s="78" t="s">
        <v>73</v>
      </c>
      <c r="D291" s="80" t="s">
        <v>75</v>
      </c>
      <c r="E291" s="81" t="s">
        <v>14</v>
      </c>
      <c r="F291" s="82" t="s">
        <v>15</v>
      </c>
      <c r="G291" s="82" t="s">
        <v>16</v>
      </c>
      <c r="H291" s="82" t="s">
        <v>20</v>
      </c>
      <c r="I291" s="82" t="s">
        <v>44</v>
      </c>
      <c r="J291" s="82">
        <v>1</v>
      </c>
      <c r="K291" s="82" t="s">
        <v>22</v>
      </c>
      <c r="L291" s="83">
        <v>3</v>
      </c>
      <c r="M291" s="84">
        <v>1208.6400000000001</v>
      </c>
      <c r="N291" s="85">
        <v>930</v>
      </c>
    </row>
    <row r="292" spans="1:14" ht="14.25" customHeight="1" x14ac:dyDescent="0.25">
      <c r="A292" s="78">
        <v>45726</v>
      </c>
      <c r="B292" s="79">
        <v>0.55694444444444446</v>
      </c>
      <c r="C292" s="78" t="s">
        <v>73</v>
      </c>
      <c r="D292" s="80" t="s">
        <v>75</v>
      </c>
      <c r="E292" s="81" t="s">
        <v>14</v>
      </c>
      <c r="F292" s="82" t="s">
        <v>15</v>
      </c>
      <c r="G292" s="82" t="s">
        <v>16</v>
      </c>
      <c r="H292" s="82" t="s">
        <v>17</v>
      </c>
      <c r="I292" s="82" t="s">
        <v>41</v>
      </c>
      <c r="J292" s="82">
        <v>1</v>
      </c>
      <c r="K292" s="82" t="s">
        <v>22</v>
      </c>
      <c r="L292" s="83">
        <v>1</v>
      </c>
      <c r="M292" s="84">
        <v>287.04000000000002</v>
      </c>
      <c r="N292" s="85">
        <v>159</v>
      </c>
    </row>
    <row r="293" spans="1:14" ht="14.25" customHeight="1" x14ac:dyDescent="0.25">
      <c r="A293" s="78">
        <v>45726</v>
      </c>
      <c r="B293" s="79">
        <v>0.55694444444444446</v>
      </c>
      <c r="C293" s="78" t="s">
        <v>73</v>
      </c>
      <c r="D293" s="80" t="s">
        <v>75</v>
      </c>
      <c r="E293" s="81" t="s">
        <v>14</v>
      </c>
      <c r="F293" s="82" t="s">
        <v>15</v>
      </c>
      <c r="G293" s="82" t="s">
        <v>24</v>
      </c>
      <c r="H293" s="82" t="s">
        <v>20</v>
      </c>
      <c r="I293" s="82" t="s">
        <v>25</v>
      </c>
      <c r="J293" s="82">
        <v>1</v>
      </c>
      <c r="K293" s="82" t="s">
        <v>22</v>
      </c>
      <c r="L293" s="83">
        <v>3</v>
      </c>
      <c r="M293" s="84">
        <v>344</v>
      </c>
      <c r="N293" s="85">
        <v>254</v>
      </c>
    </row>
    <row r="294" spans="1:14" ht="14.25" customHeight="1" x14ac:dyDescent="0.25">
      <c r="A294" s="78">
        <v>45726</v>
      </c>
      <c r="B294" s="79">
        <v>0.5708333333333333</v>
      </c>
      <c r="C294" s="78" t="s">
        <v>73</v>
      </c>
      <c r="D294" s="80" t="s">
        <v>58</v>
      </c>
      <c r="E294" s="81" t="s">
        <v>14</v>
      </c>
      <c r="F294" s="82" t="s">
        <v>15</v>
      </c>
      <c r="G294" s="82" t="s">
        <v>24</v>
      </c>
      <c r="H294" s="82" t="s">
        <v>20</v>
      </c>
      <c r="I294" s="82" t="s">
        <v>52</v>
      </c>
      <c r="J294" s="82">
        <v>1</v>
      </c>
      <c r="K294" s="82" t="s">
        <v>22</v>
      </c>
      <c r="L294" s="83">
        <v>5</v>
      </c>
      <c r="M294" s="84">
        <v>559</v>
      </c>
      <c r="N294" s="85">
        <v>361</v>
      </c>
    </row>
    <row r="295" spans="1:14" ht="14.25" customHeight="1" x14ac:dyDescent="0.25">
      <c r="A295" s="78">
        <v>45726</v>
      </c>
      <c r="B295" s="79">
        <v>0.58750000000000002</v>
      </c>
      <c r="C295" s="78" t="s">
        <v>73</v>
      </c>
      <c r="D295" s="80" t="s">
        <v>66</v>
      </c>
      <c r="E295" s="81" t="s">
        <v>14</v>
      </c>
      <c r="F295" s="82" t="s">
        <v>15</v>
      </c>
      <c r="G295" s="82" t="s">
        <v>24</v>
      </c>
      <c r="H295" s="82" t="s">
        <v>20</v>
      </c>
      <c r="I295" s="82" t="s">
        <v>52</v>
      </c>
      <c r="J295" s="82">
        <v>1</v>
      </c>
      <c r="K295" s="82" t="s">
        <v>22</v>
      </c>
      <c r="L295" s="83">
        <v>5</v>
      </c>
      <c r="M295" s="84">
        <v>559</v>
      </c>
      <c r="N295" s="85">
        <v>361</v>
      </c>
    </row>
    <row r="296" spans="1:14" ht="14.25" customHeight="1" x14ac:dyDescent="0.25">
      <c r="A296" s="78">
        <v>45726</v>
      </c>
      <c r="B296" s="79">
        <v>0.84305555555555556</v>
      </c>
      <c r="C296" s="78" t="s">
        <v>73</v>
      </c>
      <c r="D296" s="80" t="s">
        <v>68</v>
      </c>
      <c r="E296" s="81" t="s">
        <v>14</v>
      </c>
      <c r="F296" s="82" t="s">
        <v>15</v>
      </c>
      <c r="G296" s="82" t="s">
        <v>102</v>
      </c>
      <c r="H296" s="82" t="s">
        <v>17</v>
      </c>
      <c r="I296" s="82" t="s">
        <v>240</v>
      </c>
      <c r="J296" s="82">
        <v>1</v>
      </c>
      <c r="K296" s="82" t="s">
        <v>22</v>
      </c>
      <c r="L296" s="83">
        <v>1</v>
      </c>
      <c r="M296" s="84">
        <v>349</v>
      </c>
      <c r="N296" s="85">
        <v>190</v>
      </c>
    </row>
    <row r="297" spans="1:14" ht="14.25" customHeight="1" x14ac:dyDescent="0.25">
      <c r="A297" s="78">
        <v>45726</v>
      </c>
      <c r="B297" s="79">
        <v>0.86458333333333337</v>
      </c>
      <c r="C297" s="78" t="s">
        <v>73</v>
      </c>
      <c r="D297" s="80" t="s">
        <v>59</v>
      </c>
      <c r="E297" s="81" t="s">
        <v>14</v>
      </c>
      <c r="F297" s="82" t="s">
        <v>15</v>
      </c>
      <c r="G297" s="82" t="s">
        <v>102</v>
      </c>
      <c r="H297" s="82" t="s">
        <v>17</v>
      </c>
      <c r="I297" s="82" t="s">
        <v>240</v>
      </c>
      <c r="J297" s="82">
        <v>1</v>
      </c>
      <c r="K297" s="82" t="s">
        <v>22</v>
      </c>
      <c r="L297" s="83">
        <v>1</v>
      </c>
      <c r="M297" s="84">
        <v>349</v>
      </c>
      <c r="N297" s="85">
        <v>190</v>
      </c>
    </row>
    <row r="298" spans="1:14" ht="14.25" customHeight="1" x14ac:dyDescent="0.25">
      <c r="A298" s="78">
        <v>45726</v>
      </c>
      <c r="B298" s="79">
        <v>0.86527777777777781</v>
      </c>
      <c r="C298" s="78" t="s">
        <v>73</v>
      </c>
      <c r="D298" s="80" t="s">
        <v>71</v>
      </c>
      <c r="E298" s="81" t="s">
        <v>14</v>
      </c>
      <c r="F298" s="82" t="s">
        <v>15</v>
      </c>
      <c r="G298" s="82" t="s">
        <v>16</v>
      </c>
      <c r="H298" s="82" t="s">
        <v>17</v>
      </c>
      <c r="I298" s="82" t="s">
        <v>23</v>
      </c>
      <c r="J298" s="82">
        <v>1</v>
      </c>
      <c r="K298" s="82" t="s">
        <v>22</v>
      </c>
      <c r="L298" s="83">
        <v>1</v>
      </c>
      <c r="M298" s="84">
        <v>299</v>
      </c>
      <c r="N298" s="85">
        <v>176</v>
      </c>
    </row>
    <row r="299" spans="1:14" ht="14.25" customHeight="1" x14ac:dyDescent="0.25">
      <c r="A299" s="78">
        <v>45726</v>
      </c>
      <c r="B299" s="79">
        <v>0.86527777777777781</v>
      </c>
      <c r="C299" s="78" t="s">
        <v>73</v>
      </c>
      <c r="D299" s="80" t="s">
        <v>71</v>
      </c>
      <c r="E299" s="81" t="s">
        <v>14</v>
      </c>
      <c r="F299" s="82" t="s">
        <v>15</v>
      </c>
      <c r="G299" s="82" t="s">
        <v>16</v>
      </c>
      <c r="H299" s="82" t="s">
        <v>17</v>
      </c>
      <c r="I299" s="82" t="s">
        <v>47</v>
      </c>
      <c r="J299" s="82">
        <v>1</v>
      </c>
      <c r="K299" s="82" t="s">
        <v>22</v>
      </c>
      <c r="L299" s="83">
        <v>1</v>
      </c>
      <c r="M299" s="84">
        <v>299</v>
      </c>
      <c r="N299" s="85">
        <v>176</v>
      </c>
    </row>
    <row r="300" spans="1:14" ht="14.25" customHeight="1" x14ac:dyDescent="0.25">
      <c r="A300" s="78">
        <v>45726</v>
      </c>
      <c r="B300" s="79">
        <v>0.86527777777777781</v>
      </c>
      <c r="C300" s="78" t="s">
        <v>73</v>
      </c>
      <c r="D300" s="80" t="s">
        <v>71</v>
      </c>
      <c r="E300" s="81" t="s">
        <v>14</v>
      </c>
      <c r="F300" s="82" t="s">
        <v>15</v>
      </c>
      <c r="G300" s="82" t="s">
        <v>16</v>
      </c>
      <c r="H300" s="82" t="s">
        <v>17</v>
      </c>
      <c r="I300" s="82" t="s">
        <v>41</v>
      </c>
      <c r="J300" s="82">
        <v>1</v>
      </c>
      <c r="K300" s="82" t="s">
        <v>22</v>
      </c>
      <c r="L300" s="83">
        <v>1</v>
      </c>
      <c r="M300" s="84">
        <v>299</v>
      </c>
      <c r="N300" s="85">
        <v>176</v>
      </c>
    </row>
    <row r="301" spans="1:14" ht="14.25" customHeight="1" x14ac:dyDescent="0.25">
      <c r="A301" s="78">
        <v>45726</v>
      </c>
      <c r="B301" s="79">
        <v>0.86527777777777781</v>
      </c>
      <c r="C301" s="78" t="s">
        <v>73</v>
      </c>
      <c r="D301" s="80" t="s">
        <v>71</v>
      </c>
      <c r="E301" s="81" t="s">
        <v>14</v>
      </c>
      <c r="F301" s="82" t="s">
        <v>15</v>
      </c>
      <c r="G301" s="82" t="s">
        <v>16</v>
      </c>
      <c r="H301" s="82" t="s">
        <v>17</v>
      </c>
      <c r="I301" s="82" t="s">
        <v>34</v>
      </c>
      <c r="J301" s="82">
        <v>1</v>
      </c>
      <c r="K301" s="82" t="s">
        <v>22</v>
      </c>
      <c r="L301" s="83">
        <v>1</v>
      </c>
      <c r="M301" s="84">
        <v>299</v>
      </c>
      <c r="N301" s="85">
        <v>176</v>
      </c>
    </row>
    <row r="302" spans="1:14" ht="14.25" customHeight="1" x14ac:dyDescent="0.25">
      <c r="A302" s="78">
        <v>45726</v>
      </c>
      <c r="B302" s="79">
        <v>0.88263888888888886</v>
      </c>
      <c r="C302" s="78" t="s">
        <v>73</v>
      </c>
      <c r="D302" s="80" t="s">
        <v>68</v>
      </c>
      <c r="E302" s="81" t="s">
        <v>14</v>
      </c>
      <c r="F302" s="82" t="s">
        <v>15</v>
      </c>
      <c r="G302" s="82" t="s">
        <v>24</v>
      </c>
      <c r="H302" s="82" t="s">
        <v>20</v>
      </c>
      <c r="I302" s="82" t="s">
        <v>96</v>
      </c>
      <c r="J302" s="82">
        <v>1</v>
      </c>
      <c r="K302" s="82" t="s">
        <v>22</v>
      </c>
      <c r="L302" s="83">
        <v>2</v>
      </c>
      <c r="M302" s="84">
        <v>279</v>
      </c>
      <c r="N302" s="85">
        <v>149</v>
      </c>
    </row>
    <row r="303" spans="1:14" ht="14.25" customHeight="1" x14ac:dyDescent="0.25">
      <c r="A303" s="78">
        <v>45724</v>
      </c>
      <c r="B303" s="79">
        <v>12</v>
      </c>
      <c r="C303" s="78" t="str">
        <f>"Q" &amp; CHOOSE(MONTH(Sales!$A303), "1", "1", "1", "2", "2", "2", "3", "3", "3", "4", "4", "4") &amp; "_" &amp; YEAR(Sales!$A303)</f>
        <v>Q1_2025</v>
      </c>
      <c r="D303" s="80" t="s">
        <v>13</v>
      </c>
      <c r="E303" s="81" t="s">
        <v>107</v>
      </c>
      <c r="F303" s="82" t="s">
        <v>15</v>
      </c>
      <c r="G303" s="82" t="s">
        <v>16</v>
      </c>
      <c r="H303" s="82" t="s">
        <v>20</v>
      </c>
      <c r="I303" s="82" t="s">
        <v>31</v>
      </c>
      <c r="J303" s="82">
        <v>1</v>
      </c>
      <c r="K303" s="82" t="s">
        <v>22</v>
      </c>
      <c r="L303" s="83">
        <v>7</v>
      </c>
      <c r="M303" s="84">
        <v>1405</v>
      </c>
      <c r="N303" s="85">
        <v>1405</v>
      </c>
    </row>
    <row r="304" spans="1:14" ht="14.25" customHeight="1" x14ac:dyDescent="0.25">
      <c r="A304" s="78">
        <v>45727</v>
      </c>
      <c r="B304" s="79">
        <v>0.42708333333333331</v>
      </c>
      <c r="C304" s="78" t="str">
        <f>"Q" &amp; CHOOSE(MONTH(Sales!$A304), "1", "1", "1", "2", "2", "2", "3", "3", "3", "4", "4", "4") &amp; "_" &amp; YEAR(Sales!$A304)</f>
        <v>Q1_2025</v>
      </c>
      <c r="D304" s="80" t="s">
        <v>62</v>
      </c>
      <c r="E304" s="81" t="s">
        <v>14</v>
      </c>
      <c r="F304" s="82" t="s">
        <v>15</v>
      </c>
      <c r="G304" s="82" t="s">
        <v>24</v>
      </c>
      <c r="H304" s="82" t="s">
        <v>20</v>
      </c>
      <c r="I304" s="82" t="s">
        <v>25</v>
      </c>
      <c r="J304" s="82">
        <v>1</v>
      </c>
      <c r="K304" s="82" t="s">
        <v>22</v>
      </c>
      <c r="L304" s="83">
        <v>3</v>
      </c>
      <c r="M304" s="84">
        <v>358</v>
      </c>
      <c r="N304" s="85">
        <v>187</v>
      </c>
    </row>
    <row r="305" spans="1:14" ht="14.25" customHeight="1" x14ac:dyDescent="0.25">
      <c r="A305" s="78">
        <v>45727</v>
      </c>
      <c r="B305" s="79">
        <v>0.4777777777777778</v>
      </c>
      <c r="C305" s="78" t="str">
        <f>"Q" &amp; CHOOSE(MONTH(Sales!$A305), "1", "1", "1", "2", "2", "2", "3", "3", "3", "4", "4", "4") &amp; "_" &amp; YEAR(Sales!$A305)</f>
        <v>Q1_2025</v>
      </c>
      <c r="D305" s="80" t="s">
        <v>60</v>
      </c>
      <c r="E305" s="81" t="s">
        <v>14</v>
      </c>
      <c r="F305" s="82" t="s">
        <v>15</v>
      </c>
      <c r="G305" s="82" t="s">
        <v>102</v>
      </c>
      <c r="H305" s="82" t="s">
        <v>17</v>
      </c>
      <c r="I305" s="82" t="s">
        <v>240</v>
      </c>
      <c r="J305" s="82">
        <v>1</v>
      </c>
      <c r="K305" s="82" t="s">
        <v>22</v>
      </c>
      <c r="L305" s="83">
        <v>1</v>
      </c>
      <c r="M305" s="84">
        <v>365</v>
      </c>
      <c r="N305" s="85">
        <v>227</v>
      </c>
    </row>
    <row r="306" spans="1:14" ht="14.25" customHeight="1" x14ac:dyDescent="0.25">
      <c r="A306" s="78">
        <v>45727</v>
      </c>
      <c r="B306" s="79">
        <v>0.56180555555555556</v>
      </c>
      <c r="C306" s="78" t="str">
        <f>"Q" &amp; CHOOSE(MONTH(Sales!$A306), "1", "1", "1", "2", "2", "2", "3", "3", "3", "4", "4", "4") &amp; "_" &amp; YEAR(Sales!$A306)</f>
        <v>Q1_2025</v>
      </c>
      <c r="D306" s="80" t="s">
        <v>68</v>
      </c>
      <c r="E306" s="81" t="s">
        <v>14</v>
      </c>
      <c r="F306" s="82" t="s">
        <v>15</v>
      </c>
      <c r="G306" s="82" t="s">
        <v>87</v>
      </c>
      <c r="H306" s="82" t="s">
        <v>17</v>
      </c>
      <c r="I306" s="82" t="s">
        <v>88</v>
      </c>
      <c r="J306" s="82">
        <v>1</v>
      </c>
      <c r="K306" s="82" t="s">
        <v>22</v>
      </c>
      <c r="L306" s="83">
        <v>1</v>
      </c>
      <c r="M306" s="84">
        <v>889</v>
      </c>
      <c r="N306" s="85">
        <v>541</v>
      </c>
    </row>
    <row r="307" spans="1:14" ht="14.25" customHeight="1" x14ac:dyDescent="0.25">
      <c r="A307" s="78">
        <v>45727</v>
      </c>
      <c r="B307" s="79">
        <v>0.59305555555555556</v>
      </c>
      <c r="C307" s="78" t="str">
        <f>"Q" &amp; CHOOSE(MONTH(Sales!$A307), "1", "1", "1", "2", "2", "2", "3", "3", "3", "4", "4", "4") &amp; "_" &amp; YEAR(Sales!$A307)</f>
        <v>Q1_2025</v>
      </c>
      <c r="D307" s="80" t="s">
        <v>66</v>
      </c>
      <c r="E307" s="81" t="s">
        <v>14</v>
      </c>
      <c r="F307" s="82" t="s">
        <v>15</v>
      </c>
      <c r="G307" s="82" t="s">
        <v>35</v>
      </c>
      <c r="H307" s="82" t="s">
        <v>20</v>
      </c>
      <c r="I307" s="82" t="s">
        <v>83</v>
      </c>
      <c r="J307" s="82">
        <v>1</v>
      </c>
      <c r="K307" s="82" t="s">
        <v>22</v>
      </c>
      <c r="L307" s="83">
        <v>6</v>
      </c>
      <c r="M307" s="84">
        <v>449</v>
      </c>
      <c r="N307" s="85">
        <v>300</v>
      </c>
    </row>
    <row r="308" spans="1:14" ht="14.25" customHeight="1" x14ac:dyDescent="0.25">
      <c r="A308" s="78">
        <v>45727</v>
      </c>
      <c r="B308" s="79">
        <v>0.69513888888888886</v>
      </c>
      <c r="C308" s="78" t="str">
        <f>"Q" &amp; CHOOSE(MONTH(Sales!$A308), "1", "1", "1", "2", "2", "2", "3", "3", "3", "4", "4", "4") &amp; "_" &amp; YEAR(Sales!$A308)</f>
        <v>Q1_2025</v>
      </c>
      <c r="D308" s="80" t="s">
        <v>91</v>
      </c>
      <c r="E308" s="81" t="s">
        <v>14</v>
      </c>
      <c r="F308" s="82" t="s">
        <v>15</v>
      </c>
      <c r="G308" s="82" t="s">
        <v>28</v>
      </c>
      <c r="H308" s="82" t="s">
        <v>17</v>
      </c>
      <c r="I308" s="82" t="s">
        <v>86</v>
      </c>
      <c r="J308" s="82">
        <v>1</v>
      </c>
      <c r="K308" s="82" t="s">
        <v>22</v>
      </c>
      <c r="L308" s="83">
        <v>1</v>
      </c>
      <c r="M308" s="84">
        <v>789</v>
      </c>
      <c r="N308" s="85">
        <v>533</v>
      </c>
    </row>
    <row r="309" spans="1:14" ht="14.25" customHeight="1" x14ac:dyDescent="0.25">
      <c r="A309" s="78">
        <v>45727</v>
      </c>
      <c r="B309" s="79">
        <v>0.80833333333333335</v>
      </c>
      <c r="C309" s="78" t="str">
        <f>"Q" &amp; CHOOSE(MONTH(Sales!$A309), "1", "1", "1", "2", "2", "2", "3", "3", "3", "4", "4", "4") &amp; "_" &amp; YEAR(Sales!$A309)</f>
        <v>Q1_2025</v>
      </c>
      <c r="D309" s="80" t="s">
        <v>66</v>
      </c>
      <c r="E309" s="81" t="s">
        <v>14</v>
      </c>
      <c r="F309" s="82" t="s">
        <v>15</v>
      </c>
      <c r="G309" s="82" t="s">
        <v>102</v>
      </c>
      <c r="H309" s="82" t="s">
        <v>17</v>
      </c>
      <c r="I309" s="82" t="s">
        <v>240</v>
      </c>
      <c r="J309" s="82">
        <v>1</v>
      </c>
      <c r="K309" s="82" t="s">
        <v>22</v>
      </c>
      <c r="L309" s="83">
        <v>1</v>
      </c>
      <c r="M309" s="84">
        <v>364</v>
      </c>
      <c r="N309" s="85">
        <v>192</v>
      </c>
    </row>
    <row r="310" spans="1:14" ht="14.25" customHeight="1" x14ac:dyDescent="0.25">
      <c r="A310" s="78">
        <v>45728</v>
      </c>
      <c r="B310" s="79">
        <v>0.15763888888888888</v>
      </c>
      <c r="C310" s="78" t="str">
        <f>"Q" &amp; CHOOSE(MONTH(Sales!$A310), "1", "1", "1", "2", "2", "2", "3", "3", "3", "4", "4", "4") &amp; "_" &amp; YEAR(Sales!$A310)</f>
        <v>Q1_2025</v>
      </c>
      <c r="D310" s="80" t="s">
        <v>62</v>
      </c>
      <c r="E310" s="81" t="s">
        <v>14</v>
      </c>
      <c r="F310" s="82" t="s">
        <v>15</v>
      </c>
      <c r="G310" s="82" t="s">
        <v>24</v>
      </c>
      <c r="H310" s="82" t="s">
        <v>20</v>
      </c>
      <c r="I310" s="82" t="s">
        <v>52</v>
      </c>
      <c r="J310" s="82">
        <v>1</v>
      </c>
      <c r="K310" s="82" t="s">
        <v>22</v>
      </c>
      <c r="L310" s="83">
        <v>5</v>
      </c>
      <c r="M310" s="84">
        <v>555</v>
      </c>
      <c r="N310" s="85">
        <v>357</v>
      </c>
    </row>
    <row r="311" spans="1:14" ht="14.25" customHeight="1" x14ac:dyDescent="0.25">
      <c r="A311" s="78">
        <v>45728</v>
      </c>
      <c r="B311" s="79">
        <v>0.4777777777777778</v>
      </c>
      <c r="C311" s="78" t="str">
        <f>"Q" &amp; CHOOSE(MONTH(Sales!$A311), "1", "1", "1", "2", "2", "2", "3", "3", "3", "4", "4", "4") &amp; "_" &amp; YEAR(Sales!$A311)</f>
        <v>Q1_2025</v>
      </c>
      <c r="D311" s="80" t="s">
        <v>68</v>
      </c>
      <c r="E311" s="81" t="s">
        <v>14</v>
      </c>
      <c r="F311" s="82" t="s">
        <v>15</v>
      </c>
      <c r="G311" s="82" t="s">
        <v>24</v>
      </c>
      <c r="H311" s="82" t="s">
        <v>20</v>
      </c>
      <c r="I311" s="82" t="s">
        <v>25</v>
      </c>
      <c r="J311" s="82">
        <v>1</v>
      </c>
      <c r="K311" s="82" t="s">
        <v>22</v>
      </c>
      <c r="L311" s="83">
        <v>3</v>
      </c>
      <c r="M311" s="84">
        <v>359</v>
      </c>
      <c r="N311" s="85">
        <v>228</v>
      </c>
    </row>
    <row r="312" spans="1:14" ht="14.25" customHeight="1" x14ac:dyDescent="0.25">
      <c r="A312" s="78">
        <v>45728</v>
      </c>
      <c r="B312" s="79">
        <v>0.80555555555555558</v>
      </c>
      <c r="C312" s="78" t="str">
        <f>"Q" &amp; CHOOSE(MONTH(Sales!$A312), "1", "1", "1", "2", "2", "2", "3", "3", "3", "4", "4", "4") &amp; "_" &amp; YEAR(Sales!$A312)</f>
        <v>Q1_2025</v>
      </c>
      <c r="D312" s="80" t="s">
        <v>60</v>
      </c>
      <c r="E312" s="81" t="s">
        <v>14</v>
      </c>
      <c r="F312" s="82" t="s">
        <v>15</v>
      </c>
      <c r="G312" s="82" t="s">
        <v>93</v>
      </c>
      <c r="H312" s="82" t="s">
        <v>17</v>
      </c>
      <c r="I312" s="82" t="s">
        <v>94</v>
      </c>
      <c r="J312" s="82">
        <v>1</v>
      </c>
      <c r="K312" s="82" t="s">
        <v>22</v>
      </c>
      <c r="L312" s="83">
        <v>1</v>
      </c>
      <c r="M312" s="84">
        <v>243</v>
      </c>
      <c r="N312" s="85">
        <v>142</v>
      </c>
    </row>
    <row r="313" spans="1:14" ht="14.25" customHeight="1" x14ac:dyDescent="0.25">
      <c r="A313" s="78">
        <v>45728</v>
      </c>
      <c r="B313" s="79">
        <v>0.83125000000000004</v>
      </c>
      <c r="C313" s="78" t="str">
        <f>"Q" &amp; CHOOSE(MONTH(Sales!$A313), "1", "1", "1", "2", "2", "2", "3", "3", "3", "4", "4", "4") &amp; "_" &amp; YEAR(Sales!$A313)</f>
        <v>Q1_2025</v>
      </c>
      <c r="D313" s="80" t="s">
        <v>60</v>
      </c>
      <c r="E313" s="81" t="s">
        <v>14</v>
      </c>
      <c r="F313" s="82" t="s">
        <v>15</v>
      </c>
      <c r="G313" s="82" t="s">
        <v>87</v>
      </c>
      <c r="H313" s="82" t="s">
        <v>17</v>
      </c>
      <c r="I313" s="82" t="s">
        <v>88</v>
      </c>
      <c r="J313" s="82">
        <v>1</v>
      </c>
      <c r="K313" s="82" t="s">
        <v>22</v>
      </c>
      <c r="L313" s="83">
        <v>1</v>
      </c>
      <c r="M313" s="84">
        <v>889</v>
      </c>
      <c r="N313" s="85">
        <v>541</v>
      </c>
    </row>
    <row r="314" spans="1:14" ht="14.25" customHeight="1" x14ac:dyDescent="0.25">
      <c r="A314" s="78">
        <v>45728</v>
      </c>
      <c r="B314" s="79">
        <v>0.84513888888888888</v>
      </c>
      <c r="C314" s="78" t="str">
        <f>"Q" &amp; CHOOSE(MONTH(Sales!$A314), "1", "1", "1", "2", "2", "2", "3", "3", "3", "4", "4", "4") &amp; "_" &amp; YEAR(Sales!$A314)</f>
        <v>Q1_2025</v>
      </c>
      <c r="D314" s="80" t="s">
        <v>58</v>
      </c>
      <c r="E314" s="81" t="s">
        <v>14</v>
      </c>
      <c r="F314" s="82" t="s">
        <v>15</v>
      </c>
      <c r="G314" s="82" t="s">
        <v>24</v>
      </c>
      <c r="H314" s="82" t="s">
        <v>20</v>
      </c>
      <c r="I314" s="82" t="s">
        <v>96</v>
      </c>
      <c r="J314" s="82">
        <v>1</v>
      </c>
      <c r="K314" s="82" t="s">
        <v>22</v>
      </c>
      <c r="L314" s="83">
        <v>2</v>
      </c>
      <c r="M314" s="84">
        <v>268</v>
      </c>
      <c r="N314" s="85">
        <v>148</v>
      </c>
    </row>
    <row r="315" spans="1:14" ht="14.25" customHeight="1" x14ac:dyDescent="0.25">
      <c r="A315" s="78">
        <v>45728</v>
      </c>
      <c r="B315" s="79">
        <v>0.88611111111111107</v>
      </c>
      <c r="C315" s="78" t="str">
        <f>"Q" &amp; CHOOSE(MONTH(Sales!$A315), "1", "1", "1", "2", "2", "2", "3", "3", "3", "4", "4", "4") &amp; "_" &amp; YEAR(Sales!$A315)</f>
        <v>Q1_2025</v>
      </c>
      <c r="D315" s="80" t="s">
        <v>58</v>
      </c>
      <c r="E315" s="81" t="s">
        <v>14</v>
      </c>
      <c r="F315" s="82" t="s">
        <v>15</v>
      </c>
      <c r="G315" s="82" t="s">
        <v>102</v>
      </c>
      <c r="H315" s="82" t="s">
        <v>17</v>
      </c>
      <c r="I315" s="82" t="s">
        <v>240</v>
      </c>
      <c r="J315" s="82">
        <v>1</v>
      </c>
      <c r="K315" s="82" t="s">
        <v>22</v>
      </c>
      <c r="L315" s="83">
        <v>1</v>
      </c>
      <c r="M315" s="84">
        <v>364</v>
      </c>
      <c r="N315" s="85">
        <v>192</v>
      </c>
    </row>
    <row r="316" spans="1:14" ht="14.25" customHeight="1" x14ac:dyDescent="0.25">
      <c r="A316" s="78">
        <v>45728</v>
      </c>
      <c r="B316" s="79">
        <v>0.93125000000000002</v>
      </c>
      <c r="C316" s="78" t="str">
        <f>"Q" &amp; CHOOSE(MONTH(Sales!$A316), "1", "1", "1", "2", "2", "2", "3", "3", "3", "4", "4", "4") &amp; "_" &amp; YEAR(Sales!$A316)</f>
        <v>Q1_2025</v>
      </c>
      <c r="D316" s="80" t="s">
        <v>60</v>
      </c>
      <c r="E316" s="81" t="s">
        <v>14</v>
      </c>
      <c r="F316" s="82" t="s">
        <v>15</v>
      </c>
      <c r="G316" s="82" t="s">
        <v>103</v>
      </c>
      <c r="H316" s="82" t="s">
        <v>20</v>
      </c>
      <c r="I316" s="82" t="s">
        <v>104</v>
      </c>
      <c r="J316" s="82">
        <v>1</v>
      </c>
      <c r="K316" s="82" t="s">
        <v>22</v>
      </c>
      <c r="L316" s="83">
        <v>3</v>
      </c>
      <c r="M316" s="84">
        <v>1148</v>
      </c>
      <c r="N316" s="85">
        <v>763</v>
      </c>
    </row>
    <row r="317" spans="1:14" ht="14.25" customHeight="1" x14ac:dyDescent="0.25">
      <c r="A317" s="78">
        <v>45728</v>
      </c>
      <c r="B317" s="79">
        <v>0.97638888888888886</v>
      </c>
      <c r="C317" s="78" t="str">
        <f>"Q" &amp; CHOOSE(MONTH(Sales!$A317), "1", "1", "1", "2", "2", "2", "3", "3", "3", "4", "4", "4") &amp; "_" &amp; YEAR(Sales!$A317)</f>
        <v>Q1_2025</v>
      </c>
      <c r="D317" s="80" t="s">
        <v>62</v>
      </c>
      <c r="E317" s="81" t="s">
        <v>14</v>
      </c>
      <c r="F317" s="82" t="s">
        <v>15</v>
      </c>
      <c r="G317" s="82" t="s">
        <v>24</v>
      </c>
      <c r="H317" s="82" t="s">
        <v>20</v>
      </c>
      <c r="I317" s="82" t="s">
        <v>96</v>
      </c>
      <c r="J317" s="82">
        <v>1</v>
      </c>
      <c r="K317" s="82" t="s">
        <v>22</v>
      </c>
      <c r="L317" s="83">
        <v>2</v>
      </c>
      <c r="M317" s="84">
        <v>268</v>
      </c>
      <c r="N317" s="85">
        <v>148</v>
      </c>
    </row>
    <row r="318" spans="1:14" ht="14.25" customHeight="1" x14ac:dyDescent="0.25">
      <c r="A318" s="78">
        <v>45728</v>
      </c>
      <c r="B318" s="79">
        <v>0.97638888888888886</v>
      </c>
      <c r="C318" s="78" t="str">
        <f>"Q" &amp; CHOOSE(MONTH(Sales!$A318), "1", "1", "1", "2", "2", "2", "3", "3", "3", "4", "4", "4") &amp; "_" &amp; YEAR(Sales!$A318)</f>
        <v>Q1_2025</v>
      </c>
      <c r="D318" s="80" t="s">
        <v>63</v>
      </c>
      <c r="E318" s="81" t="s">
        <v>14</v>
      </c>
      <c r="F318" s="82" t="s">
        <v>15</v>
      </c>
      <c r="G318" s="82" t="s">
        <v>35</v>
      </c>
      <c r="H318" s="82" t="s">
        <v>20</v>
      </c>
      <c r="I318" s="82" t="s">
        <v>43</v>
      </c>
      <c r="J318" s="82">
        <v>1</v>
      </c>
      <c r="K318" s="82" t="s">
        <v>22</v>
      </c>
      <c r="L318" s="83">
        <v>6</v>
      </c>
      <c r="M318" s="84">
        <v>448</v>
      </c>
      <c r="N318" s="85">
        <v>299</v>
      </c>
    </row>
    <row r="319" spans="1:14" ht="14.25" customHeight="1" x14ac:dyDescent="0.25">
      <c r="A319" s="78">
        <v>45720</v>
      </c>
      <c r="B319" s="79">
        <v>12</v>
      </c>
      <c r="C319" s="78" t="str">
        <f>"Q" &amp; CHOOSE(MONTH(Sales!$A319), "1", "1", "1", "2", "2", "2", "3", "3", "3", "4", "4", "4") &amp; "_" &amp; YEAR(Sales!$A319)</f>
        <v>Q1_2025</v>
      </c>
      <c r="D319" s="80" t="s">
        <v>59</v>
      </c>
      <c r="E319" s="81" t="s">
        <v>108</v>
      </c>
      <c r="F319" s="82" t="s">
        <v>15</v>
      </c>
      <c r="G319" s="82" t="s">
        <v>32</v>
      </c>
      <c r="H319" s="82" t="s">
        <v>20</v>
      </c>
      <c r="I319" s="82" t="s">
        <v>33</v>
      </c>
      <c r="J319" s="82">
        <v>1</v>
      </c>
      <c r="K319" s="82" t="s">
        <v>22</v>
      </c>
      <c r="L319" s="83">
        <v>5</v>
      </c>
      <c r="M319" s="84">
        <v>389</v>
      </c>
      <c r="N319" s="85">
        <v>190</v>
      </c>
    </row>
    <row r="320" spans="1:14" ht="14.25" customHeight="1" x14ac:dyDescent="0.25">
      <c r="A320" s="78">
        <v>45729</v>
      </c>
      <c r="B320" s="79">
        <v>3.1944444444444442E-2</v>
      </c>
      <c r="C320" s="78" t="str">
        <f>"Q" &amp; CHOOSE(MONTH(Sales!$A320), "1", "1", "1", "2", "2", "2", "3", "3", "3", "4", "4", "4") &amp; "_" &amp; YEAR(Sales!$A320)</f>
        <v>Q1_2025</v>
      </c>
      <c r="D320" s="80" t="s">
        <v>58</v>
      </c>
      <c r="E320" s="81" t="s">
        <v>14</v>
      </c>
      <c r="F320" s="82" t="s">
        <v>15</v>
      </c>
      <c r="G320" s="82" t="s">
        <v>24</v>
      </c>
      <c r="H320" s="82" t="s">
        <v>20</v>
      </c>
      <c r="I320" s="82" t="s">
        <v>96</v>
      </c>
      <c r="J320" s="82">
        <v>1</v>
      </c>
      <c r="K320" s="82" t="s">
        <v>22</v>
      </c>
      <c r="L320" s="83">
        <v>2</v>
      </c>
      <c r="M320" s="84">
        <v>268</v>
      </c>
      <c r="N320" s="85">
        <v>148</v>
      </c>
    </row>
    <row r="321" spans="1:14" ht="14.25" customHeight="1" x14ac:dyDescent="0.25">
      <c r="A321" s="78">
        <v>45729</v>
      </c>
      <c r="B321" s="79">
        <v>3.3333333333333333E-2</v>
      </c>
      <c r="C321" s="78" t="str">
        <f>"Q" &amp; CHOOSE(MONTH(Sales!$A321), "1", "1", "1", "2", "2", "2", "3", "3", "3", "4", "4", "4") &amp; "_" &amp; YEAR(Sales!$A321)</f>
        <v>Q1_2025</v>
      </c>
      <c r="D321" s="80" t="s">
        <v>58</v>
      </c>
      <c r="E321" s="81" t="s">
        <v>14</v>
      </c>
      <c r="F321" s="82" t="s">
        <v>15</v>
      </c>
      <c r="G321" s="82" t="s">
        <v>24</v>
      </c>
      <c r="H321" s="82" t="s">
        <v>20</v>
      </c>
      <c r="I321" s="82" t="s">
        <v>96</v>
      </c>
      <c r="J321" s="82">
        <v>1</v>
      </c>
      <c r="K321" s="82" t="s">
        <v>22</v>
      </c>
      <c r="L321" s="83">
        <v>2</v>
      </c>
      <c r="M321" s="84">
        <v>268</v>
      </c>
      <c r="N321" s="85">
        <v>148</v>
      </c>
    </row>
    <row r="322" spans="1:14" ht="14.25" customHeight="1" x14ac:dyDescent="0.25">
      <c r="A322" s="78">
        <v>45729</v>
      </c>
      <c r="B322" s="79">
        <v>6.25E-2</v>
      </c>
      <c r="C322" s="78" t="str">
        <f>"Q" &amp; CHOOSE(MONTH(Sales!$A322), "1", "1", "1", "2", "2", "2", "3", "3", "3", "4", "4", "4") &amp; "_" &amp; YEAR(Sales!$A322)</f>
        <v>Q1_2025</v>
      </c>
      <c r="D322" s="80" t="s">
        <v>58</v>
      </c>
      <c r="E322" s="81" t="s">
        <v>14</v>
      </c>
      <c r="F322" s="82" t="s">
        <v>15</v>
      </c>
      <c r="G322" s="82" t="s">
        <v>24</v>
      </c>
      <c r="H322" s="82" t="s">
        <v>20</v>
      </c>
      <c r="I322" s="82" t="s">
        <v>52</v>
      </c>
      <c r="J322" s="82">
        <v>1</v>
      </c>
      <c r="K322" s="82" t="s">
        <v>22</v>
      </c>
      <c r="L322" s="83">
        <v>5</v>
      </c>
      <c r="M322" s="84">
        <v>554</v>
      </c>
      <c r="N322" s="85">
        <v>356</v>
      </c>
    </row>
    <row r="323" spans="1:14" ht="14.25" customHeight="1" x14ac:dyDescent="0.25">
      <c r="A323" s="78">
        <v>45729</v>
      </c>
      <c r="B323" s="79">
        <v>0.37847222222222221</v>
      </c>
      <c r="C323" s="78" t="str">
        <f>"Q" &amp; CHOOSE(MONTH(Sales!$A323), "1", "1", "1", "2", "2", "2", "3", "3", "3", "4", "4", "4") &amp; "_" &amp; YEAR(Sales!$A323)</f>
        <v>Q1_2025</v>
      </c>
      <c r="D323" s="80" t="s">
        <v>68</v>
      </c>
      <c r="E323" s="81" t="s">
        <v>14</v>
      </c>
      <c r="F323" s="82" t="s">
        <v>15</v>
      </c>
      <c r="G323" s="82" t="s">
        <v>87</v>
      </c>
      <c r="H323" s="82" t="s">
        <v>17</v>
      </c>
      <c r="I323" s="82" t="s">
        <v>88</v>
      </c>
      <c r="J323" s="82">
        <v>1</v>
      </c>
      <c r="K323" s="82" t="s">
        <v>22</v>
      </c>
      <c r="L323" s="83">
        <v>1</v>
      </c>
      <c r="M323" s="84">
        <v>888</v>
      </c>
      <c r="N323" s="85">
        <v>540</v>
      </c>
    </row>
    <row r="324" spans="1:14" ht="14.25" customHeight="1" x14ac:dyDescent="0.25">
      <c r="A324" s="78">
        <v>45729</v>
      </c>
      <c r="B324" s="79">
        <v>0.5</v>
      </c>
      <c r="C324" s="78" t="str">
        <f>"Q" &amp; CHOOSE(MONTH(Sales!$A324), "1", "1", "1", "2", "2", "2", "3", "3", "3", "4", "4", "4") &amp; "_" &amp; YEAR(Sales!$A324)</f>
        <v>Q1_2025</v>
      </c>
      <c r="D324" s="80" t="s">
        <v>60</v>
      </c>
      <c r="E324" s="81" t="s">
        <v>14</v>
      </c>
      <c r="F324" s="82" t="s">
        <v>15</v>
      </c>
      <c r="G324" s="82" t="s">
        <v>24</v>
      </c>
      <c r="H324" s="82" t="s">
        <v>20</v>
      </c>
      <c r="I324" s="82" t="s">
        <v>52</v>
      </c>
      <c r="J324" s="82">
        <v>1</v>
      </c>
      <c r="K324" s="82" t="s">
        <v>22</v>
      </c>
      <c r="L324" s="83">
        <v>5</v>
      </c>
      <c r="M324" s="84">
        <v>559</v>
      </c>
      <c r="N324" s="85">
        <v>360</v>
      </c>
    </row>
    <row r="325" spans="1:14" ht="14.25" customHeight="1" x14ac:dyDescent="0.25">
      <c r="A325" s="78">
        <v>45729</v>
      </c>
      <c r="B325" s="79">
        <v>0.54097222222222219</v>
      </c>
      <c r="C325" s="78" t="str">
        <f>"Q" &amp; CHOOSE(MONTH(Sales!$A325), "1", "1", "1", "2", "2", "2", "3", "3", "3", "4", "4", "4") &amp; "_" &amp; YEAR(Sales!$A325)</f>
        <v>Q1_2025</v>
      </c>
      <c r="D325" s="80" t="s">
        <v>56</v>
      </c>
      <c r="E325" s="81" t="s">
        <v>14</v>
      </c>
      <c r="F325" s="82" t="s">
        <v>15</v>
      </c>
      <c r="G325" s="82" t="s">
        <v>35</v>
      </c>
      <c r="H325" s="82" t="s">
        <v>20</v>
      </c>
      <c r="I325" s="82" t="s">
        <v>67</v>
      </c>
      <c r="J325" s="82">
        <v>1</v>
      </c>
      <c r="K325" s="82" t="s">
        <v>22</v>
      </c>
      <c r="L325" s="83">
        <v>3</v>
      </c>
      <c r="M325" s="84">
        <v>278</v>
      </c>
      <c r="N325" s="85">
        <v>158</v>
      </c>
    </row>
    <row r="326" spans="1:14" ht="14.25" customHeight="1" x14ac:dyDescent="0.25">
      <c r="A326" s="78">
        <v>45729</v>
      </c>
      <c r="B326" s="79">
        <v>0.5493055555555556</v>
      </c>
      <c r="C326" s="78" t="str">
        <f>"Q" &amp; CHOOSE(MONTH(Sales!$A326), "1", "1", "1", "2", "2", "2", "3", "3", "3", "4", "4", "4") &amp; "_" &amp; YEAR(Sales!$A326)</f>
        <v>Q1_2025</v>
      </c>
      <c r="D326" s="80" t="s">
        <v>58</v>
      </c>
      <c r="E326" s="81" t="s">
        <v>14</v>
      </c>
      <c r="F326" s="82" t="s">
        <v>15</v>
      </c>
      <c r="G326" s="82" t="s">
        <v>24</v>
      </c>
      <c r="H326" s="82" t="s">
        <v>20</v>
      </c>
      <c r="I326" s="82" t="s">
        <v>25</v>
      </c>
      <c r="J326" s="82">
        <v>1</v>
      </c>
      <c r="K326" s="82" t="s">
        <v>22</v>
      </c>
      <c r="L326" s="83">
        <v>3</v>
      </c>
      <c r="M326" s="84">
        <v>359</v>
      </c>
      <c r="N326" s="85">
        <v>228</v>
      </c>
    </row>
    <row r="327" spans="1:14" ht="14.25" customHeight="1" x14ac:dyDescent="0.25">
      <c r="A327" s="78">
        <v>45729</v>
      </c>
      <c r="B327" s="79">
        <v>0.64375000000000004</v>
      </c>
      <c r="C327" s="78" t="str">
        <f>"Q" &amp; CHOOSE(MONTH(Sales!$A327), "1", "1", "1", "2", "2", "2", "3", "3", "3", "4", "4", "4") &amp; "_" &amp; YEAR(Sales!$A327)</f>
        <v>Q1_2025</v>
      </c>
      <c r="D327" s="80" t="s">
        <v>60</v>
      </c>
      <c r="E327" s="81" t="s">
        <v>14</v>
      </c>
      <c r="F327" s="82" t="s">
        <v>15</v>
      </c>
      <c r="G327" s="82" t="s">
        <v>35</v>
      </c>
      <c r="H327" s="82" t="s">
        <v>20</v>
      </c>
      <c r="I327" s="82" t="s">
        <v>67</v>
      </c>
      <c r="J327" s="82">
        <v>1</v>
      </c>
      <c r="K327" s="82" t="s">
        <v>22</v>
      </c>
      <c r="L327" s="83">
        <v>3</v>
      </c>
      <c r="M327" s="84">
        <v>289</v>
      </c>
      <c r="N327" s="85">
        <v>168</v>
      </c>
    </row>
    <row r="328" spans="1:14" ht="14.25" customHeight="1" x14ac:dyDescent="0.25">
      <c r="A328" s="78">
        <v>45729</v>
      </c>
      <c r="B328" s="79">
        <v>0.82430555555555551</v>
      </c>
      <c r="C328" s="78" t="str">
        <f>"Q" &amp; CHOOSE(MONTH(Sales!$A328), "1", "1", "1", "2", "2", "2", "3", "3", "3", "4", "4", "4") &amp; "_" &amp; YEAR(Sales!$A328)</f>
        <v>Q1_2025</v>
      </c>
      <c r="D328" s="80" t="s">
        <v>60</v>
      </c>
      <c r="E328" s="81" t="s">
        <v>14</v>
      </c>
      <c r="F328" s="82" t="s">
        <v>15</v>
      </c>
      <c r="G328" s="82" t="s">
        <v>24</v>
      </c>
      <c r="H328" s="82" t="s">
        <v>20</v>
      </c>
      <c r="I328" s="82" t="s">
        <v>25</v>
      </c>
      <c r="J328" s="82">
        <v>1</v>
      </c>
      <c r="K328" s="82" t="s">
        <v>22</v>
      </c>
      <c r="L328" s="83">
        <v>3</v>
      </c>
      <c r="M328" s="84">
        <v>359</v>
      </c>
      <c r="N328" s="85">
        <v>228</v>
      </c>
    </row>
    <row r="329" spans="1:14" ht="14.25" customHeight="1" x14ac:dyDescent="0.25">
      <c r="A329" s="78">
        <v>45729</v>
      </c>
      <c r="B329" s="79">
        <v>0.82499999999999996</v>
      </c>
      <c r="C329" s="78" t="str">
        <f>"Q" &amp; CHOOSE(MONTH(Sales!$A329), "1", "1", "1", "2", "2", "2", "3", "3", "3", "4", "4", "4") &amp; "_" &amp; YEAR(Sales!$A329)</f>
        <v>Q1_2025</v>
      </c>
      <c r="D329" s="80" t="s">
        <v>63</v>
      </c>
      <c r="E329" s="81" t="s">
        <v>14</v>
      </c>
      <c r="F329" s="82" t="s">
        <v>15</v>
      </c>
      <c r="G329" s="82" t="s">
        <v>24</v>
      </c>
      <c r="H329" s="82" t="s">
        <v>20</v>
      </c>
      <c r="I329" s="82" t="s">
        <v>25</v>
      </c>
      <c r="J329" s="82">
        <v>1</v>
      </c>
      <c r="K329" s="82" t="s">
        <v>22</v>
      </c>
      <c r="L329" s="83">
        <v>3</v>
      </c>
      <c r="M329" s="84">
        <v>359</v>
      </c>
      <c r="N329" s="85">
        <v>228</v>
      </c>
    </row>
    <row r="330" spans="1:14" ht="14.25" customHeight="1" x14ac:dyDescent="0.25">
      <c r="A330" s="78">
        <v>45729</v>
      </c>
      <c r="B330" s="79">
        <v>0.97013888888888888</v>
      </c>
      <c r="C330" s="78" t="str">
        <f>"Q" &amp; CHOOSE(MONTH(Sales!$A330), "1", "1", "1", "2", "2", "2", "3", "3", "3", "4", "4", "4") &amp; "_" &amp; YEAR(Sales!$A330)</f>
        <v>Q1_2025</v>
      </c>
      <c r="D330" s="80" t="s">
        <v>68</v>
      </c>
      <c r="E330" s="81" t="s">
        <v>14</v>
      </c>
      <c r="F330" s="82" t="s">
        <v>15</v>
      </c>
      <c r="G330" s="82" t="s">
        <v>102</v>
      </c>
      <c r="H330" s="82" t="s">
        <v>17</v>
      </c>
      <c r="I330" s="82" t="s">
        <v>240</v>
      </c>
      <c r="J330" s="82">
        <v>1</v>
      </c>
      <c r="K330" s="82" t="s">
        <v>22</v>
      </c>
      <c r="L330" s="83">
        <v>1</v>
      </c>
      <c r="M330" s="84">
        <v>379</v>
      </c>
      <c r="N330" s="85">
        <v>205</v>
      </c>
    </row>
    <row r="331" spans="1:14" ht="14.25" customHeight="1" x14ac:dyDescent="0.25">
      <c r="A331" s="78">
        <v>45729</v>
      </c>
      <c r="B331" s="79">
        <v>0.98472222222222228</v>
      </c>
      <c r="C331" s="78" t="str">
        <f>"Q" &amp; CHOOSE(MONTH(Sales!$A331), "1", "1", "1", "2", "2", "2", "3", "3", "3", "4", "4", "4") &amp; "_" &amp; YEAR(Sales!$A331)</f>
        <v>Q1_2025</v>
      </c>
      <c r="D331" s="80" t="s">
        <v>62</v>
      </c>
      <c r="E331" s="81" t="s">
        <v>14</v>
      </c>
      <c r="F331" s="82" t="s">
        <v>15</v>
      </c>
      <c r="G331" s="82" t="s">
        <v>35</v>
      </c>
      <c r="H331" s="82" t="s">
        <v>20</v>
      </c>
      <c r="I331" s="82" t="s">
        <v>67</v>
      </c>
      <c r="J331" s="82">
        <v>1</v>
      </c>
      <c r="K331" s="82" t="s">
        <v>22</v>
      </c>
      <c r="L331" s="83">
        <v>3</v>
      </c>
      <c r="M331" s="84">
        <v>289</v>
      </c>
      <c r="N331" s="85">
        <v>168</v>
      </c>
    </row>
    <row r="332" spans="1:14" ht="14.25" customHeight="1" x14ac:dyDescent="0.25">
      <c r="A332" s="78">
        <v>45730</v>
      </c>
      <c r="B332" s="79">
        <v>4.8611111111111112E-3</v>
      </c>
      <c r="C332" s="78" t="str">
        <f>"Q" &amp; CHOOSE(MONTH(Sales!$A332), "1", "1", "1", "2", "2", "2", "3", "3", "3", "4", "4", "4") &amp; "_" &amp; YEAR(Sales!$A332)</f>
        <v>Q1_2025</v>
      </c>
      <c r="D332" s="80" t="s">
        <v>58</v>
      </c>
      <c r="E332" s="81" t="s">
        <v>14</v>
      </c>
      <c r="F332" s="82" t="s">
        <v>15</v>
      </c>
      <c r="G332" s="82" t="s">
        <v>24</v>
      </c>
      <c r="H332" s="82" t="s">
        <v>20</v>
      </c>
      <c r="I332" s="82" t="s">
        <v>52</v>
      </c>
      <c r="J332" s="82">
        <v>1</v>
      </c>
      <c r="K332" s="82" t="s">
        <v>22</v>
      </c>
      <c r="L332" s="83">
        <v>5</v>
      </c>
      <c r="M332" s="84">
        <v>559</v>
      </c>
      <c r="N332" s="85">
        <v>361</v>
      </c>
    </row>
    <row r="333" spans="1:14" ht="14.25" customHeight="1" x14ac:dyDescent="0.25">
      <c r="A333" s="78">
        <v>45730</v>
      </c>
      <c r="B333" s="79">
        <v>2.0833333333333332E-2</v>
      </c>
      <c r="C333" s="78" t="str">
        <f>"Q" &amp; CHOOSE(MONTH(Sales!$A333), "1", "1", "1", "2", "2", "2", "3", "3", "3", "4", "4", "4") &amp; "_" &amp; YEAR(Sales!$A333)</f>
        <v>Q1_2025</v>
      </c>
      <c r="D333" s="80" t="s">
        <v>56</v>
      </c>
      <c r="E333" s="81" t="s">
        <v>14</v>
      </c>
      <c r="F333" s="82" t="s">
        <v>15</v>
      </c>
      <c r="G333" s="82" t="s">
        <v>24</v>
      </c>
      <c r="H333" s="82" t="s">
        <v>20</v>
      </c>
      <c r="I333" s="82" t="s">
        <v>25</v>
      </c>
      <c r="J333" s="82">
        <v>1</v>
      </c>
      <c r="K333" s="82" t="s">
        <v>22</v>
      </c>
      <c r="L333" s="83">
        <v>3</v>
      </c>
      <c r="M333" s="84">
        <v>359</v>
      </c>
      <c r="N333" s="85">
        <v>228</v>
      </c>
    </row>
    <row r="334" spans="1:14" ht="14.25" customHeight="1" x14ac:dyDescent="0.25">
      <c r="A334" s="78">
        <v>45730</v>
      </c>
      <c r="B334" s="79">
        <v>7.1527777777777773E-2</v>
      </c>
      <c r="C334" s="78" t="str">
        <f>"Q" &amp; CHOOSE(MONTH(Sales!$A334), "1", "1", "1", "2", "2", "2", "3", "3", "3", "4", "4", "4") &amp; "_" &amp; YEAR(Sales!$A334)</f>
        <v>Q1_2025</v>
      </c>
      <c r="D334" s="80" t="s">
        <v>58</v>
      </c>
      <c r="E334" s="81" t="s">
        <v>14</v>
      </c>
      <c r="F334" s="82" t="s">
        <v>15</v>
      </c>
      <c r="G334" s="82" t="s">
        <v>24</v>
      </c>
      <c r="H334" s="82" t="s">
        <v>20</v>
      </c>
      <c r="I334" s="82" t="s">
        <v>26</v>
      </c>
      <c r="J334" s="82">
        <v>1</v>
      </c>
      <c r="K334" s="82" t="s">
        <v>22</v>
      </c>
      <c r="L334" s="83">
        <v>6</v>
      </c>
      <c r="M334" s="84">
        <v>619</v>
      </c>
      <c r="N334" s="85">
        <v>413</v>
      </c>
    </row>
    <row r="335" spans="1:14" ht="14.25" customHeight="1" x14ac:dyDescent="0.25">
      <c r="A335" s="78">
        <v>45730</v>
      </c>
      <c r="B335" s="79">
        <v>7.8472222222222221E-2</v>
      </c>
      <c r="C335" s="78" t="str">
        <f>"Q" &amp; CHOOSE(MONTH(Sales!$A335), "1", "1", "1", "2", "2", "2", "3", "3", "3", "4", "4", "4") &amp; "_" &amp; YEAR(Sales!$A335)</f>
        <v>Q1_2025</v>
      </c>
      <c r="D335" s="80" t="s">
        <v>62</v>
      </c>
      <c r="E335" s="81" t="s">
        <v>14</v>
      </c>
      <c r="F335" s="82" t="s">
        <v>15</v>
      </c>
      <c r="G335" s="82" t="s">
        <v>24</v>
      </c>
      <c r="H335" s="82" t="s">
        <v>20</v>
      </c>
      <c r="I335" s="82" t="s">
        <v>109</v>
      </c>
      <c r="J335" s="82">
        <v>1</v>
      </c>
      <c r="K335" s="82" t="s">
        <v>22</v>
      </c>
      <c r="L335" s="83">
        <v>2</v>
      </c>
      <c r="M335" s="84">
        <v>199</v>
      </c>
      <c r="N335" s="85">
        <v>89</v>
      </c>
    </row>
    <row r="336" spans="1:14" ht="14.25" customHeight="1" x14ac:dyDescent="0.25">
      <c r="A336" s="78">
        <v>45730</v>
      </c>
      <c r="B336" s="79">
        <v>0.5</v>
      </c>
      <c r="C336" s="78" t="str">
        <f>"Q" &amp; CHOOSE(MONTH(Sales!$A336), "1", "1", "1", "2", "2", "2", "3", "3", "3", "4", "4", "4") &amp; "_" &amp; YEAR(Sales!$A336)</f>
        <v>Q1_2025</v>
      </c>
      <c r="D336" s="80" t="s">
        <v>66</v>
      </c>
      <c r="E336" s="81" t="s">
        <v>14</v>
      </c>
      <c r="F336" s="82" t="s">
        <v>15</v>
      </c>
      <c r="G336" s="82" t="s">
        <v>24</v>
      </c>
      <c r="H336" s="82" t="s">
        <v>20</v>
      </c>
      <c r="I336" s="82" t="s">
        <v>52</v>
      </c>
      <c r="J336" s="82">
        <v>1</v>
      </c>
      <c r="K336" s="82" t="s">
        <v>22</v>
      </c>
      <c r="L336" s="83">
        <v>5</v>
      </c>
      <c r="M336" s="84">
        <v>559</v>
      </c>
      <c r="N336" s="85">
        <v>361</v>
      </c>
    </row>
    <row r="337" spans="1:14" ht="14.25" customHeight="1" x14ac:dyDescent="0.25">
      <c r="A337" s="78">
        <v>45730</v>
      </c>
      <c r="B337" s="79">
        <v>0.51041666666666663</v>
      </c>
      <c r="C337" s="78" t="str">
        <f>"Q" &amp; CHOOSE(MONTH(Sales!$A337), "1", "1", "1", "2", "2", "2", "3", "3", "3", "4", "4", "4") &amp; "_" &amp; YEAR(Sales!$A337)</f>
        <v>Q1_2025</v>
      </c>
      <c r="D337" s="80" t="s">
        <v>58</v>
      </c>
      <c r="E337" s="81" t="s">
        <v>14</v>
      </c>
      <c r="F337" s="82" t="s">
        <v>15</v>
      </c>
      <c r="G337" s="82" t="s">
        <v>24</v>
      </c>
      <c r="H337" s="82" t="s">
        <v>20</v>
      </c>
      <c r="I337" s="82" t="s">
        <v>96</v>
      </c>
      <c r="J337" s="82">
        <v>1</v>
      </c>
      <c r="K337" s="82" t="s">
        <v>22</v>
      </c>
      <c r="L337" s="83">
        <v>2</v>
      </c>
      <c r="M337" s="84">
        <v>269</v>
      </c>
      <c r="N337" s="85">
        <v>248</v>
      </c>
    </row>
    <row r="338" spans="1:14" ht="14.25" customHeight="1" x14ac:dyDescent="0.25">
      <c r="A338" s="78">
        <v>45730</v>
      </c>
      <c r="B338" s="79">
        <v>0.51875000000000004</v>
      </c>
      <c r="C338" s="78" t="str">
        <f>"Q" &amp; CHOOSE(MONTH(Sales!$A338), "1", "1", "1", "2", "2", "2", "3", "3", "3", "4", "4", "4") &amp; "_" &amp; YEAR(Sales!$A338)</f>
        <v>Q1_2025</v>
      </c>
      <c r="D338" s="80" t="s">
        <v>68</v>
      </c>
      <c r="E338" s="81" t="s">
        <v>14</v>
      </c>
      <c r="F338" s="82" t="s">
        <v>15</v>
      </c>
      <c r="G338" s="82" t="s">
        <v>87</v>
      </c>
      <c r="H338" s="82" t="s">
        <v>17</v>
      </c>
      <c r="I338" s="82" t="s">
        <v>88</v>
      </c>
      <c r="J338" s="82">
        <v>1</v>
      </c>
      <c r="K338" s="82" t="s">
        <v>22</v>
      </c>
      <c r="L338" s="83">
        <v>1</v>
      </c>
      <c r="M338" s="84">
        <v>881</v>
      </c>
      <c r="N338" s="85">
        <v>584</v>
      </c>
    </row>
    <row r="339" spans="1:14" ht="14.25" customHeight="1" x14ac:dyDescent="0.25">
      <c r="A339" s="78">
        <v>45730</v>
      </c>
      <c r="B339" s="79">
        <v>0.5541666666666667</v>
      </c>
      <c r="C339" s="78" t="str">
        <f>"Q" &amp; CHOOSE(MONTH(Sales!$A339), "1", "1", "1", "2", "2", "2", "3", "3", "3", "4", "4", "4") &amp; "_" &amp; YEAR(Sales!$A339)</f>
        <v>Q1_2025</v>
      </c>
      <c r="D339" s="80" t="s">
        <v>62</v>
      </c>
      <c r="E339" s="81" t="s">
        <v>14</v>
      </c>
      <c r="F339" s="82" t="s">
        <v>15</v>
      </c>
      <c r="G339" s="82" t="s">
        <v>24</v>
      </c>
      <c r="H339" s="82" t="s">
        <v>20</v>
      </c>
      <c r="I339" s="82" t="s">
        <v>25</v>
      </c>
      <c r="J339" s="82">
        <v>1</v>
      </c>
      <c r="K339" s="82" t="s">
        <v>22</v>
      </c>
      <c r="L339" s="83">
        <v>3</v>
      </c>
      <c r="M339" s="84">
        <v>368</v>
      </c>
      <c r="N339" s="85">
        <v>238</v>
      </c>
    </row>
    <row r="340" spans="1:14" ht="14.25" customHeight="1" x14ac:dyDescent="0.25">
      <c r="A340" s="78">
        <v>45730</v>
      </c>
      <c r="B340" s="79">
        <v>0.5708333333333333</v>
      </c>
      <c r="C340" s="78" t="str">
        <f>"Q" &amp; CHOOSE(MONTH(Sales!$A340), "1", "1", "1", "2", "2", "2", "3", "3", "3", "4", "4", "4") &amp; "_" &amp; YEAR(Sales!$A340)</f>
        <v>Q1_2025</v>
      </c>
      <c r="D340" s="80" t="s">
        <v>58</v>
      </c>
      <c r="E340" s="81" t="s">
        <v>14</v>
      </c>
      <c r="F340" s="82" t="s">
        <v>15</v>
      </c>
      <c r="G340" s="82" t="s">
        <v>24</v>
      </c>
      <c r="H340" s="82" t="s">
        <v>20</v>
      </c>
      <c r="I340" s="82" t="s">
        <v>96</v>
      </c>
      <c r="J340" s="82">
        <v>1</v>
      </c>
      <c r="K340" s="82" t="s">
        <v>48</v>
      </c>
      <c r="L340" s="83">
        <v>2</v>
      </c>
      <c r="M340" s="84">
        <v>0</v>
      </c>
      <c r="N340" s="85">
        <v>0</v>
      </c>
    </row>
    <row r="341" spans="1:14" ht="14.25" customHeight="1" x14ac:dyDescent="0.25">
      <c r="A341" s="78">
        <v>45730</v>
      </c>
      <c r="B341" s="79">
        <v>0.68819444444444444</v>
      </c>
      <c r="C341" s="78" t="str">
        <f>"Q" &amp; CHOOSE(MONTH(Sales!$A341), "1", "1", "1", "2", "2", "2", "3", "3", "3", "4", "4", "4") &amp; "_" &amp; YEAR(Sales!$A341)</f>
        <v>Q1_2025</v>
      </c>
      <c r="D341" s="80" t="s">
        <v>58</v>
      </c>
      <c r="E341" s="81" t="s">
        <v>14</v>
      </c>
      <c r="F341" s="82" t="s">
        <v>15</v>
      </c>
      <c r="G341" s="82" t="s">
        <v>24</v>
      </c>
      <c r="H341" s="82" t="s">
        <v>20</v>
      </c>
      <c r="I341" s="82" t="s">
        <v>52</v>
      </c>
      <c r="J341" s="82">
        <v>1</v>
      </c>
      <c r="K341" s="82" t="s">
        <v>22</v>
      </c>
      <c r="L341" s="83">
        <v>5</v>
      </c>
      <c r="M341" s="84">
        <v>589</v>
      </c>
      <c r="N341" s="85">
        <v>381</v>
      </c>
    </row>
    <row r="342" spans="1:14" ht="14.25" customHeight="1" x14ac:dyDescent="0.25">
      <c r="A342" s="78">
        <v>45730</v>
      </c>
      <c r="B342" s="79">
        <v>0.71597222222222223</v>
      </c>
      <c r="C342" s="78" t="str">
        <f>"Q" &amp; CHOOSE(MONTH(Sales!$A342), "1", "1", "1", "2", "2", "2", "3", "3", "3", "4", "4", "4") &amp; "_" &amp; YEAR(Sales!$A342)</f>
        <v>Q1_2025</v>
      </c>
      <c r="D342" s="80" t="s">
        <v>62</v>
      </c>
      <c r="E342" s="81" t="s">
        <v>14</v>
      </c>
      <c r="F342" s="82" t="s">
        <v>15</v>
      </c>
      <c r="G342" s="82" t="s">
        <v>35</v>
      </c>
      <c r="H342" s="82" t="s">
        <v>20</v>
      </c>
      <c r="I342" s="82" t="s">
        <v>65</v>
      </c>
      <c r="J342" s="82">
        <v>1</v>
      </c>
      <c r="K342" s="82" t="s">
        <v>22</v>
      </c>
      <c r="L342" s="83">
        <v>3</v>
      </c>
      <c r="M342" s="84">
        <v>289</v>
      </c>
      <c r="N342" s="85">
        <v>168</v>
      </c>
    </row>
    <row r="343" spans="1:14" ht="14.25" customHeight="1" x14ac:dyDescent="0.25">
      <c r="A343" s="78">
        <v>45730</v>
      </c>
      <c r="B343" s="79">
        <v>0.74583333333333335</v>
      </c>
      <c r="C343" s="78" t="str">
        <f>"Q" &amp; CHOOSE(MONTH(Sales!$A343), "1", "1", "1", "2", "2", "2", "3", "3", "3", "4", "4", "4") &amp; "_" &amp; YEAR(Sales!$A343)</f>
        <v>Q1_2025</v>
      </c>
      <c r="D343" s="80" t="s">
        <v>110</v>
      </c>
      <c r="E343" s="81" t="s">
        <v>14</v>
      </c>
      <c r="F343" s="82" t="s">
        <v>15</v>
      </c>
      <c r="G343" s="82" t="s">
        <v>24</v>
      </c>
      <c r="H343" s="82" t="s">
        <v>20</v>
      </c>
      <c r="I343" s="82" t="s">
        <v>25</v>
      </c>
      <c r="J343" s="82">
        <v>1</v>
      </c>
      <c r="K343" s="82" t="s">
        <v>22</v>
      </c>
      <c r="L343" s="83">
        <v>3</v>
      </c>
      <c r="M343" s="84">
        <v>389</v>
      </c>
      <c r="N343" s="85">
        <v>259</v>
      </c>
    </row>
    <row r="344" spans="1:14" ht="14.25" customHeight="1" x14ac:dyDescent="0.25">
      <c r="A344" s="78">
        <v>45730</v>
      </c>
      <c r="B344" s="79">
        <v>0.83888888888888891</v>
      </c>
      <c r="C344" s="78" t="str">
        <f>"Q" &amp; CHOOSE(MONTH(Sales!$A344), "1", "1", "1", "2", "2", "2", "3", "3", "3", "4", "4", "4") &amp; "_" &amp; YEAR(Sales!$A344)</f>
        <v>Q1_2025</v>
      </c>
      <c r="D344" s="80" t="s">
        <v>60</v>
      </c>
      <c r="E344" s="81" t="s">
        <v>14</v>
      </c>
      <c r="F344" s="82" t="s">
        <v>15</v>
      </c>
      <c r="G344" s="82" t="s">
        <v>24</v>
      </c>
      <c r="H344" s="82" t="s">
        <v>20</v>
      </c>
      <c r="I344" s="82" t="s">
        <v>96</v>
      </c>
      <c r="J344" s="82">
        <v>1</v>
      </c>
      <c r="K344" s="82" t="s">
        <v>22</v>
      </c>
      <c r="L344" s="83">
        <v>2</v>
      </c>
      <c r="M344" s="84">
        <v>299</v>
      </c>
      <c r="N344" s="85">
        <v>176</v>
      </c>
    </row>
    <row r="345" spans="1:14" ht="14.25" customHeight="1" x14ac:dyDescent="0.25">
      <c r="A345" s="78">
        <v>45730</v>
      </c>
      <c r="B345" s="79">
        <v>0.85972222222222228</v>
      </c>
      <c r="C345" s="78" t="str">
        <f>"Q" &amp; CHOOSE(MONTH(Sales!$A345), "1", "1", "1", "2", "2", "2", "3", "3", "3", "4", "4", "4") &amp; "_" &amp; YEAR(Sales!$A345)</f>
        <v>Q1_2025</v>
      </c>
      <c r="D345" s="80" t="s">
        <v>68</v>
      </c>
      <c r="E345" s="81" t="s">
        <v>14</v>
      </c>
      <c r="F345" s="82" t="s">
        <v>15</v>
      </c>
      <c r="G345" s="82" t="s">
        <v>24</v>
      </c>
      <c r="H345" s="82" t="s">
        <v>20</v>
      </c>
      <c r="I345" s="82" t="s">
        <v>25</v>
      </c>
      <c r="J345" s="82">
        <v>1</v>
      </c>
      <c r="K345" s="82" t="s">
        <v>22</v>
      </c>
      <c r="L345" s="83">
        <v>3</v>
      </c>
      <c r="M345" s="84">
        <v>389</v>
      </c>
      <c r="N345" s="85">
        <v>259</v>
      </c>
    </row>
    <row r="346" spans="1:14" ht="14.25" customHeight="1" x14ac:dyDescent="0.25">
      <c r="A346" s="78">
        <v>45730</v>
      </c>
      <c r="B346" s="79">
        <v>0.86597222222222225</v>
      </c>
      <c r="C346" s="78" t="str">
        <f>"Q" &amp; CHOOSE(MONTH(Sales!$A346), "1", "1", "1", "2", "2", "2", "3", "3", "3", "4", "4", "4") &amp; "_" &amp; YEAR(Sales!$A346)</f>
        <v>Q1_2025</v>
      </c>
      <c r="D346" s="80" t="s">
        <v>60</v>
      </c>
      <c r="E346" s="81" t="s">
        <v>14</v>
      </c>
      <c r="F346" s="82" t="s">
        <v>15</v>
      </c>
      <c r="G346" s="82" t="s">
        <v>102</v>
      </c>
      <c r="H346" s="82" t="s">
        <v>17</v>
      </c>
      <c r="I346" s="82" t="s">
        <v>240</v>
      </c>
      <c r="J346" s="82">
        <v>1</v>
      </c>
      <c r="K346" s="82" t="s">
        <v>22</v>
      </c>
      <c r="L346" s="83">
        <v>1</v>
      </c>
      <c r="M346" s="84">
        <v>379</v>
      </c>
      <c r="N346" s="85">
        <v>205</v>
      </c>
    </row>
    <row r="347" spans="1:14" ht="14.25" customHeight="1" x14ac:dyDescent="0.25">
      <c r="A347" s="78">
        <v>45730</v>
      </c>
      <c r="B347" s="79">
        <v>0.93611111111111112</v>
      </c>
      <c r="C347" s="78" t="str">
        <f>"Q" &amp; CHOOSE(MONTH(Sales!$A347), "1", "1", "1", "2", "2", "2", "3", "3", "3", "4", "4", "4") &amp; "_" &amp; YEAR(Sales!$A347)</f>
        <v>Q1_2025</v>
      </c>
      <c r="D347" s="80" t="s">
        <v>68</v>
      </c>
      <c r="E347" s="81" t="s">
        <v>14</v>
      </c>
      <c r="F347" s="82" t="s">
        <v>15</v>
      </c>
      <c r="G347" s="82" t="s">
        <v>35</v>
      </c>
      <c r="H347" s="82" t="s">
        <v>20</v>
      </c>
      <c r="I347" s="82" t="s">
        <v>80</v>
      </c>
      <c r="J347" s="82">
        <v>1</v>
      </c>
      <c r="K347" s="82" t="s">
        <v>22</v>
      </c>
      <c r="L347" s="83">
        <v>1</v>
      </c>
      <c r="M347" s="84">
        <v>429</v>
      </c>
      <c r="N347" s="85">
        <v>282</v>
      </c>
    </row>
    <row r="348" spans="1:14" ht="14.25" customHeight="1" x14ac:dyDescent="0.25">
      <c r="A348" s="78">
        <v>45731</v>
      </c>
      <c r="B348" s="79">
        <v>0.38611111111111113</v>
      </c>
      <c r="C348" s="78" t="str">
        <f>"Q" &amp; CHOOSE(MONTH(Sales!$A348), "1", "1", "1", "2", "2", "2", "3", "3", "3", "4", "4", "4") &amp; "_" &amp; YEAR(Sales!$A348)</f>
        <v>Q1_2025</v>
      </c>
      <c r="D348" s="80" t="s">
        <v>68</v>
      </c>
      <c r="E348" s="81" t="s">
        <v>14</v>
      </c>
      <c r="F348" s="82" t="s">
        <v>15</v>
      </c>
      <c r="G348" s="82" t="s">
        <v>28</v>
      </c>
      <c r="H348" s="82" t="s">
        <v>17</v>
      </c>
      <c r="I348" s="82" t="s">
        <v>111</v>
      </c>
      <c r="J348" s="82">
        <v>1</v>
      </c>
      <c r="K348" s="82" t="s">
        <v>22</v>
      </c>
      <c r="L348" s="83">
        <v>1</v>
      </c>
      <c r="M348" s="84">
        <v>899</v>
      </c>
      <c r="N348" s="85">
        <v>625</v>
      </c>
    </row>
    <row r="349" spans="1:14" ht="14.25" customHeight="1" x14ac:dyDescent="0.25">
      <c r="A349" s="78">
        <v>45731</v>
      </c>
      <c r="B349" s="79">
        <v>0.38750000000000001</v>
      </c>
      <c r="C349" s="78" t="str">
        <f>"Q" &amp; CHOOSE(MONTH(Sales!$A349), "1", "1", "1", "2", "2", "2", "3", "3", "3", "4", "4", "4") &amp; "_" &amp; YEAR(Sales!$A349)</f>
        <v>Q1_2025</v>
      </c>
      <c r="D349" s="80" t="s">
        <v>59</v>
      </c>
      <c r="E349" s="81" t="s">
        <v>14</v>
      </c>
      <c r="F349" s="82" t="s">
        <v>15</v>
      </c>
      <c r="G349" s="82" t="s">
        <v>102</v>
      </c>
      <c r="H349" s="82" t="s">
        <v>17</v>
      </c>
      <c r="I349" s="82" t="s">
        <v>240</v>
      </c>
      <c r="J349" s="82">
        <v>1</v>
      </c>
      <c r="K349" s="82" t="s">
        <v>22</v>
      </c>
      <c r="L349" s="83">
        <v>1</v>
      </c>
      <c r="M349" s="84">
        <v>379</v>
      </c>
      <c r="N349" s="85">
        <v>205</v>
      </c>
    </row>
    <row r="350" spans="1:14" ht="14.25" customHeight="1" x14ac:dyDescent="0.25">
      <c r="A350" s="78">
        <v>45731</v>
      </c>
      <c r="B350" s="79">
        <v>0.64375000000000004</v>
      </c>
      <c r="C350" s="78" t="str">
        <f>"Q" &amp; CHOOSE(MONTH(Sales!$A350), "1", "1", "1", "2", "2", "2", "3", "3", "3", "4", "4", "4") &amp; "_" &amp; YEAR(Sales!$A350)</f>
        <v>Q1_2025</v>
      </c>
      <c r="D350" s="80" t="s">
        <v>57</v>
      </c>
      <c r="E350" s="81" t="s">
        <v>14</v>
      </c>
      <c r="F350" s="82" t="s">
        <v>15</v>
      </c>
      <c r="G350" s="82" t="s">
        <v>93</v>
      </c>
      <c r="H350" s="82" t="s">
        <v>17</v>
      </c>
      <c r="I350" s="82" t="s">
        <v>94</v>
      </c>
      <c r="J350" s="82">
        <v>1</v>
      </c>
      <c r="K350" s="82" t="s">
        <v>22</v>
      </c>
      <c r="L350" s="83">
        <v>1</v>
      </c>
      <c r="M350" s="84">
        <v>255</v>
      </c>
      <c r="N350" s="85">
        <v>104</v>
      </c>
    </row>
    <row r="351" spans="1:14" ht="14.25" customHeight="1" x14ac:dyDescent="0.25">
      <c r="A351" s="78">
        <v>45731</v>
      </c>
      <c r="B351" s="79">
        <v>0.66180555555555554</v>
      </c>
      <c r="C351" s="78" t="str">
        <f>"Q" &amp; CHOOSE(MONTH(Sales!$A351), "1", "1", "1", "2", "2", "2", "3", "3", "3", "4", "4", "4") &amp; "_" &amp; YEAR(Sales!$A351)</f>
        <v>Q1_2025</v>
      </c>
      <c r="D351" s="80" t="s">
        <v>68</v>
      </c>
      <c r="E351" s="81" t="s">
        <v>14</v>
      </c>
      <c r="F351" s="82" t="s">
        <v>15</v>
      </c>
      <c r="G351" s="82" t="s">
        <v>93</v>
      </c>
      <c r="H351" s="82" t="s">
        <v>17</v>
      </c>
      <c r="I351" s="82" t="s">
        <v>94</v>
      </c>
      <c r="J351" s="82">
        <v>1</v>
      </c>
      <c r="K351" s="82" t="s">
        <v>22</v>
      </c>
      <c r="L351" s="83">
        <v>1</v>
      </c>
      <c r="M351" s="84">
        <v>255</v>
      </c>
      <c r="N351" s="85">
        <v>104</v>
      </c>
    </row>
    <row r="352" spans="1:14" ht="14.25" customHeight="1" x14ac:dyDescent="0.25">
      <c r="A352" s="78">
        <v>45731</v>
      </c>
      <c r="B352" s="79">
        <v>0.73888888888888893</v>
      </c>
      <c r="C352" s="78" t="str">
        <f>"Q" &amp; CHOOSE(MONTH(Sales!$A352), "1", "1", "1", "2", "2", "2", "3", "3", "3", "4", "4", "4") &amp; "_" &amp; YEAR(Sales!$A352)</f>
        <v>Q1_2025</v>
      </c>
      <c r="D352" s="80" t="s">
        <v>60</v>
      </c>
      <c r="E352" s="81" t="s">
        <v>14</v>
      </c>
      <c r="F352" s="82" t="s">
        <v>15</v>
      </c>
      <c r="G352" s="82" t="s">
        <v>103</v>
      </c>
      <c r="H352" s="82" t="s">
        <v>20</v>
      </c>
      <c r="I352" s="82" t="s">
        <v>104</v>
      </c>
      <c r="J352" s="82">
        <v>1</v>
      </c>
      <c r="K352" s="82" t="s">
        <v>22</v>
      </c>
      <c r="L352" s="83">
        <v>3</v>
      </c>
      <c r="M352" s="84">
        <v>1399</v>
      </c>
      <c r="N352" s="85">
        <v>966</v>
      </c>
    </row>
    <row r="353" spans="1:14" ht="14.25" customHeight="1" x14ac:dyDescent="0.25">
      <c r="A353" s="78">
        <v>45731</v>
      </c>
      <c r="B353" s="79">
        <v>0.91388888888888886</v>
      </c>
      <c r="C353" s="78" t="str">
        <f>"Q" &amp; CHOOSE(MONTH(Sales!$A353), "1", "1", "1", "2", "2", "2", "3", "3", "3", "4", "4", "4") &amp; "_" &amp; YEAR(Sales!$A353)</f>
        <v>Q1_2025</v>
      </c>
      <c r="D353" s="80" t="s">
        <v>58</v>
      </c>
      <c r="E353" s="81" t="s">
        <v>14</v>
      </c>
      <c r="F353" s="82" t="s">
        <v>15</v>
      </c>
      <c r="G353" s="82" t="s">
        <v>24</v>
      </c>
      <c r="H353" s="82" t="s">
        <v>20</v>
      </c>
      <c r="I353" s="82" t="s">
        <v>25</v>
      </c>
      <c r="J353" s="82">
        <v>1</v>
      </c>
      <c r="K353" s="82" t="s">
        <v>22</v>
      </c>
      <c r="L353" s="83">
        <v>3</v>
      </c>
      <c r="M353" s="84">
        <v>364</v>
      </c>
      <c r="N353" s="85">
        <v>233</v>
      </c>
    </row>
    <row r="354" spans="1:14" ht="14.25" customHeight="1" x14ac:dyDescent="0.25">
      <c r="A354" s="78">
        <v>45731</v>
      </c>
      <c r="B354" s="79">
        <v>0.98055555555555551</v>
      </c>
      <c r="C354" s="78" t="str">
        <f>"Q" &amp; CHOOSE(MONTH(Sales!$A354), "1", "1", "1", "2", "2", "2", "3", "3", "3", "4", "4", "4") &amp; "_" &amp; YEAR(Sales!$A354)</f>
        <v>Q1_2025</v>
      </c>
      <c r="D354" s="80" t="s">
        <v>58</v>
      </c>
      <c r="E354" s="81" t="s">
        <v>14</v>
      </c>
      <c r="F354" s="82" t="s">
        <v>15</v>
      </c>
      <c r="G354" s="82" t="s">
        <v>24</v>
      </c>
      <c r="H354" s="82" t="s">
        <v>20</v>
      </c>
      <c r="I354" s="82" t="s">
        <v>52</v>
      </c>
      <c r="J354" s="82">
        <v>1</v>
      </c>
      <c r="K354" s="82" t="s">
        <v>22</v>
      </c>
      <c r="L354" s="83">
        <v>5</v>
      </c>
      <c r="M354" s="84">
        <v>569</v>
      </c>
      <c r="N354" s="85">
        <v>369</v>
      </c>
    </row>
    <row r="355" spans="1:14" ht="14.25" customHeight="1" x14ac:dyDescent="0.25">
      <c r="A355" s="78">
        <v>45731</v>
      </c>
      <c r="B355" s="79">
        <v>0.39444444444444443</v>
      </c>
      <c r="C355" s="78" t="str">
        <f>"Q" &amp; CHOOSE(MONTH(Sales!$A355), "1", "1", "1", "2", "2", "2", "3", "3", "3", "4", "4", "4") &amp; "_" &amp; YEAR(Sales!$A355)</f>
        <v>Q1_2025</v>
      </c>
      <c r="D355" s="80" t="s">
        <v>110</v>
      </c>
      <c r="E355" s="81" t="s">
        <v>14</v>
      </c>
      <c r="F355" s="82" t="s">
        <v>15</v>
      </c>
      <c r="G355" s="82" t="s">
        <v>24</v>
      </c>
      <c r="H355" s="82" t="s">
        <v>20</v>
      </c>
      <c r="I355" s="82" t="s">
        <v>25</v>
      </c>
      <c r="J355" s="82">
        <v>1</v>
      </c>
      <c r="K355" s="82" t="s">
        <v>22</v>
      </c>
      <c r="L355" s="83">
        <v>3</v>
      </c>
      <c r="M355" s="84">
        <v>364</v>
      </c>
      <c r="N355" s="85">
        <v>233</v>
      </c>
    </row>
    <row r="356" spans="1:14" ht="14.25" customHeight="1" x14ac:dyDescent="0.25">
      <c r="A356" s="78">
        <v>45732</v>
      </c>
      <c r="B356" s="79">
        <v>0.44236111111111109</v>
      </c>
      <c r="C356" s="78" t="str">
        <f>"Q" &amp; CHOOSE(MONTH(Sales!$A356), "1", "1", "1", "2", "2", "2", "3", "3", "3", "4", "4", "4") &amp; "_" &amp; YEAR(Sales!$A356)</f>
        <v>Q1_2025</v>
      </c>
      <c r="D356" s="80" t="s">
        <v>66</v>
      </c>
      <c r="E356" s="81" t="s">
        <v>14</v>
      </c>
      <c r="F356" s="82" t="s">
        <v>15</v>
      </c>
      <c r="G356" s="82" t="s">
        <v>35</v>
      </c>
      <c r="H356" s="82" t="s">
        <v>20</v>
      </c>
      <c r="I356" s="82" t="s">
        <v>79</v>
      </c>
      <c r="J356" s="82">
        <v>1</v>
      </c>
      <c r="K356" s="82" t="s">
        <v>22</v>
      </c>
      <c r="L356" s="83">
        <v>6</v>
      </c>
      <c r="M356" s="84">
        <v>699</v>
      </c>
      <c r="N356" s="85">
        <v>450</v>
      </c>
    </row>
    <row r="357" spans="1:14" ht="14.25" customHeight="1" x14ac:dyDescent="0.25">
      <c r="A357" s="78">
        <v>45732</v>
      </c>
      <c r="B357" s="79">
        <v>0.46250000000000002</v>
      </c>
      <c r="C357" s="78" t="str">
        <f>"Q" &amp; CHOOSE(MONTH(Sales!$A357), "1", "1", "1", "2", "2", "2", "3", "3", "3", "4", "4", "4") &amp; "_" &amp; YEAR(Sales!$A357)</f>
        <v>Q1_2025</v>
      </c>
      <c r="D357" s="80" t="s">
        <v>66</v>
      </c>
      <c r="E357" s="81" t="s">
        <v>14</v>
      </c>
      <c r="F357" s="82" t="s">
        <v>15</v>
      </c>
      <c r="G357" s="82" t="s">
        <v>24</v>
      </c>
      <c r="H357" s="82" t="s">
        <v>20</v>
      </c>
      <c r="I357" s="82" t="s">
        <v>25</v>
      </c>
      <c r="J357" s="82">
        <v>1</v>
      </c>
      <c r="K357" s="82" t="s">
        <v>22</v>
      </c>
      <c r="L357" s="83">
        <v>3</v>
      </c>
      <c r="M357" s="84">
        <v>364</v>
      </c>
      <c r="N357" s="85">
        <v>233</v>
      </c>
    </row>
    <row r="358" spans="1:14" ht="14.25" customHeight="1" x14ac:dyDescent="0.25">
      <c r="A358" s="78">
        <v>45732</v>
      </c>
      <c r="B358" s="79">
        <v>0.54513888888888884</v>
      </c>
      <c r="C358" s="78" t="str">
        <f>"Q" &amp; CHOOSE(MONTH(Sales!$A358), "1", "1", "1", "2", "2", "2", "3", "3", "3", "4", "4", "4") &amp; "_" &amp; YEAR(Sales!$A358)</f>
        <v>Q1_2025</v>
      </c>
      <c r="D358" s="80" t="s">
        <v>60</v>
      </c>
      <c r="E358" s="81" t="s">
        <v>14</v>
      </c>
      <c r="F358" s="82" t="s">
        <v>15</v>
      </c>
      <c r="G358" s="82" t="s">
        <v>87</v>
      </c>
      <c r="H358" s="82" t="s">
        <v>17</v>
      </c>
      <c r="I358" s="82" t="s">
        <v>88</v>
      </c>
      <c r="J358" s="82">
        <v>1</v>
      </c>
      <c r="K358" s="82" t="s">
        <v>22</v>
      </c>
      <c r="L358" s="83">
        <v>1</v>
      </c>
      <c r="M358" s="84">
        <v>881</v>
      </c>
      <c r="N358" s="85">
        <v>584</v>
      </c>
    </row>
    <row r="359" spans="1:14" ht="14.25" customHeight="1" x14ac:dyDescent="0.25">
      <c r="A359" s="78">
        <v>45732</v>
      </c>
      <c r="B359" s="79">
        <v>0.6118055555555556</v>
      </c>
      <c r="C359" s="78" t="str">
        <f>"Q" &amp; CHOOSE(MONTH(Sales!$A359), "1", "1", "1", "2", "2", "2", "3", "3", "3", "4", "4", "4") &amp; "_" &amp; YEAR(Sales!$A359)</f>
        <v>Q1_2025</v>
      </c>
      <c r="D359" s="80" t="s">
        <v>58</v>
      </c>
      <c r="E359" s="81" t="s">
        <v>14</v>
      </c>
      <c r="F359" s="82" t="s">
        <v>15</v>
      </c>
      <c r="G359" s="82" t="s">
        <v>24</v>
      </c>
      <c r="H359" s="82" t="s">
        <v>20</v>
      </c>
      <c r="I359" s="82" t="s">
        <v>25</v>
      </c>
      <c r="J359" s="82">
        <v>1</v>
      </c>
      <c r="K359" s="82" t="s">
        <v>22</v>
      </c>
      <c r="L359" s="83">
        <v>3</v>
      </c>
      <c r="M359" s="84">
        <v>369</v>
      </c>
      <c r="N359" s="85">
        <v>237</v>
      </c>
    </row>
    <row r="360" spans="1:14" ht="14.25" customHeight="1" x14ac:dyDescent="0.25">
      <c r="A360" s="78">
        <v>45732</v>
      </c>
      <c r="B360" s="79">
        <v>0.84027777777777779</v>
      </c>
      <c r="C360" s="78" t="str">
        <f>"Q" &amp; CHOOSE(MONTH(Sales!$A360), "1", "1", "1", "2", "2", "2", "3", "3", "3", "4", "4", "4") &amp; "_" &amp; YEAR(Sales!$A360)</f>
        <v>Q1_2025</v>
      </c>
      <c r="D360" s="80" t="s">
        <v>63</v>
      </c>
      <c r="E360" s="81" t="s">
        <v>14</v>
      </c>
      <c r="F360" s="82" t="s">
        <v>15</v>
      </c>
      <c r="G360" s="82" t="s">
        <v>24</v>
      </c>
      <c r="H360" s="82" t="s">
        <v>20</v>
      </c>
      <c r="I360" s="82" t="s">
        <v>25</v>
      </c>
      <c r="J360" s="82">
        <v>1</v>
      </c>
      <c r="K360" s="82" t="s">
        <v>22</v>
      </c>
      <c r="L360" s="83">
        <v>3</v>
      </c>
      <c r="M360" s="84">
        <v>369</v>
      </c>
      <c r="N360" s="85">
        <v>237</v>
      </c>
    </row>
    <row r="361" spans="1:14" ht="14.25" customHeight="1" x14ac:dyDescent="0.25">
      <c r="A361" s="78">
        <v>45732</v>
      </c>
      <c r="B361" s="79">
        <v>0.90347222222222223</v>
      </c>
      <c r="C361" s="78" t="str">
        <f>"Q" &amp; CHOOSE(MONTH(Sales!$A361), "1", "1", "1", "2", "2", "2", "3", "3", "3", "4", "4", "4") &amp; "_" &amp; YEAR(Sales!$A361)</f>
        <v>Q1_2025</v>
      </c>
      <c r="D361" s="80" t="s">
        <v>58</v>
      </c>
      <c r="E361" s="81" t="s">
        <v>14</v>
      </c>
      <c r="F361" s="82" t="s">
        <v>15</v>
      </c>
      <c r="G361" s="82" t="s">
        <v>24</v>
      </c>
      <c r="H361" s="82" t="s">
        <v>20</v>
      </c>
      <c r="I361" s="82" t="s">
        <v>25</v>
      </c>
      <c r="J361" s="82">
        <v>1</v>
      </c>
      <c r="K361" s="82" t="s">
        <v>22</v>
      </c>
      <c r="L361" s="83">
        <v>3</v>
      </c>
      <c r="M361" s="84">
        <v>369</v>
      </c>
      <c r="N361" s="85">
        <v>237</v>
      </c>
    </row>
    <row r="362" spans="1:14" ht="14.25" customHeight="1" x14ac:dyDescent="0.25">
      <c r="A362" s="78">
        <v>45732</v>
      </c>
      <c r="B362" s="79">
        <v>0.49375000000000002</v>
      </c>
      <c r="C362" s="78" t="str">
        <f>"Q" &amp; CHOOSE(MONTH(Sales!$A362), "1", "1", "1", "2", "2", "2", "3", "3", "3", "4", "4", "4") &amp; "_" &amp; YEAR(Sales!$A362)</f>
        <v>Q1_2025</v>
      </c>
      <c r="D362" s="80" t="s">
        <v>68</v>
      </c>
      <c r="E362" s="81" t="s">
        <v>14</v>
      </c>
      <c r="F362" s="82" t="s">
        <v>15</v>
      </c>
      <c r="G362" s="82" t="s">
        <v>24</v>
      </c>
      <c r="H362" s="82" t="s">
        <v>20</v>
      </c>
      <c r="I362" s="82" t="s">
        <v>25</v>
      </c>
      <c r="J362" s="82">
        <v>1</v>
      </c>
      <c r="K362" s="82" t="s">
        <v>22</v>
      </c>
      <c r="L362" s="83">
        <v>3</v>
      </c>
      <c r="M362" s="84">
        <v>369</v>
      </c>
      <c r="N362" s="85">
        <v>237</v>
      </c>
    </row>
    <row r="363" spans="1:14" ht="14.25" customHeight="1" x14ac:dyDescent="0.25">
      <c r="A363" s="78">
        <v>45732</v>
      </c>
      <c r="B363" s="79">
        <v>0.95833333333333337</v>
      </c>
      <c r="C363" s="78" t="str">
        <f>"Q" &amp; CHOOSE(MONTH(Sales!$A363), "1", "1", "1", "2", "2", "2", "3", "3", "3", "4", "4", "4") &amp; "_" &amp; YEAR(Sales!$A363)</f>
        <v>Q1_2025</v>
      </c>
      <c r="D363" s="80" t="s">
        <v>112</v>
      </c>
      <c r="E363" s="81" t="s">
        <v>14</v>
      </c>
      <c r="F363" s="82" t="s">
        <v>15</v>
      </c>
      <c r="G363" s="82" t="s">
        <v>35</v>
      </c>
      <c r="H363" s="82" t="s">
        <v>20</v>
      </c>
      <c r="I363" s="82" t="s">
        <v>42</v>
      </c>
      <c r="J363" s="82">
        <v>1</v>
      </c>
      <c r="K363" s="82" t="s">
        <v>22</v>
      </c>
      <c r="L363" s="83">
        <v>3</v>
      </c>
      <c r="M363" s="84">
        <v>314</v>
      </c>
      <c r="N363" s="85">
        <v>179</v>
      </c>
    </row>
    <row r="364" spans="1:14" ht="14.25" customHeight="1" x14ac:dyDescent="0.25">
      <c r="A364" s="78">
        <v>45733</v>
      </c>
      <c r="B364" s="79">
        <v>0.46180555555555558</v>
      </c>
      <c r="C364" s="78" t="str">
        <f>"Q" &amp; CHOOSE(MONTH(Sales!$A364), "1", "1", "1", "2", "2", "2", "3", "3", "3", "4", "4", "4") &amp; "_" &amp; YEAR(Sales!$A364)</f>
        <v>Q1_2025</v>
      </c>
      <c r="D364" s="80" t="s">
        <v>60</v>
      </c>
      <c r="E364" s="81" t="s">
        <v>14</v>
      </c>
      <c r="F364" s="82" t="s">
        <v>15</v>
      </c>
      <c r="G364" s="82" t="s">
        <v>87</v>
      </c>
      <c r="H364" s="82" t="s">
        <v>17</v>
      </c>
      <c r="I364" s="82" t="s">
        <v>88</v>
      </c>
      <c r="J364" s="82">
        <v>1</v>
      </c>
      <c r="K364" s="82" t="s">
        <v>22</v>
      </c>
      <c r="L364" s="83">
        <v>1</v>
      </c>
      <c r="M364" s="84">
        <v>881</v>
      </c>
      <c r="N364" s="85">
        <v>584</v>
      </c>
    </row>
    <row r="365" spans="1:14" ht="14.25" customHeight="1" x14ac:dyDescent="0.25">
      <c r="A365" s="78">
        <v>45733</v>
      </c>
      <c r="B365" s="79">
        <v>0.6875</v>
      </c>
      <c r="C365" s="78" t="str">
        <f>"Q" &amp; CHOOSE(MONTH(Sales!$A365), "1", "1", "1", "2", "2", "2", "3", "3", "3", "4", "4", "4") &amp; "_" &amp; YEAR(Sales!$A365)</f>
        <v>Q1_2025</v>
      </c>
      <c r="D365" s="80" t="s">
        <v>60</v>
      </c>
      <c r="E365" s="81" t="s">
        <v>14</v>
      </c>
      <c r="F365" s="82" t="s">
        <v>15</v>
      </c>
      <c r="G365" s="82" t="s">
        <v>24</v>
      </c>
      <c r="H365" s="82" t="s">
        <v>20</v>
      </c>
      <c r="I365" s="82" t="s">
        <v>25</v>
      </c>
      <c r="J365" s="82">
        <v>1</v>
      </c>
      <c r="K365" s="82" t="s">
        <v>22</v>
      </c>
      <c r="L365" s="83">
        <v>3</v>
      </c>
      <c r="M365" s="84">
        <v>368</v>
      </c>
      <c r="N365" s="85">
        <v>236</v>
      </c>
    </row>
    <row r="366" spans="1:14" ht="14.25" customHeight="1" x14ac:dyDescent="0.25">
      <c r="A366" s="78">
        <v>45733</v>
      </c>
      <c r="B366" s="79">
        <v>0.73055555555555551</v>
      </c>
      <c r="C366" s="78" t="str">
        <f>"Q" &amp; CHOOSE(MONTH(Sales!$A366), "1", "1", "1", "2", "2", "2", "3", "3", "3", "4", "4", "4") &amp; "_" &amp; YEAR(Sales!$A366)</f>
        <v>Q1_2025</v>
      </c>
      <c r="D366" s="80" t="s">
        <v>68</v>
      </c>
      <c r="E366" s="81" t="s">
        <v>14</v>
      </c>
      <c r="F366" s="82" t="s">
        <v>15</v>
      </c>
      <c r="G366" s="82" t="s">
        <v>103</v>
      </c>
      <c r="H366" s="82" t="s">
        <v>20</v>
      </c>
      <c r="I366" s="82" t="s">
        <v>104</v>
      </c>
      <c r="J366" s="82">
        <v>1</v>
      </c>
      <c r="K366" s="82" t="s">
        <v>22</v>
      </c>
      <c r="L366" s="83">
        <v>3</v>
      </c>
      <c r="M366" s="84">
        <v>1459</v>
      </c>
      <c r="N366" s="85">
        <v>1014</v>
      </c>
    </row>
    <row r="367" spans="1:14" ht="14.25" customHeight="1" x14ac:dyDescent="0.25">
      <c r="A367" s="78">
        <v>45733</v>
      </c>
      <c r="B367" s="79">
        <v>0.75972222222222219</v>
      </c>
      <c r="C367" s="78" t="str">
        <f>"Q" &amp; CHOOSE(MONTH(Sales!$A367), "1", "1", "1", "2", "2", "2", "3", "3", "3", "4", "4", "4") &amp; "_" &amp; YEAR(Sales!$A367)</f>
        <v>Q1_2025</v>
      </c>
      <c r="D367" s="80" t="s">
        <v>58</v>
      </c>
      <c r="E367" s="81" t="s">
        <v>14</v>
      </c>
      <c r="F367" s="82" t="s">
        <v>15</v>
      </c>
      <c r="G367" s="82" t="s">
        <v>93</v>
      </c>
      <c r="H367" s="82" t="s">
        <v>17</v>
      </c>
      <c r="I367" s="82" t="s">
        <v>94</v>
      </c>
      <c r="J367" s="82">
        <v>1</v>
      </c>
      <c r="K367" s="82" t="s">
        <v>22</v>
      </c>
      <c r="L367" s="83">
        <v>1</v>
      </c>
      <c r="M367" s="84">
        <v>269</v>
      </c>
      <c r="N367" s="85">
        <v>115</v>
      </c>
    </row>
    <row r="368" spans="1:14" ht="14.25" customHeight="1" x14ac:dyDescent="0.25">
      <c r="A368" s="78">
        <v>45733</v>
      </c>
      <c r="B368" s="79">
        <v>0.8125</v>
      </c>
      <c r="C368" s="78" t="str">
        <f>"Q" &amp; CHOOSE(MONTH(Sales!$A368), "1", "1", "1", "2", "2", "2", "3", "3", "3", "4", "4", "4") &amp; "_" &amp; YEAR(Sales!$A368)</f>
        <v>Q1_2025</v>
      </c>
      <c r="D368" s="80" t="s">
        <v>60</v>
      </c>
      <c r="E368" s="81" t="s">
        <v>14</v>
      </c>
      <c r="F368" s="82" t="s">
        <v>15</v>
      </c>
      <c r="G368" s="82" t="s">
        <v>87</v>
      </c>
      <c r="H368" s="82" t="s">
        <v>17</v>
      </c>
      <c r="I368" s="82" t="s">
        <v>88</v>
      </c>
      <c r="J368" s="82">
        <v>1</v>
      </c>
      <c r="K368" s="82" t="s">
        <v>22</v>
      </c>
      <c r="L368" s="83">
        <v>1</v>
      </c>
      <c r="M368" s="84">
        <v>899</v>
      </c>
      <c r="N368" s="85">
        <v>588</v>
      </c>
    </row>
    <row r="369" spans="1:14" ht="14.25" customHeight="1" x14ac:dyDescent="0.25">
      <c r="A369" s="78">
        <v>45733</v>
      </c>
      <c r="B369" s="79">
        <v>0.94791666666666663</v>
      </c>
      <c r="C369" s="78" t="str">
        <f>"Q" &amp; CHOOSE(MONTH(Sales!$A369), "1", "1", "1", "2", "2", "2", "3", "3", "3", "4", "4", "4") &amp; "_" &amp; YEAR(Sales!$A369)</f>
        <v>Q1_2025</v>
      </c>
      <c r="D369" s="80" t="s">
        <v>57</v>
      </c>
      <c r="E369" s="81" t="s">
        <v>14</v>
      </c>
      <c r="F369" s="82" t="s">
        <v>15</v>
      </c>
      <c r="G369" s="82" t="s">
        <v>24</v>
      </c>
      <c r="H369" s="82" t="s">
        <v>20</v>
      </c>
      <c r="I369" s="82" t="s">
        <v>26</v>
      </c>
      <c r="J369" s="82">
        <v>1</v>
      </c>
      <c r="K369" s="82" t="s">
        <v>22</v>
      </c>
      <c r="L369" s="83">
        <v>6</v>
      </c>
      <c r="M369" s="84">
        <v>629</v>
      </c>
      <c r="N369" s="85">
        <v>422</v>
      </c>
    </row>
    <row r="370" spans="1:14" ht="14.25" customHeight="1" x14ac:dyDescent="0.25">
      <c r="A370" s="78">
        <v>45733</v>
      </c>
      <c r="B370" s="79">
        <v>0.87708333333333333</v>
      </c>
      <c r="C370" s="78" t="str">
        <f>"Q" &amp; CHOOSE(MONTH(Sales!$A370), "1", "1", "1", "2", "2", "2", "3", "3", "3", "4", "4", "4") &amp; "_" &amp; YEAR(Sales!$A370)</f>
        <v>Q1_2025</v>
      </c>
      <c r="D370" s="80" t="s">
        <v>58</v>
      </c>
      <c r="E370" s="81" t="s">
        <v>14</v>
      </c>
      <c r="F370" s="82" t="s">
        <v>15</v>
      </c>
      <c r="G370" s="82" t="s">
        <v>16</v>
      </c>
      <c r="H370" s="82" t="s">
        <v>105</v>
      </c>
      <c r="I370" s="82" t="s">
        <v>18</v>
      </c>
      <c r="J370" s="82">
        <v>2</v>
      </c>
      <c r="K370" s="82" t="s">
        <v>22</v>
      </c>
      <c r="L370" s="83">
        <v>2</v>
      </c>
      <c r="M370" s="84">
        <v>502</v>
      </c>
      <c r="N370" s="85">
        <v>311</v>
      </c>
    </row>
    <row r="371" spans="1:14" ht="14.25" customHeight="1" x14ac:dyDescent="0.25">
      <c r="A371" s="78">
        <v>45734</v>
      </c>
      <c r="B371" s="79">
        <v>0.41805555555555557</v>
      </c>
      <c r="C371" s="78" t="str">
        <f>"Q" &amp; CHOOSE(MONTH(Sales!$A371), "1", "1", "1", "2", "2", "2", "3", "3", "3", "4", "4", "4") &amp; "_" &amp; YEAR(Sales!$A371)</f>
        <v>Q1_2025</v>
      </c>
      <c r="D371" s="80" t="s">
        <v>58</v>
      </c>
      <c r="E371" s="81" t="s">
        <v>14</v>
      </c>
      <c r="F371" s="82" t="s">
        <v>15</v>
      </c>
      <c r="G371" s="82" t="s">
        <v>93</v>
      </c>
      <c r="H371" s="82" t="s">
        <v>17</v>
      </c>
      <c r="I371" s="82" t="s">
        <v>94</v>
      </c>
      <c r="J371" s="82">
        <v>1</v>
      </c>
      <c r="K371" s="82" t="s">
        <v>22</v>
      </c>
      <c r="L371" s="83">
        <v>1</v>
      </c>
      <c r="M371" s="84">
        <v>269</v>
      </c>
      <c r="N371" s="85">
        <v>115</v>
      </c>
    </row>
    <row r="372" spans="1:14" ht="14.25" customHeight="1" x14ac:dyDescent="0.25">
      <c r="A372" s="78">
        <v>45734</v>
      </c>
      <c r="B372" s="79">
        <v>0.44305555555555554</v>
      </c>
      <c r="C372" s="78" t="str">
        <f>"Q" &amp; CHOOSE(MONTH(Sales!$A372), "1", "1", "1", "2", "2", "2", "3", "3", "3", "4", "4", "4") &amp; "_" &amp; YEAR(Sales!$A372)</f>
        <v>Q1_2025</v>
      </c>
      <c r="D372" s="80" t="s">
        <v>60</v>
      </c>
      <c r="E372" s="81" t="s">
        <v>14</v>
      </c>
      <c r="F372" s="82" t="s">
        <v>15</v>
      </c>
      <c r="G372" s="82" t="s">
        <v>87</v>
      </c>
      <c r="H372" s="82" t="s">
        <v>17</v>
      </c>
      <c r="I372" s="82" t="s">
        <v>88</v>
      </c>
      <c r="J372" s="82">
        <v>1</v>
      </c>
      <c r="K372" s="82" t="s">
        <v>22</v>
      </c>
      <c r="L372" s="83">
        <v>1</v>
      </c>
      <c r="M372" s="84">
        <v>949</v>
      </c>
      <c r="N372" s="85">
        <v>639</v>
      </c>
    </row>
    <row r="373" spans="1:14" ht="14.25" customHeight="1" x14ac:dyDescent="0.25">
      <c r="A373" s="78">
        <v>45734</v>
      </c>
      <c r="B373" s="79">
        <v>0.44791666666666669</v>
      </c>
      <c r="C373" s="78" t="str">
        <f>"Q" &amp; CHOOSE(MONTH(Sales!$A373), "1", "1", "1", "2", "2", "2", "3", "3", "3", "4", "4", "4") &amp; "_" &amp; YEAR(Sales!$A373)</f>
        <v>Q1_2025</v>
      </c>
      <c r="D373" s="80" t="s">
        <v>58</v>
      </c>
      <c r="E373" s="81" t="s">
        <v>14</v>
      </c>
      <c r="F373" s="82" t="s">
        <v>15</v>
      </c>
      <c r="G373" s="82" t="s">
        <v>87</v>
      </c>
      <c r="H373" s="82" t="s">
        <v>17</v>
      </c>
      <c r="I373" s="82" t="s">
        <v>88</v>
      </c>
      <c r="J373" s="82">
        <v>1</v>
      </c>
      <c r="K373" s="82" t="s">
        <v>22</v>
      </c>
      <c r="L373" s="83">
        <v>1</v>
      </c>
      <c r="M373" s="84">
        <v>949</v>
      </c>
      <c r="N373" s="85">
        <v>639</v>
      </c>
    </row>
    <row r="374" spans="1:14" ht="14.25" customHeight="1" x14ac:dyDescent="0.25">
      <c r="A374" s="78">
        <v>45734</v>
      </c>
      <c r="B374" s="79">
        <v>0.49791666666666667</v>
      </c>
      <c r="C374" s="78" t="str">
        <f>"Q" &amp; CHOOSE(MONTH(Sales!$A374), "1", "1", "1", "2", "2", "2", "3", "3", "3", "4", "4", "4") &amp; "_" &amp; YEAR(Sales!$A374)</f>
        <v>Q1_2025</v>
      </c>
      <c r="D374" s="80" t="s">
        <v>58</v>
      </c>
      <c r="E374" s="81" t="s">
        <v>14</v>
      </c>
      <c r="F374" s="82" t="s">
        <v>15</v>
      </c>
      <c r="G374" s="82" t="s">
        <v>87</v>
      </c>
      <c r="H374" s="82" t="s">
        <v>17</v>
      </c>
      <c r="I374" s="82" t="s">
        <v>88</v>
      </c>
      <c r="J374" s="82">
        <v>1</v>
      </c>
      <c r="K374" s="82" t="s">
        <v>22</v>
      </c>
      <c r="L374" s="83">
        <v>1</v>
      </c>
      <c r="M374" s="84">
        <v>949</v>
      </c>
      <c r="N374" s="85">
        <v>639</v>
      </c>
    </row>
    <row r="375" spans="1:14" ht="14.25" customHeight="1" x14ac:dyDescent="0.25">
      <c r="A375" s="78">
        <v>45734</v>
      </c>
      <c r="B375" s="79">
        <v>0.50972222222222219</v>
      </c>
      <c r="C375" s="78" t="str">
        <f>"Q" &amp; CHOOSE(MONTH(Sales!$A375), "1", "1", "1", "2", "2", "2", "3", "3", "3", "4", "4", "4") &amp; "_" &amp; YEAR(Sales!$A375)</f>
        <v>Q1_2025</v>
      </c>
      <c r="D375" s="80" t="s">
        <v>71</v>
      </c>
      <c r="E375" s="81" t="s">
        <v>14</v>
      </c>
      <c r="F375" s="82" t="s">
        <v>15</v>
      </c>
      <c r="G375" s="82" t="s">
        <v>24</v>
      </c>
      <c r="H375" s="82" t="s">
        <v>20</v>
      </c>
      <c r="I375" s="82" t="s">
        <v>25</v>
      </c>
      <c r="J375" s="82">
        <v>1</v>
      </c>
      <c r="K375" s="82" t="s">
        <v>22</v>
      </c>
      <c r="L375" s="83">
        <v>3</v>
      </c>
      <c r="M375" s="84">
        <v>368</v>
      </c>
      <c r="N375" s="85">
        <v>236</v>
      </c>
    </row>
    <row r="376" spans="1:14" ht="14.25" customHeight="1" x14ac:dyDescent="0.25">
      <c r="A376" s="78">
        <v>45734</v>
      </c>
      <c r="B376" s="79">
        <v>0.53263888888888888</v>
      </c>
      <c r="C376" s="78" t="str">
        <f>"Q" &amp; CHOOSE(MONTH(Sales!$A376), "1", "1", "1", "2", "2", "2", "3", "3", "3", "4", "4", "4") &amp; "_" &amp; YEAR(Sales!$A376)</f>
        <v>Q1_2025</v>
      </c>
      <c r="D376" s="80" t="s">
        <v>60</v>
      </c>
      <c r="E376" s="81" t="s">
        <v>14</v>
      </c>
      <c r="F376" s="82" t="s">
        <v>15</v>
      </c>
      <c r="G376" s="82" t="s">
        <v>87</v>
      </c>
      <c r="H376" s="82" t="s">
        <v>17</v>
      </c>
      <c r="I376" s="82" t="s">
        <v>88</v>
      </c>
      <c r="J376" s="82">
        <v>1</v>
      </c>
      <c r="K376" s="82" t="s">
        <v>22</v>
      </c>
      <c r="L376" s="83">
        <v>1</v>
      </c>
      <c r="M376" s="84">
        <v>949</v>
      </c>
      <c r="N376" s="85">
        <v>639</v>
      </c>
    </row>
    <row r="377" spans="1:14" ht="14.25" customHeight="1" x14ac:dyDescent="0.25">
      <c r="A377" s="78">
        <v>45734</v>
      </c>
      <c r="B377" s="79">
        <v>0.57708333333333328</v>
      </c>
      <c r="C377" s="78" t="str">
        <f>"Q" &amp; CHOOSE(MONTH(Sales!$A377), "1", "1", "1", "2", "2", "2", "3", "3", "3", "4", "4", "4") &amp; "_" &amp; YEAR(Sales!$A377)</f>
        <v>Q1_2025</v>
      </c>
      <c r="D377" s="80" t="s">
        <v>60</v>
      </c>
      <c r="E377" s="81" t="s">
        <v>14</v>
      </c>
      <c r="F377" s="82" t="s">
        <v>15</v>
      </c>
      <c r="G377" s="82" t="s">
        <v>24</v>
      </c>
      <c r="H377" s="82" t="s">
        <v>20</v>
      </c>
      <c r="I377" s="82" t="s">
        <v>52</v>
      </c>
      <c r="J377" s="82">
        <v>2</v>
      </c>
      <c r="K377" s="82" t="s">
        <v>22</v>
      </c>
      <c r="L377" s="83">
        <v>10</v>
      </c>
      <c r="M377" s="84">
        <v>1084</v>
      </c>
      <c r="N377" s="85">
        <v>782</v>
      </c>
    </row>
    <row r="378" spans="1:14" ht="14.25" customHeight="1" x14ac:dyDescent="0.25">
      <c r="A378" s="78">
        <v>45734</v>
      </c>
      <c r="B378" s="79">
        <v>0.73055555555555551</v>
      </c>
      <c r="C378" s="78" t="str">
        <f>"Q" &amp; CHOOSE(MONTH(Sales!$A378), "1", "1", "1", "2", "2", "2", "3", "3", "3", "4", "4", "4") &amp; "_" &amp; YEAR(Sales!$A378)</f>
        <v>Q1_2025</v>
      </c>
      <c r="D378" s="80" t="s">
        <v>64</v>
      </c>
      <c r="E378" s="81" t="s">
        <v>14</v>
      </c>
      <c r="F378" s="82" t="s">
        <v>15</v>
      </c>
      <c r="G378" s="82" t="s">
        <v>24</v>
      </c>
      <c r="H378" s="82" t="s">
        <v>20</v>
      </c>
      <c r="I378" s="82" t="s">
        <v>25</v>
      </c>
      <c r="J378" s="82">
        <v>1</v>
      </c>
      <c r="K378" s="82" t="s">
        <v>22</v>
      </c>
      <c r="L378" s="83">
        <v>3</v>
      </c>
      <c r="M378" s="84">
        <v>363</v>
      </c>
      <c r="N378" s="85">
        <v>233</v>
      </c>
    </row>
    <row r="379" spans="1:14" ht="14.25" customHeight="1" x14ac:dyDescent="0.25">
      <c r="A379" s="78">
        <v>45735</v>
      </c>
      <c r="B379" s="79">
        <v>0.51388888888888884</v>
      </c>
      <c r="C379" s="78" t="str">
        <f>"Q" &amp; CHOOSE(MONTH(Sales!$A379), "1", "1", "1", "2", "2", "2", "3", "3", "3", "4", "4", "4") &amp; "_" &amp; YEAR(Sales!$A379)</f>
        <v>Q1_2025</v>
      </c>
      <c r="D379" s="80" t="s">
        <v>60</v>
      </c>
      <c r="E379" s="81" t="s">
        <v>14</v>
      </c>
      <c r="F379" s="82" t="s">
        <v>15</v>
      </c>
      <c r="G379" s="82" t="s">
        <v>93</v>
      </c>
      <c r="H379" s="82" t="s">
        <v>17</v>
      </c>
      <c r="I379" s="82" t="s">
        <v>94</v>
      </c>
      <c r="J379" s="82">
        <v>1</v>
      </c>
      <c r="K379" s="82" t="s">
        <v>22</v>
      </c>
      <c r="L379" s="83">
        <v>1</v>
      </c>
      <c r="M379" s="84">
        <v>269</v>
      </c>
      <c r="N379" s="85">
        <v>115</v>
      </c>
    </row>
    <row r="380" spans="1:14" ht="14.25" customHeight="1" x14ac:dyDescent="0.25">
      <c r="A380" s="78">
        <v>45735</v>
      </c>
      <c r="B380" s="79">
        <v>0.6118055555555556</v>
      </c>
      <c r="C380" s="78" t="str">
        <f>"Q" &amp; CHOOSE(MONTH(Sales!$A380), "1", "1", "1", "2", "2", "2", "3", "3", "3", "4", "4", "4") &amp; "_" &amp; YEAR(Sales!$A380)</f>
        <v>Q1_2025</v>
      </c>
      <c r="D380" s="80" t="s">
        <v>91</v>
      </c>
      <c r="E380" s="81" t="s">
        <v>14</v>
      </c>
      <c r="F380" s="82" t="s">
        <v>15</v>
      </c>
      <c r="G380" s="82" t="s">
        <v>24</v>
      </c>
      <c r="H380" s="82" t="s">
        <v>20</v>
      </c>
      <c r="I380" s="82" t="s">
        <v>25</v>
      </c>
      <c r="J380" s="82">
        <v>1</v>
      </c>
      <c r="K380" s="82" t="s">
        <v>22</v>
      </c>
      <c r="L380" s="83">
        <v>3</v>
      </c>
      <c r="M380" s="84">
        <v>364</v>
      </c>
      <c r="N380" s="85">
        <v>234</v>
      </c>
    </row>
    <row r="381" spans="1:14" ht="14.25" customHeight="1" x14ac:dyDescent="0.25">
      <c r="A381" s="78">
        <v>45735</v>
      </c>
      <c r="B381" s="79">
        <v>0.61736111111111114</v>
      </c>
      <c r="C381" s="78" t="str">
        <f>"Q" &amp; CHOOSE(MONTH(Sales!$A381), "1", "1", "1", "2", "2", "2", "3", "3", "3", "4", "4", "4") &amp; "_" &amp; YEAR(Sales!$A381)</f>
        <v>Q1_2025</v>
      </c>
      <c r="D381" s="80" t="s">
        <v>60</v>
      </c>
      <c r="E381" s="81" t="s">
        <v>14</v>
      </c>
      <c r="F381" s="82" t="s">
        <v>15</v>
      </c>
      <c r="G381" s="82" t="s">
        <v>102</v>
      </c>
      <c r="H381" s="82" t="s">
        <v>17</v>
      </c>
      <c r="I381" s="82" t="s">
        <v>240</v>
      </c>
      <c r="J381" s="82">
        <v>1</v>
      </c>
      <c r="K381" s="82" t="s">
        <v>22</v>
      </c>
      <c r="L381" s="83">
        <v>1</v>
      </c>
      <c r="M381" s="84">
        <v>424</v>
      </c>
      <c r="N381" s="85">
        <v>240</v>
      </c>
    </row>
    <row r="382" spans="1:14" ht="14.25" customHeight="1" x14ac:dyDescent="0.25">
      <c r="A382" s="78">
        <v>45735</v>
      </c>
      <c r="B382" s="79">
        <v>0.72569444444444442</v>
      </c>
      <c r="C382" s="78" t="str">
        <f>"Q" &amp; CHOOSE(MONTH(Sales!$A382), "1", "1", "1", "2", "2", "2", "3", "3", "3", "4", "4", "4") &amp; "_" &amp; YEAR(Sales!$A382)</f>
        <v>Q1_2025</v>
      </c>
      <c r="D382" s="80" t="s">
        <v>58</v>
      </c>
      <c r="E382" s="81" t="s">
        <v>14</v>
      </c>
      <c r="F382" s="82" t="s">
        <v>15</v>
      </c>
      <c r="G382" s="82" t="s">
        <v>24</v>
      </c>
      <c r="H382" s="82" t="s">
        <v>20</v>
      </c>
      <c r="I382" s="82" t="s">
        <v>25</v>
      </c>
      <c r="J382" s="82">
        <v>1</v>
      </c>
      <c r="K382" s="82" t="s">
        <v>22</v>
      </c>
      <c r="L382" s="83">
        <v>3</v>
      </c>
      <c r="M382" s="84">
        <v>369</v>
      </c>
      <c r="N382" s="85">
        <v>239</v>
      </c>
    </row>
    <row r="383" spans="1:14" ht="14.25" customHeight="1" x14ac:dyDescent="0.25">
      <c r="A383" s="78">
        <v>45735</v>
      </c>
      <c r="B383" s="79">
        <v>0.87013888888888891</v>
      </c>
      <c r="C383" s="78" t="str">
        <f>"Q" &amp; CHOOSE(MONTH(Sales!$A383), "1", "1", "1", "2", "2", "2", "3", "3", "3", "4", "4", "4") &amp; "_" &amp; YEAR(Sales!$A383)</f>
        <v>Q1_2025</v>
      </c>
      <c r="D383" s="80" t="s">
        <v>60</v>
      </c>
      <c r="E383" s="81" t="s">
        <v>14</v>
      </c>
      <c r="F383" s="82" t="s">
        <v>15</v>
      </c>
      <c r="G383" s="82" t="s">
        <v>93</v>
      </c>
      <c r="H383" s="82" t="s">
        <v>17</v>
      </c>
      <c r="I383" s="82" t="s">
        <v>94</v>
      </c>
      <c r="J383" s="82">
        <v>1</v>
      </c>
      <c r="K383" s="82" t="s">
        <v>22</v>
      </c>
      <c r="L383" s="83">
        <v>1</v>
      </c>
      <c r="M383" s="84">
        <v>264</v>
      </c>
      <c r="N383" s="85">
        <v>111</v>
      </c>
    </row>
    <row r="384" spans="1:14" ht="14.25" customHeight="1" x14ac:dyDescent="0.25">
      <c r="A384" s="78">
        <v>45735</v>
      </c>
      <c r="B384" s="79">
        <v>0.91249999999999998</v>
      </c>
      <c r="C384" s="78" t="str">
        <f>"Q" &amp; CHOOSE(MONTH(Sales!$A384), "1", "1", "1", "2", "2", "2", "3", "3", "3", "4", "4", "4") &amp; "_" &amp; YEAR(Sales!$A384)</f>
        <v>Q1_2025</v>
      </c>
      <c r="D384" s="80" t="s">
        <v>68</v>
      </c>
      <c r="E384" s="81" t="s">
        <v>14</v>
      </c>
      <c r="F384" s="82" t="s">
        <v>15</v>
      </c>
      <c r="G384" s="82" t="s">
        <v>87</v>
      </c>
      <c r="H384" s="82" t="s">
        <v>17</v>
      </c>
      <c r="I384" s="82" t="s">
        <v>88</v>
      </c>
      <c r="J384" s="82">
        <v>1</v>
      </c>
      <c r="K384" s="82" t="s">
        <v>22</v>
      </c>
      <c r="L384" s="83">
        <v>1</v>
      </c>
      <c r="M384" s="84">
        <v>948</v>
      </c>
      <c r="N384" s="85">
        <v>638</v>
      </c>
    </row>
    <row r="385" spans="1:14" ht="14.25" customHeight="1" x14ac:dyDescent="0.25">
      <c r="A385" s="78">
        <v>45737</v>
      </c>
      <c r="B385" s="79">
        <v>0.30694444444444446</v>
      </c>
      <c r="C385" s="78" t="str">
        <f>"Q" &amp; CHOOSE(MONTH(Sales!$A385), "1", "1", "1", "2", "2", "2", "3", "3", "3", "4", "4", "4") &amp; "_" &amp; YEAR(Sales!$A385)</f>
        <v>Q1_2025</v>
      </c>
      <c r="D385" s="80" t="s">
        <v>68</v>
      </c>
      <c r="E385" s="81" t="s">
        <v>14</v>
      </c>
      <c r="F385" s="82" t="s">
        <v>15</v>
      </c>
      <c r="G385" s="82" t="s">
        <v>28</v>
      </c>
      <c r="H385" s="82" t="s">
        <v>17</v>
      </c>
      <c r="I385" s="82" t="s">
        <v>86</v>
      </c>
      <c r="J385" s="82">
        <v>1</v>
      </c>
      <c r="K385" s="82" t="s">
        <v>22</v>
      </c>
      <c r="L385" s="83">
        <v>1</v>
      </c>
      <c r="M385" s="84">
        <v>899</v>
      </c>
      <c r="N385" s="85">
        <v>625</v>
      </c>
    </row>
    <row r="386" spans="1:14" ht="14.25" customHeight="1" x14ac:dyDescent="0.25">
      <c r="A386" s="78">
        <v>45737</v>
      </c>
      <c r="B386" s="79">
        <v>0.40625</v>
      </c>
      <c r="C386" s="78" t="str">
        <f>"Q" &amp; CHOOSE(MONTH(Sales!$A386), "1", "1", "1", "2", "2", "2", "3", "3", "3", "4", "4", "4") &amp; "_" &amp; YEAR(Sales!$A386)</f>
        <v>Q1_2025</v>
      </c>
      <c r="D386" s="80" t="s">
        <v>69</v>
      </c>
      <c r="E386" s="81" t="s">
        <v>14</v>
      </c>
      <c r="F386" s="82" t="s">
        <v>15</v>
      </c>
      <c r="G386" s="82" t="s">
        <v>24</v>
      </c>
      <c r="H386" s="82" t="s">
        <v>20</v>
      </c>
      <c r="I386" s="82" t="s">
        <v>81</v>
      </c>
      <c r="J386" s="82">
        <v>1</v>
      </c>
      <c r="K386" s="82" t="s">
        <v>22</v>
      </c>
      <c r="L386" s="83">
        <v>9</v>
      </c>
      <c r="M386" s="84">
        <v>789</v>
      </c>
      <c r="N386" s="85">
        <v>561</v>
      </c>
    </row>
    <row r="387" spans="1:14" ht="14.25" customHeight="1" x14ac:dyDescent="0.25">
      <c r="A387" s="78">
        <v>45737</v>
      </c>
      <c r="B387" s="79">
        <v>0.55208333333333337</v>
      </c>
      <c r="C387" s="78" t="str">
        <f>"Q" &amp; CHOOSE(MONTH(Sales!$A387), "1", "1", "1", "2", "2", "2", "3", "3", "3", "4", "4", "4") &amp; "_" &amp; YEAR(Sales!$A387)</f>
        <v>Q1_2025</v>
      </c>
      <c r="D387" s="80" t="s">
        <v>75</v>
      </c>
      <c r="E387" s="81" t="s">
        <v>14</v>
      </c>
      <c r="F387" s="82" t="s">
        <v>15</v>
      </c>
      <c r="G387" s="82" t="s">
        <v>24</v>
      </c>
      <c r="H387" s="82" t="s">
        <v>20</v>
      </c>
      <c r="I387" s="82" t="s">
        <v>52</v>
      </c>
      <c r="J387" s="82">
        <v>1</v>
      </c>
      <c r="K387" s="82" t="s">
        <v>22</v>
      </c>
      <c r="L387" s="83">
        <v>5</v>
      </c>
      <c r="M387" s="84">
        <v>559</v>
      </c>
      <c r="N387" s="85">
        <v>361</v>
      </c>
    </row>
    <row r="388" spans="1:14" ht="14.25" customHeight="1" x14ac:dyDescent="0.25">
      <c r="A388" s="78">
        <v>45737</v>
      </c>
      <c r="B388" s="79">
        <v>0.69097222222222221</v>
      </c>
      <c r="C388" s="78" t="str">
        <f>"Q" &amp; CHOOSE(MONTH(Sales!$A388), "1", "1", "1", "2", "2", "2", "3", "3", "3", "4", "4", "4") &amp; "_" &amp; YEAR(Sales!$A388)</f>
        <v>Q1_2025</v>
      </c>
      <c r="D388" s="80" t="s">
        <v>60</v>
      </c>
      <c r="E388" s="81" t="s">
        <v>14</v>
      </c>
      <c r="F388" s="82" t="s">
        <v>15</v>
      </c>
      <c r="G388" s="82" t="s">
        <v>24</v>
      </c>
      <c r="H388" s="82" t="s">
        <v>20</v>
      </c>
      <c r="I388" s="82" t="s">
        <v>25</v>
      </c>
      <c r="J388" s="82">
        <v>1</v>
      </c>
      <c r="K388" s="82" t="s">
        <v>22</v>
      </c>
      <c r="L388" s="83">
        <v>3</v>
      </c>
      <c r="M388" s="84">
        <v>353</v>
      </c>
      <c r="N388" s="85">
        <v>223</v>
      </c>
    </row>
    <row r="389" spans="1:14" ht="14.25" customHeight="1" x14ac:dyDescent="0.25">
      <c r="A389" s="78">
        <v>45737</v>
      </c>
      <c r="B389" s="79">
        <v>0.73263888888888884</v>
      </c>
      <c r="C389" s="78" t="str">
        <f>"Q" &amp; CHOOSE(MONTH(Sales!$A389), "1", "1", "1", "2", "2", "2", "3", "3", "3", "4", "4", "4") &amp; "_" &amp; YEAR(Sales!$A389)</f>
        <v>Q1_2025</v>
      </c>
      <c r="D389" s="80" t="s">
        <v>68</v>
      </c>
      <c r="E389" s="81" t="s">
        <v>14</v>
      </c>
      <c r="F389" s="82" t="s">
        <v>15</v>
      </c>
      <c r="G389" s="82" t="s">
        <v>102</v>
      </c>
      <c r="H389" s="82" t="s">
        <v>17</v>
      </c>
      <c r="I389" s="82" t="s">
        <v>240</v>
      </c>
      <c r="J389" s="82">
        <v>1</v>
      </c>
      <c r="K389" s="82" t="s">
        <v>22</v>
      </c>
      <c r="L389" s="83">
        <v>1</v>
      </c>
      <c r="M389" s="84">
        <v>423</v>
      </c>
      <c r="N389" s="85">
        <v>239</v>
      </c>
    </row>
    <row r="390" spans="1:14" ht="14.25" customHeight="1" x14ac:dyDescent="0.25">
      <c r="A390" s="78">
        <v>45737</v>
      </c>
      <c r="B390" s="79">
        <v>0.78402777777777777</v>
      </c>
      <c r="C390" s="78" t="str">
        <f>"Q" &amp; CHOOSE(MONTH(Sales!$A390), "1", "1", "1", "2", "2", "2", "3", "3", "3", "4", "4", "4") &amp; "_" &amp; YEAR(Sales!$A390)</f>
        <v>Q1_2025</v>
      </c>
      <c r="D390" s="80" t="s">
        <v>68</v>
      </c>
      <c r="E390" s="81" t="s">
        <v>14</v>
      </c>
      <c r="F390" s="82" t="s">
        <v>15</v>
      </c>
      <c r="G390" s="82" t="s">
        <v>87</v>
      </c>
      <c r="H390" s="82" t="s">
        <v>17</v>
      </c>
      <c r="I390" s="82" t="s">
        <v>88</v>
      </c>
      <c r="J390" s="82">
        <v>1</v>
      </c>
      <c r="K390" s="82" t="s">
        <v>22</v>
      </c>
      <c r="L390" s="83">
        <v>1</v>
      </c>
      <c r="M390" s="84">
        <v>930</v>
      </c>
      <c r="N390" s="85">
        <v>630</v>
      </c>
    </row>
    <row r="391" spans="1:14" ht="14.25" customHeight="1" x14ac:dyDescent="0.25">
      <c r="A391" s="78">
        <v>45737</v>
      </c>
      <c r="B391" s="79">
        <v>0.81597222222222221</v>
      </c>
      <c r="C391" s="78" t="str">
        <f>"Q" &amp; CHOOSE(MONTH(Sales!$A391), "1", "1", "1", "2", "2", "2", "3", "3", "3", "4", "4", "4") &amp; "_" &amp; YEAR(Sales!$A391)</f>
        <v>Q1_2025</v>
      </c>
      <c r="D391" s="80" t="s">
        <v>58</v>
      </c>
      <c r="E391" s="81" t="s">
        <v>14</v>
      </c>
      <c r="F391" s="82" t="s">
        <v>15</v>
      </c>
      <c r="G391" s="82" t="s">
        <v>24</v>
      </c>
      <c r="H391" s="82" t="s">
        <v>20</v>
      </c>
      <c r="I391" s="82" t="s">
        <v>25</v>
      </c>
      <c r="J391" s="82">
        <v>1</v>
      </c>
      <c r="K391" s="82" t="s">
        <v>22</v>
      </c>
      <c r="L391" s="83">
        <v>3</v>
      </c>
      <c r="M391" s="84">
        <v>353</v>
      </c>
      <c r="N391" s="85">
        <v>223</v>
      </c>
    </row>
    <row r="392" spans="1:14" ht="14.25" customHeight="1" x14ac:dyDescent="0.25">
      <c r="A392" s="78">
        <v>45737</v>
      </c>
      <c r="B392" s="79">
        <v>0.96527777777777779</v>
      </c>
      <c r="C392" s="78" t="str">
        <f>"Q" &amp; CHOOSE(MONTH(Sales!$A392), "1", "1", "1", "2", "2", "2", "3", "3", "3", "4", "4", "4") &amp; "_" &amp; YEAR(Sales!$A392)</f>
        <v>Q1_2025</v>
      </c>
      <c r="D392" s="80" t="s">
        <v>58</v>
      </c>
      <c r="E392" s="81" t="s">
        <v>14</v>
      </c>
      <c r="F392" s="82" t="s">
        <v>15</v>
      </c>
      <c r="G392" s="82" t="s">
        <v>87</v>
      </c>
      <c r="H392" s="82" t="s">
        <v>17</v>
      </c>
      <c r="I392" s="82" t="s">
        <v>88</v>
      </c>
      <c r="J392" s="82">
        <v>1</v>
      </c>
      <c r="K392" s="82" t="s">
        <v>22</v>
      </c>
      <c r="L392" s="83">
        <v>1</v>
      </c>
      <c r="M392" s="84">
        <v>949</v>
      </c>
      <c r="N392" s="85">
        <v>639</v>
      </c>
    </row>
    <row r="393" spans="1:14" ht="14.25" customHeight="1" x14ac:dyDescent="0.25">
      <c r="A393" s="78">
        <v>45736</v>
      </c>
      <c r="B393" s="79">
        <v>0.23680555555555555</v>
      </c>
      <c r="C393" s="78" t="str">
        <f>"Q" &amp; CHOOSE(MONTH(Sales!$A393), "1", "1", "1", "2", "2", "2", "3", "3", "3", "4", "4", "4") &amp; "_" &amp; YEAR(Sales!$A393)</f>
        <v>Q1_2025</v>
      </c>
      <c r="D393" s="80" t="s">
        <v>58</v>
      </c>
      <c r="E393" s="81" t="s">
        <v>14</v>
      </c>
      <c r="F393" s="82" t="s">
        <v>15</v>
      </c>
      <c r="G393" s="82" t="s">
        <v>87</v>
      </c>
      <c r="H393" s="82" t="s">
        <v>17</v>
      </c>
      <c r="I393" s="82" t="s">
        <v>88</v>
      </c>
      <c r="J393" s="82">
        <v>1</v>
      </c>
      <c r="K393" s="82" t="s">
        <v>22</v>
      </c>
      <c r="L393" s="83">
        <v>1</v>
      </c>
      <c r="M393" s="84">
        <v>948</v>
      </c>
      <c r="N393" s="85">
        <v>638</v>
      </c>
    </row>
    <row r="394" spans="1:14" ht="14.25" customHeight="1" x14ac:dyDescent="0.25">
      <c r="A394" s="78">
        <v>45736</v>
      </c>
      <c r="B394" s="79">
        <v>0.63194444444444442</v>
      </c>
      <c r="C394" s="78" t="str">
        <f>"Q" &amp; CHOOSE(MONTH(Sales!$A394), "1", "1", "1", "2", "2", "2", "3", "3", "3", "4", "4", "4") &amp; "_" &amp; YEAR(Sales!$A394)</f>
        <v>Q1_2025</v>
      </c>
      <c r="D394" s="80" t="s">
        <v>62</v>
      </c>
      <c r="E394" s="81" t="s">
        <v>14</v>
      </c>
      <c r="F394" s="82" t="s">
        <v>15</v>
      </c>
      <c r="G394" s="82" t="s">
        <v>24</v>
      </c>
      <c r="H394" s="82" t="s">
        <v>20</v>
      </c>
      <c r="I394" s="82" t="s">
        <v>26</v>
      </c>
      <c r="J394" s="82">
        <v>1</v>
      </c>
      <c r="K394" s="82" t="s">
        <v>22</v>
      </c>
      <c r="L394" s="88">
        <v>6</v>
      </c>
      <c r="M394" s="84">
        <v>619</v>
      </c>
      <c r="N394" s="85">
        <v>373</v>
      </c>
    </row>
    <row r="395" spans="1:14" ht="14.25" customHeight="1" x14ac:dyDescent="0.25">
      <c r="A395" s="78">
        <v>45736</v>
      </c>
      <c r="B395" s="79">
        <v>0.67013888888888884</v>
      </c>
      <c r="C395" s="78" t="str">
        <f>"Q" &amp; CHOOSE(MONTH(Sales!$A395), "1", "1", "1", "2", "2", "2", "3", "3", "3", "4", "4", "4") &amp; "_" &amp; YEAR(Sales!$A395)</f>
        <v>Q1_2025</v>
      </c>
      <c r="D395" s="80" t="s">
        <v>58</v>
      </c>
      <c r="E395" s="81" t="s">
        <v>14</v>
      </c>
      <c r="F395" s="82" t="s">
        <v>15</v>
      </c>
      <c r="G395" s="82" t="s">
        <v>16</v>
      </c>
      <c r="H395" s="82" t="s">
        <v>20</v>
      </c>
      <c r="I395" s="82" t="s">
        <v>53</v>
      </c>
      <c r="J395" s="82">
        <v>1</v>
      </c>
      <c r="K395" s="82" t="s">
        <v>22</v>
      </c>
      <c r="L395" s="83">
        <v>2</v>
      </c>
      <c r="M395" s="84">
        <v>589</v>
      </c>
      <c r="N395" s="85">
        <v>387</v>
      </c>
    </row>
    <row r="396" spans="1:14" ht="14.25" customHeight="1" x14ac:dyDescent="0.25">
      <c r="A396" s="78">
        <v>45736</v>
      </c>
      <c r="B396" s="79">
        <v>0.69166666666666665</v>
      </c>
      <c r="C396" s="78" t="str">
        <f>"Q" &amp; CHOOSE(MONTH(Sales!$A396), "1", "1", "1", "2", "2", "2", "3", "3", "3", "4", "4", "4") &amp; "_" &amp; YEAR(Sales!$A396)</f>
        <v>Q1_2025</v>
      </c>
      <c r="D396" s="80" t="s">
        <v>75</v>
      </c>
      <c r="E396" s="81" t="s">
        <v>14</v>
      </c>
      <c r="F396" s="82" t="s">
        <v>15</v>
      </c>
      <c r="G396" s="82" t="s">
        <v>24</v>
      </c>
      <c r="H396" s="82" t="s">
        <v>20</v>
      </c>
      <c r="I396" s="82" t="s">
        <v>25</v>
      </c>
      <c r="J396" s="82">
        <v>1</v>
      </c>
      <c r="K396" s="82" t="s">
        <v>22</v>
      </c>
      <c r="L396" s="83">
        <v>3</v>
      </c>
      <c r="M396" s="84">
        <v>359</v>
      </c>
      <c r="N396" s="85">
        <v>230</v>
      </c>
    </row>
    <row r="397" spans="1:14" ht="14.25" customHeight="1" x14ac:dyDescent="0.25">
      <c r="A397" s="78">
        <v>45736</v>
      </c>
      <c r="B397" s="79">
        <v>0.76875000000000004</v>
      </c>
      <c r="C397" s="78" t="str">
        <f>"Q" &amp; CHOOSE(MONTH(Sales!$A397), "1", "1", "1", "2", "2", "2", "3", "3", "3", "4", "4", "4") &amp; "_" &amp; YEAR(Sales!$A397)</f>
        <v>Q1_2025</v>
      </c>
      <c r="D397" s="80" t="s">
        <v>82</v>
      </c>
      <c r="E397" s="81" t="s">
        <v>14</v>
      </c>
      <c r="F397" s="82" t="s">
        <v>15</v>
      </c>
      <c r="G397" s="82" t="s">
        <v>16</v>
      </c>
      <c r="H397" s="82" t="s">
        <v>20</v>
      </c>
      <c r="I397" s="82" t="s">
        <v>31</v>
      </c>
      <c r="J397" s="82">
        <v>1</v>
      </c>
      <c r="K397" s="82" t="s">
        <v>22</v>
      </c>
      <c r="L397" s="83">
        <v>7</v>
      </c>
      <c r="M397" s="84">
        <v>1799</v>
      </c>
      <c r="N397" s="85">
        <v>1416</v>
      </c>
    </row>
    <row r="398" spans="1:14" ht="14.25" customHeight="1" x14ac:dyDescent="0.25">
      <c r="A398" s="78">
        <v>45736</v>
      </c>
      <c r="B398" s="79">
        <v>0.76875000000000004</v>
      </c>
      <c r="C398" s="78" t="str">
        <f>"Q" &amp; CHOOSE(MONTH(Sales!$A398), "1", "1", "1", "2", "2", "2", "3", "3", "3", "4", "4", "4") &amp; "_" &amp; YEAR(Sales!$A398)</f>
        <v>Q1_2025</v>
      </c>
      <c r="D398" s="80" t="s">
        <v>82</v>
      </c>
      <c r="E398" s="81" t="s">
        <v>14</v>
      </c>
      <c r="F398" s="82" t="s">
        <v>15</v>
      </c>
      <c r="G398" s="82" t="s">
        <v>24</v>
      </c>
      <c r="H398" s="82" t="s">
        <v>20</v>
      </c>
      <c r="I398" s="82" t="s">
        <v>52</v>
      </c>
      <c r="J398" s="82">
        <v>1</v>
      </c>
      <c r="K398" s="82" t="s">
        <v>48</v>
      </c>
      <c r="L398" s="83">
        <v>5</v>
      </c>
      <c r="M398" s="84">
        <v>0</v>
      </c>
      <c r="N398" s="85">
        <v>0</v>
      </c>
    </row>
    <row r="399" spans="1:14" ht="14.25" customHeight="1" x14ac:dyDescent="0.25">
      <c r="A399" s="78">
        <v>45736</v>
      </c>
      <c r="B399" s="79">
        <v>0.78194444444444444</v>
      </c>
      <c r="C399" s="78" t="str">
        <f>"Q" &amp; CHOOSE(MONTH(Sales!$A399), "1", "1", "1", "2", "2", "2", "3", "3", "3", "4", "4", "4") &amp; "_" &amp; YEAR(Sales!$A399)</f>
        <v>Q1_2025</v>
      </c>
      <c r="D399" s="80" t="s">
        <v>60</v>
      </c>
      <c r="E399" s="81" t="s">
        <v>14</v>
      </c>
      <c r="F399" s="82" t="s">
        <v>15</v>
      </c>
      <c r="G399" s="82" t="s">
        <v>24</v>
      </c>
      <c r="H399" s="82" t="s">
        <v>20</v>
      </c>
      <c r="I399" s="82" t="s">
        <v>52</v>
      </c>
      <c r="J399" s="82">
        <v>1</v>
      </c>
      <c r="K399" s="82" t="s">
        <v>22</v>
      </c>
      <c r="L399" s="83">
        <v>5</v>
      </c>
      <c r="M399" s="84">
        <v>549</v>
      </c>
      <c r="N399" s="85">
        <v>352</v>
      </c>
    </row>
    <row r="400" spans="1:14" ht="14.25" customHeight="1" x14ac:dyDescent="0.25">
      <c r="A400" s="78">
        <v>45736</v>
      </c>
      <c r="B400" s="79">
        <v>0.84097222222222223</v>
      </c>
      <c r="C400" s="78" t="str">
        <f>"Q" &amp; CHOOSE(MONTH(Sales!$A400), "1", "1", "1", "2", "2", "2", "3", "3", "3", "4", "4", "4") &amp; "_" &amp; YEAR(Sales!$A400)</f>
        <v>Q1_2025</v>
      </c>
      <c r="D400" s="80" t="s">
        <v>68</v>
      </c>
      <c r="E400" s="81" t="s">
        <v>14</v>
      </c>
      <c r="F400" s="82" t="s">
        <v>15</v>
      </c>
      <c r="G400" s="82" t="s">
        <v>24</v>
      </c>
      <c r="H400" s="82" t="s">
        <v>20</v>
      </c>
      <c r="I400" s="82" t="s">
        <v>25</v>
      </c>
      <c r="J400" s="82">
        <v>1</v>
      </c>
      <c r="K400" s="82" t="s">
        <v>22</v>
      </c>
      <c r="L400" s="83">
        <v>3</v>
      </c>
      <c r="M400" s="84">
        <v>359</v>
      </c>
      <c r="N400" s="85">
        <v>230</v>
      </c>
    </row>
    <row r="401" spans="1:14" ht="14.25" customHeight="1" x14ac:dyDescent="0.25">
      <c r="A401" s="78">
        <v>45736</v>
      </c>
      <c r="B401" s="79">
        <v>0.8520833333333333</v>
      </c>
      <c r="C401" s="78" t="str">
        <f>"Q" &amp; CHOOSE(MONTH(Sales!$A401), "1", "1", "1", "2", "2", "2", "3", "3", "3", "4", "4", "4") &amp; "_" &amp; YEAR(Sales!$A401)</f>
        <v>Q1_2025</v>
      </c>
      <c r="D401" s="80" t="s">
        <v>68</v>
      </c>
      <c r="E401" s="81" t="s">
        <v>14</v>
      </c>
      <c r="F401" s="82" t="s">
        <v>15</v>
      </c>
      <c r="G401" s="82" t="s">
        <v>87</v>
      </c>
      <c r="H401" s="82" t="s">
        <v>17</v>
      </c>
      <c r="I401" s="82" t="s">
        <v>88</v>
      </c>
      <c r="J401" s="82">
        <v>1</v>
      </c>
      <c r="K401" s="82" t="s">
        <v>22</v>
      </c>
      <c r="L401" s="83">
        <v>1</v>
      </c>
      <c r="M401" s="84">
        <v>948</v>
      </c>
      <c r="N401" s="85">
        <v>638</v>
      </c>
    </row>
    <row r="402" spans="1:14" ht="14.25" customHeight="1" x14ac:dyDescent="0.25">
      <c r="A402" s="78">
        <v>45736</v>
      </c>
      <c r="B402" s="79">
        <v>0.88402777777777775</v>
      </c>
      <c r="C402" s="78" t="str">
        <f>"Q" &amp; CHOOSE(MONTH(Sales!$A402), "1", "1", "1", "2", "2", "2", "3", "3", "3", "4", "4", "4") &amp; "_" &amp; YEAR(Sales!$A402)</f>
        <v>Q1_2025</v>
      </c>
      <c r="D402" s="80" t="s">
        <v>58</v>
      </c>
      <c r="E402" s="81" t="s">
        <v>14</v>
      </c>
      <c r="F402" s="82" t="s">
        <v>15</v>
      </c>
      <c r="G402" s="82" t="s">
        <v>87</v>
      </c>
      <c r="H402" s="82" t="s">
        <v>17</v>
      </c>
      <c r="I402" s="82" t="s">
        <v>88</v>
      </c>
      <c r="J402" s="82">
        <v>1</v>
      </c>
      <c r="K402" s="82" t="s">
        <v>22</v>
      </c>
      <c r="L402" s="83">
        <v>1</v>
      </c>
      <c r="M402" s="84">
        <v>948</v>
      </c>
      <c r="N402" s="85">
        <v>638</v>
      </c>
    </row>
    <row r="403" spans="1:14" ht="14.25" customHeight="1" x14ac:dyDescent="0.25">
      <c r="A403" s="78">
        <v>45736</v>
      </c>
      <c r="B403" s="79">
        <v>0.93125000000000002</v>
      </c>
      <c r="C403" s="78" t="str">
        <f>"Q" &amp; CHOOSE(MONTH(Sales!$A403), "1", "1", "1", "2", "2", "2", "3", "3", "3", "4", "4", "4") &amp; "_" &amp; YEAR(Sales!$A403)</f>
        <v>Q1_2025</v>
      </c>
      <c r="D403" s="80" t="s">
        <v>58</v>
      </c>
      <c r="E403" s="81" t="s">
        <v>14</v>
      </c>
      <c r="F403" s="82" t="s">
        <v>15</v>
      </c>
      <c r="G403" s="82" t="s">
        <v>24</v>
      </c>
      <c r="H403" s="82" t="s">
        <v>20</v>
      </c>
      <c r="I403" s="82" t="s">
        <v>25</v>
      </c>
      <c r="J403" s="82">
        <v>1</v>
      </c>
      <c r="K403" s="82" t="s">
        <v>22</v>
      </c>
      <c r="L403" s="83">
        <v>3</v>
      </c>
      <c r="M403" s="84">
        <v>359</v>
      </c>
      <c r="N403" s="85">
        <v>230</v>
      </c>
    </row>
    <row r="404" spans="1:14" ht="14.25" customHeight="1" x14ac:dyDescent="0.25">
      <c r="A404" s="78">
        <v>45738</v>
      </c>
      <c r="B404" s="79">
        <v>0.28402777777777777</v>
      </c>
      <c r="C404" s="78" t="str">
        <f>"Q" &amp; CHOOSE(MONTH(Sales!$A404), "1", "1", "1", "2", "2", "2", "3", "3", "3", "4", "4", "4") &amp; "_" &amp; YEAR(Sales!$A404)</f>
        <v>Q1_2025</v>
      </c>
      <c r="D404" s="80" t="s">
        <v>68</v>
      </c>
      <c r="E404" s="81" t="s">
        <v>14</v>
      </c>
      <c r="F404" s="82" t="s">
        <v>15</v>
      </c>
      <c r="G404" s="82" t="s">
        <v>87</v>
      </c>
      <c r="H404" s="82" t="s">
        <v>17</v>
      </c>
      <c r="I404" s="82" t="s">
        <v>88</v>
      </c>
      <c r="J404" s="82">
        <v>1</v>
      </c>
      <c r="K404" s="82" t="s">
        <v>22</v>
      </c>
      <c r="L404" s="83">
        <v>1</v>
      </c>
      <c r="M404" s="84">
        <v>949</v>
      </c>
      <c r="N404" s="85">
        <v>638</v>
      </c>
    </row>
    <row r="405" spans="1:14" ht="14.25" customHeight="1" x14ac:dyDescent="0.25">
      <c r="A405" s="78">
        <v>45738</v>
      </c>
      <c r="B405" s="79">
        <v>0.55555555555555558</v>
      </c>
      <c r="C405" s="78" t="str">
        <f>"Q" &amp; CHOOSE(MONTH(Sales!$A405), "1", "1", "1", "2", "2", "2", "3", "3", "3", "4", "4", "4") &amp; "_" &amp; YEAR(Sales!$A405)</f>
        <v>Q1_2025</v>
      </c>
      <c r="D405" s="80" t="s">
        <v>59</v>
      </c>
      <c r="E405" s="81" t="s">
        <v>14</v>
      </c>
      <c r="F405" s="82" t="s">
        <v>15</v>
      </c>
      <c r="G405" s="82" t="s">
        <v>102</v>
      </c>
      <c r="H405" s="82" t="s">
        <v>17</v>
      </c>
      <c r="I405" s="82" t="s">
        <v>240</v>
      </c>
      <c r="J405" s="82">
        <v>1</v>
      </c>
      <c r="K405" s="82" t="s">
        <v>22</v>
      </c>
      <c r="L405" s="83">
        <v>1</v>
      </c>
      <c r="M405" s="84">
        <v>444</v>
      </c>
      <c r="N405" s="85">
        <v>256</v>
      </c>
    </row>
    <row r="406" spans="1:14" ht="14.25" customHeight="1" x14ac:dyDescent="0.25">
      <c r="A406" s="78">
        <v>45738</v>
      </c>
      <c r="B406" s="79">
        <v>0.61388888888888893</v>
      </c>
      <c r="C406" s="78" t="str">
        <f>"Q" &amp; CHOOSE(MONTH(Sales!$A406), "1", "1", "1", "2", "2", "2", "3", "3", "3", "4", "4", "4") &amp; "_" &amp; YEAR(Sales!$A406)</f>
        <v>Q1_2025</v>
      </c>
      <c r="D406" s="80" t="s">
        <v>60</v>
      </c>
      <c r="E406" s="81" t="s">
        <v>14</v>
      </c>
      <c r="F406" s="82" t="s">
        <v>15</v>
      </c>
      <c r="G406" s="82" t="s">
        <v>24</v>
      </c>
      <c r="H406" s="82" t="s">
        <v>20</v>
      </c>
      <c r="I406" s="82" t="s">
        <v>52</v>
      </c>
      <c r="J406" s="82">
        <v>1</v>
      </c>
      <c r="K406" s="82" t="s">
        <v>22</v>
      </c>
      <c r="L406" s="83">
        <v>3</v>
      </c>
      <c r="M406" s="84">
        <v>551</v>
      </c>
      <c r="N406" s="85">
        <v>354</v>
      </c>
    </row>
    <row r="407" spans="1:14" ht="14.25" customHeight="1" x14ac:dyDescent="0.25">
      <c r="A407" s="78">
        <v>45738</v>
      </c>
      <c r="B407" s="79">
        <v>0.61388888888888893</v>
      </c>
      <c r="C407" s="78" t="str">
        <f>"Q" &amp; CHOOSE(MONTH(Sales!$A407), "1", "1", "1", "2", "2", "2", "3", "3", "3", "4", "4", "4") &amp; "_" &amp; YEAR(Sales!$A407)</f>
        <v>Q1_2025</v>
      </c>
      <c r="D407" s="80" t="s">
        <v>60</v>
      </c>
      <c r="E407" s="81" t="s">
        <v>14</v>
      </c>
      <c r="F407" s="82" t="s">
        <v>15</v>
      </c>
      <c r="G407" s="82" t="s">
        <v>16</v>
      </c>
      <c r="H407" s="82" t="s">
        <v>20</v>
      </c>
      <c r="I407" s="82" t="s">
        <v>113</v>
      </c>
      <c r="J407" s="82">
        <v>1</v>
      </c>
      <c r="K407" s="82" t="s">
        <v>22</v>
      </c>
      <c r="L407" s="83">
        <v>5</v>
      </c>
      <c r="M407" s="84">
        <v>677</v>
      </c>
      <c r="N407" s="85">
        <v>464</v>
      </c>
    </row>
    <row r="408" spans="1:14" ht="14.25" customHeight="1" x14ac:dyDescent="0.25">
      <c r="A408" s="78">
        <v>45738</v>
      </c>
      <c r="B408" s="79">
        <v>0.69652777777777775</v>
      </c>
      <c r="C408" s="78" t="str">
        <f>"Q" &amp; CHOOSE(MONTH(Sales!$A408), "1", "1", "1", "2", "2", "2", "3", "3", "3", "4", "4", "4") &amp; "_" &amp; YEAR(Sales!$A408)</f>
        <v>Q1_2025</v>
      </c>
      <c r="D408" s="80" t="s">
        <v>58</v>
      </c>
      <c r="E408" s="81" t="s">
        <v>14</v>
      </c>
      <c r="F408" s="82" t="s">
        <v>15</v>
      </c>
      <c r="G408" s="82" t="s">
        <v>24</v>
      </c>
      <c r="H408" s="82" t="s">
        <v>20</v>
      </c>
      <c r="I408" s="82" t="s">
        <v>25</v>
      </c>
      <c r="J408" s="82">
        <v>1</v>
      </c>
      <c r="K408" s="82" t="s">
        <v>22</v>
      </c>
      <c r="L408" s="83">
        <v>3</v>
      </c>
      <c r="M408" s="84">
        <v>369</v>
      </c>
      <c r="N408" s="85">
        <v>260</v>
      </c>
    </row>
    <row r="409" spans="1:14" ht="14.25" customHeight="1" x14ac:dyDescent="0.25">
      <c r="A409" s="78">
        <v>45739</v>
      </c>
      <c r="B409" s="79">
        <v>1.1805555555555555E-2</v>
      </c>
      <c r="C409" s="78" t="str">
        <f>"Q" &amp; CHOOSE(MONTH(Sales!$A409), "1", "1", "1", "2", "2", "2", "3", "3", "3", "4", "4", "4") &amp; "_" &amp; YEAR(Sales!$A409)</f>
        <v>Q1_2025</v>
      </c>
      <c r="D409" s="80" t="s">
        <v>58</v>
      </c>
      <c r="E409" s="81" t="s">
        <v>14</v>
      </c>
      <c r="F409" s="82" t="s">
        <v>15</v>
      </c>
      <c r="G409" s="82" t="s">
        <v>24</v>
      </c>
      <c r="H409" s="82" t="s">
        <v>20</v>
      </c>
      <c r="I409" s="82" t="s">
        <v>25</v>
      </c>
      <c r="J409" s="82">
        <v>1</v>
      </c>
      <c r="K409" s="82" t="s">
        <v>22</v>
      </c>
      <c r="L409" s="83">
        <v>3</v>
      </c>
      <c r="M409" s="84">
        <v>369</v>
      </c>
      <c r="N409" s="85">
        <v>260</v>
      </c>
    </row>
    <row r="410" spans="1:14" ht="14.25" customHeight="1" x14ac:dyDescent="0.25">
      <c r="A410" s="78">
        <v>45739</v>
      </c>
      <c r="B410" s="79">
        <v>0.37152777777777779</v>
      </c>
      <c r="C410" s="78" t="str">
        <f>"Q" &amp; CHOOSE(MONTH(Sales!$A410), "1", "1", "1", "2", "2", "2", "3", "3", "3", "4", "4", "4") &amp; "_" &amp; YEAR(Sales!$A410)</f>
        <v>Q1_2025</v>
      </c>
      <c r="D410" s="80" t="s">
        <v>63</v>
      </c>
      <c r="E410" s="81" t="s">
        <v>14</v>
      </c>
      <c r="F410" s="82" t="s">
        <v>15</v>
      </c>
      <c r="G410" s="82" t="s">
        <v>24</v>
      </c>
      <c r="H410" s="82" t="s">
        <v>20</v>
      </c>
      <c r="I410" s="82" t="s">
        <v>25</v>
      </c>
      <c r="J410" s="82">
        <v>1</v>
      </c>
      <c r="K410" s="82" t="s">
        <v>22</v>
      </c>
      <c r="L410" s="83">
        <v>3</v>
      </c>
      <c r="M410" s="84">
        <v>369</v>
      </c>
      <c r="N410" s="85">
        <v>260</v>
      </c>
    </row>
    <row r="411" spans="1:14" ht="14.25" customHeight="1" x14ac:dyDescent="0.25">
      <c r="A411" s="78">
        <v>45739</v>
      </c>
      <c r="B411" s="79">
        <v>0.51527777777777772</v>
      </c>
      <c r="C411" s="78" t="str">
        <f>"Q" &amp; CHOOSE(MONTH(Sales!$A411), "1", "1", "1", "2", "2", "2", "3", "3", "3", "4", "4", "4") &amp; "_" &amp; YEAR(Sales!$A411)</f>
        <v>Q1_2025</v>
      </c>
      <c r="D411" s="80" t="s">
        <v>58</v>
      </c>
      <c r="E411" s="81" t="s">
        <v>14</v>
      </c>
      <c r="F411" s="82" t="s">
        <v>15</v>
      </c>
      <c r="G411" s="82" t="s">
        <v>24</v>
      </c>
      <c r="H411" s="82" t="s">
        <v>20</v>
      </c>
      <c r="I411" s="82" t="s">
        <v>25</v>
      </c>
      <c r="J411" s="82">
        <v>1</v>
      </c>
      <c r="K411" s="82" t="s">
        <v>22</v>
      </c>
      <c r="L411" s="83">
        <v>3</v>
      </c>
      <c r="M411" s="84">
        <v>369</v>
      </c>
      <c r="N411" s="85">
        <v>260</v>
      </c>
    </row>
    <row r="412" spans="1:14" ht="14.25" customHeight="1" x14ac:dyDescent="0.25">
      <c r="A412" s="78">
        <v>45739</v>
      </c>
      <c r="B412" s="79">
        <v>0.65486111111111112</v>
      </c>
      <c r="C412" s="78" t="str">
        <f>"Q" &amp; CHOOSE(MONTH(Sales!$A412), "1", "1", "1", "2", "2", "2", "3", "3", "3", "4", "4", "4") &amp; "_" &amp; YEAR(Sales!$A412)</f>
        <v>Q1_2025</v>
      </c>
      <c r="D412" s="80" t="s">
        <v>60</v>
      </c>
      <c r="E412" s="81" t="s">
        <v>14</v>
      </c>
      <c r="F412" s="82" t="s">
        <v>15</v>
      </c>
      <c r="G412" s="82" t="s">
        <v>35</v>
      </c>
      <c r="H412" s="82" t="s">
        <v>20</v>
      </c>
      <c r="I412" s="82" t="s">
        <v>43</v>
      </c>
      <c r="J412" s="82">
        <v>1</v>
      </c>
      <c r="K412" s="82" t="s">
        <v>22</v>
      </c>
      <c r="L412" s="83">
        <v>6</v>
      </c>
      <c r="M412" s="84">
        <v>698</v>
      </c>
      <c r="N412" s="85">
        <v>449</v>
      </c>
    </row>
    <row r="413" spans="1:14" ht="14.25" customHeight="1" x14ac:dyDescent="0.25">
      <c r="A413" s="78">
        <v>45739</v>
      </c>
      <c r="B413" s="79">
        <v>0.6743055555555556</v>
      </c>
      <c r="C413" s="78" t="str">
        <f>"Q" &amp; CHOOSE(MONTH(Sales!$A413), "1", "1", "1", "2", "2", "2", "3", "3", "3", "4", "4", "4") &amp; "_" &amp; YEAR(Sales!$A413)</f>
        <v>Q1_2025</v>
      </c>
      <c r="D413" s="80" t="s">
        <v>59</v>
      </c>
      <c r="E413" s="81" t="s">
        <v>14</v>
      </c>
      <c r="F413" s="82" t="s">
        <v>15</v>
      </c>
      <c r="G413" s="82" t="s">
        <v>28</v>
      </c>
      <c r="H413" s="82" t="s">
        <v>17</v>
      </c>
      <c r="I413" s="82" t="s">
        <v>90</v>
      </c>
      <c r="J413" s="82">
        <v>1</v>
      </c>
      <c r="K413" s="82" t="s">
        <v>22</v>
      </c>
      <c r="L413" s="83">
        <v>1</v>
      </c>
      <c r="M413" s="84">
        <v>898</v>
      </c>
      <c r="N413" s="85">
        <v>625</v>
      </c>
    </row>
    <row r="414" spans="1:14" ht="14.25" customHeight="1" x14ac:dyDescent="0.25">
      <c r="A414" s="78">
        <v>45739</v>
      </c>
      <c r="B414" s="79">
        <v>0.74652777777777779</v>
      </c>
      <c r="C414" s="78" t="str">
        <f>"Q" &amp; CHOOSE(MONTH(Sales!$A414), "1", "1", "1", "2", "2", "2", "3", "3", "3", "4", "4", "4") &amp; "_" &amp; YEAR(Sales!$A414)</f>
        <v>Q1_2025</v>
      </c>
      <c r="D414" s="80" t="s">
        <v>59</v>
      </c>
      <c r="E414" s="81" t="s">
        <v>14</v>
      </c>
      <c r="F414" s="82" t="s">
        <v>15</v>
      </c>
      <c r="G414" s="82" t="s">
        <v>102</v>
      </c>
      <c r="H414" s="82" t="s">
        <v>17</v>
      </c>
      <c r="I414" s="82" t="s">
        <v>240</v>
      </c>
      <c r="J414" s="82">
        <v>1</v>
      </c>
      <c r="K414" s="82" t="s">
        <v>22</v>
      </c>
      <c r="L414" s="83">
        <v>1</v>
      </c>
      <c r="M414" s="84">
        <v>449</v>
      </c>
      <c r="N414" s="85">
        <v>260</v>
      </c>
    </row>
    <row r="415" spans="1:14" ht="14.25" customHeight="1" x14ac:dyDescent="0.25">
      <c r="A415" s="78">
        <v>45739</v>
      </c>
      <c r="B415" s="79">
        <v>0.76041666666666663</v>
      </c>
      <c r="C415" s="78" t="str">
        <f>"Q" &amp; CHOOSE(MONTH(Sales!$A415), "1", "1", "1", "2", "2", "2", "3", "3", "3", "4", "4", "4") &amp; "_" &amp; YEAR(Sales!$A415)</f>
        <v>Q1_2025</v>
      </c>
      <c r="D415" s="80" t="s">
        <v>60</v>
      </c>
      <c r="E415" s="81" t="s">
        <v>14</v>
      </c>
      <c r="F415" s="82" t="s">
        <v>15</v>
      </c>
      <c r="G415" s="82" t="s">
        <v>24</v>
      </c>
      <c r="H415" s="82" t="s">
        <v>20</v>
      </c>
      <c r="I415" s="82" t="s">
        <v>52</v>
      </c>
      <c r="J415" s="82">
        <v>1</v>
      </c>
      <c r="K415" s="82" t="s">
        <v>22</v>
      </c>
      <c r="L415" s="83">
        <v>5</v>
      </c>
      <c r="M415" s="84">
        <v>569</v>
      </c>
      <c r="N415" s="85">
        <v>369</v>
      </c>
    </row>
    <row r="416" spans="1:14" ht="14.25" customHeight="1" x14ac:dyDescent="0.25">
      <c r="A416" s="78">
        <v>45739</v>
      </c>
      <c r="B416" s="79">
        <v>0.96875</v>
      </c>
      <c r="C416" s="78" t="str">
        <f>"Q" &amp; CHOOSE(MONTH(Sales!$A416), "1", "1", "1", "2", "2", "2", "3", "3", "3", "4", "4", "4") &amp; "_" &amp; YEAR(Sales!$A416)</f>
        <v>Q1_2025</v>
      </c>
      <c r="D416" s="80" t="s">
        <v>58</v>
      </c>
      <c r="E416" s="81" t="s">
        <v>14</v>
      </c>
      <c r="F416" s="82" t="s">
        <v>15</v>
      </c>
      <c r="G416" s="82" t="s">
        <v>87</v>
      </c>
      <c r="H416" s="82" t="s">
        <v>17</v>
      </c>
      <c r="I416" s="82" t="s">
        <v>88</v>
      </c>
      <c r="J416" s="82">
        <v>1</v>
      </c>
      <c r="K416" s="82" t="s">
        <v>22</v>
      </c>
      <c r="L416" s="83">
        <v>1</v>
      </c>
      <c r="M416" s="84">
        <v>948</v>
      </c>
      <c r="N416" s="85">
        <v>638</v>
      </c>
    </row>
    <row r="417" spans="1:14" ht="14.25" customHeight="1" x14ac:dyDescent="0.25">
      <c r="A417" s="78">
        <v>45739</v>
      </c>
      <c r="B417" s="79">
        <v>0.97638888888888886</v>
      </c>
      <c r="C417" s="78" t="str">
        <f>"Q" &amp; CHOOSE(MONTH(Sales!$A417), "1", "1", "1", "2", "2", "2", "3", "3", "3", "4", "4", "4") &amp; "_" &amp; YEAR(Sales!$A417)</f>
        <v>Q1_2025</v>
      </c>
      <c r="D417" s="80" t="s">
        <v>62</v>
      </c>
      <c r="E417" s="81" t="s">
        <v>14</v>
      </c>
      <c r="F417" s="82" t="s">
        <v>15</v>
      </c>
      <c r="G417" s="82" t="s">
        <v>24</v>
      </c>
      <c r="H417" s="82" t="s">
        <v>20</v>
      </c>
      <c r="I417" s="82" t="s">
        <v>25</v>
      </c>
      <c r="J417" s="82">
        <v>1</v>
      </c>
      <c r="K417" s="82" t="s">
        <v>22</v>
      </c>
      <c r="L417" s="83">
        <v>3</v>
      </c>
      <c r="M417" s="84">
        <v>399</v>
      </c>
      <c r="N417" s="85">
        <v>265</v>
      </c>
    </row>
    <row r="418" spans="1:14" ht="14.25" customHeight="1" x14ac:dyDescent="0.25">
      <c r="A418" s="78">
        <v>45740</v>
      </c>
      <c r="B418" s="79">
        <v>0.14097222222222222</v>
      </c>
      <c r="C418" s="78" t="str">
        <f>"Q" &amp; CHOOSE(MONTH(Sales!$A418), "1", "1", "1", "2", "2", "2", "3", "3", "3", "4", "4", "4") &amp; "_" &amp; YEAR(Sales!$A418)</f>
        <v>Q1_2025</v>
      </c>
      <c r="D418" s="80" t="s">
        <v>91</v>
      </c>
      <c r="E418" s="81" t="s">
        <v>14</v>
      </c>
      <c r="F418" s="82" t="s">
        <v>15</v>
      </c>
      <c r="G418" s="82" t="s">
        <v>24</v>
      </c>
      <c r="H418" s="82" t="s">
        <v>20</v>
      </c>
      <c r="I418" s="82" t="s">
        <v>25</v>
      </c>
      <c r="J418" s="82">
        <v>1</v>
      </c>
      <c r="K418" s="82" t="s">
        <v>22</v>
      </c>
      <c r="L418" s="83">
        <v>3</v>
      </c>
      <c r="M418" s="84">
        <v>399</v>
      </c>
      <c r="N418" s="85">
        <v>265</v>
      </c>
    </row>
    <row r="419" spans="1:14" ht="14.25" customHeight="1" x14ac:dyDescent="0.25">
      <c r="A419" s="78">
        <v>45740</v>
      </c>
      <c r="B419" s="79">
        <v>0.29097222222222224</v>
      </c>
      <c r="C419" s="78" t="str">
        <f>"Q" &amp; CHOOSE(MONTH(Sales!$A419), "1", "1", "1", "2", "2", "2", "3", "3", "3", "4", "4", "4") &amp; "_" &amp; YEAR(Sales!$A419)</f>
        <v>Q1_2025</v>
      </c>
      <c r="D419" s="80" t="s">
        <v>68</v>
      </c>
      <c r="E419" s="81" t="s">
        <v>14</v>
      </c>
      <c r="F419" s="82" t="s">
        <v>15</v>
      </c>
      <c r="G419" s="82" t="s">
        <v>102</v>
      </c>
      <c r="H419" s="82" t="s">
        <v>17</v>
      </c>
      <c r="I419" s="82" t="s">
        <v>240</v>
      </c>
      <c r="J419" s="82">
        <v>1</v>
      </c>
      <c r="K419" s="82" t="s">
        <v>22</v>
      </c>
      <c r="L419" s="83">
        <v>1</v>
      </c>
      <c r="M419" s="84">
        <v>454</v>
      </c>
      <c r="N419" s="85">
        <v>264</v>
      </c>
    </row>
    <row r="420" spans="1:14" ht="14.25" customHeight="1" x14ac:dyDescent="0.25">
      <c r="A420" s="78">
        <v>45740</v>
      </c>
      <c r="B420" s="79">
        <v>0.47083333333333333</v>
      </c>
      <c r="C420" s="78" t="str">
        <f>"Q" &amp; CHOOSE(MONTH(Sales!$A420), "1", "1", "1", "2", "2", "2", "3", "3", "3", "4", "4", "4") &amp; "_" &amp; YEAR(Sales!$A420)</f>
        <v>Q1_2025</v>
      </c>
      <c r="D420" s="80" t="s">
        <v>60</v>
      </c>
      <c r="E420" s="81" t="s">
        <v>14</v>
      </c>
      <c r="F420" s="82" t="s">
        <v>15</v>
      </c>
      <c r="G420" s="82" t="s">
        <v>87</v>
      </c>
      <c r="H420" s="82" t="s">
        <v>17</v>
      </c>
      <c r="I420" s="82" t="s">
        <v>88</v>
      </c>
      <c r="J420" s="82">
        <v>1</v>
      </c>
      <c r="K420" s="82" t="s">
        <v>22</v>
      </c>
      <c r="L420" s="83">
        <v>1</v>
      </c>
      <c r="M420" s="84">
        <v>930</v>
      </c>
      <c r="N420" s="85">
        <v>620</v>
      </c>
    </row>
    <row r="421" spans="1:14" ht="14.25" customHeight="1" x14ac:dyDescent="0.25">
      <c r="A421" s="78">
        <v>45740</v>
      </c>
      <c r="B421" s="79">
        <v>0.53611111111111109</v>
      </c>
      <c r="C421" s="78" t="str">
        <f>"Q" &amp; CHOOSE(MONTH(Sales!$A421), "1", "1", "1", "2", "2", "2", "3", "3", "3", "4", "4", "4") &amp; "_" &amp; YEAR(Sales!$A421)</f>
        <v>Q1_2025</v>
      </c>
      <c r="D421" s="80" t="s">
        <v>58</v>
      </c>
      <c r="E421" s="81" t="s">
        <v>14</v>
      </c>
      <c r="F421" s="82" t="s">
        <v>15</v>
      </c>
      <c r="G421" s="82" t="s">
        <v>24</v>
      </c>
      <c r="H421" s="82" t="s">
        <v>20</v>
      </c>
      <c r="I421" s="82" t="s">
        <v>25</v>
      </c>
      <c r="J421" s="82">
        <v>1</v>
      </c>
      <c r="K421" s="82" t="s">
        <v>22</v>
      </c>
      <c r="L421" s="83">
        <v>3</v>
      </c>
      <c r="M421" s="84">
        <v>399</v>
      </c>
      <c r="N421" s="85">
        <v>265</v>
      </c>
    </row>
    <row r="422" spans="1:14" ht="14.25" customHeight="1" x14ac:dyDescent="0.25">
      <c r="A422" s="78">
        <v>45740</v>
      </c>
      <c r="B422" s="79">
        <v>0.5541666666666667</v>
      </c>
      <c r="C422" s="78" t="str">
        <f>"Q" &amp; CHOOSE(MONTH(Sales!$A422), "1", "1", "1", "2", "2", "2", "3", "3", "3", "4", "4", "4") &amp; "_" &amp; YEAR(Sales!$A422)</f>
        <v>Q1_2025</v>
      </c>
      <c r="D422" s="80" t="s">
        <v>58</v>
      </c>
      <c r="E422" s="81" t="s">
        <v>14</v>
      </c>
      <c r="F422" s="82" t="s">
        <v>15</v>
      </c>
      <c r="G422" s="82" t="s">
        <v>35</v>
      </c>
      <c r="H422" s="82" t="s">
        <v>20</v>
      </c>
      <c r="I422" s="82" t="s">
        <v>97</v>
      </c>
      <c r="J422" s="82">
        <v>1</v>
      </c>
      <c r="K422" s="82" t="s">
        <v>22</v>
      </c>
      <c r="L422" s="83">
        <v>5</v>
      </c>
      <c r="M422" s="84">
        <v>394</v>
      </c>
      <c r="N422" s="85">
        <v>251</v>
      </c>
    </row>
    <row r="423" spans="1:14" ht="14.25" customHeight="1" x14ac:dyDescent="0.25">
      <c r="A423" s="78">
        <v>45740</v>
      </c>
      <c r="B423" s="79">
        <v>0.58263888888888893</v>
      </c>
      <c r="C423" s="78" t="str">
        <f>"Q" &amp; CHOOSE(MONTH(Sales!$A423), "1", "1", "1", "2", "2", "2", "3", "3", "3", "4", "4", "4") &amp; "_" &amp; YEAR(Sales!$A423)</f>
        <v>Q1_2025</v>
      </c>
      <c r="D423" s="80" t="s">
        <v>68</v>
      </c>
      <c r="E423" s="81" t="s">
        <v>14</v>
      </c>
      <c r="F423" s="82" t="s">
        <v>15</v>
      </c>
      <c r="G423" s="82" t="s">
        <v>24</v>
      </c>
      <c r="H423" s="82" t="s">
        <v>20</v>
      </c>
      <c r="I423" s="82" t="s">
        <v>52</v>
      </c>
      <c r="J423" s="82">
        <v>1</v>
      </c>
      <c r="K423" s="82" t="s">
        <v>22</v>
      </c>
      <c r="L423" s="83">
        <v>5</v>
      </c>
      <c r="M423" s="84">
        <v>569</v>
      </c>
      <c r="N423" s="85">
        <v>369</v>
      </c>
    </row>
    <row r="424" spans="1:14" ht="14.25" customHeight="1" x14ac:dyDescent="0.25">
      <c r="A424" s="78">
        <v>45740</v>
      </c>
      <c r="B424" s="79">
        <v>0.61111111111111116</v>
      </c>
      <c r="C424" s="78" t="str">
        <f>"Q" &amp; CHOOSE(MONTH(Sales!$A424), "1", "1", "1", "2", "2", "2", "3", "3", "3", "4", "4", "4") &amp; "_" &amp; YEAR(Sales!$A424)</f>
        <v>Q1_2025</v>
      </c>
      <c r="D424" s="80" t="s">
        <v>62</v>
      </c>
      <c r="E424" s="81" t="s">
        <v>14</v>
      </c>
      <c r="F424" s="82" t="s">
        <v>15</v>
      </c>
      <c r="G424" s="82" t="s">
        <v>24</v>
      </c>
      <c r="H424" s="82" t="s">
        <v>20</v>
      </c>
      <c r="I424" s="82" t="s">
        <v>25</v>
      </c>
      <c r="J424" s="82">
        <v>1</v>
      </c>
      <c r="K424" s="82" t="s">
        <v>22</v>
      </c>
      <c r="L424" s="83">
        <v>3</v>
      </c>
      <c r="M424" s="84">
        <v>399</v>
      </c>
      <c r="N424" s="85">
        <v>265</v>
      </c>
    </row>
    <row r="425" spans="1:14" ht="14.25" customHeight="1" x14ac:dyDescent="0.25">
      <c r="A425" s="78">
        <v>45741</v>
      </c>
      <c r="B425" s="79">
        <v>2.361111111111111E-2</v>
      </c>
      <c r="C425" s="78" t="str">
        <f>"Q" &amp; CHOOSE(MONTH(Sales!$A425), "1", "1", "1", "2", "2", "2", "3", "3", "3", "4", "4", "4") &amp; "_" &amp; YEAR(Sales!$A425)</f>
        <v>Q1_2025</v>
      </c>
      <c r="D425" s="80" t="s">
        <v>63</v>
      </c>
      <c r="E425" s="81" t="s">
        <v>14</v>
      </c>
      <c r="F425" s="82" t="s">
        <v>15</v>
      </c>
      <c r="G425" s="82" t="s">
        <v>16</v>
      </c>
      <c r="H425" s="82" t="s">
        <v>20</v>
      </c>
      <c r="I425" s="82" t="s">
        <v>53</v>
      </c>
      <c r="J425" s="82">
        <v>1</v>
      </c>
      <c r="K425" s="82" t="s">
        <v>22</v>
      </c>
      <c r="L425" s="83">
        <v>2</v>
      </c>
      <c r="M425" s="84">
        <v>588</v>
      </c>
      <c r="N425" s="85">
        <v>386</v>
      </c>
    </row>
    <row r="426" spans="1:14" ht="14.25" customHeight="1" x14ac:dyDescent="0.25">
      <c r="A426" s="78">
        <v>45741</v>
      </c>
      <c r="B426" s="79">
        <v>4.4444444444444446E-2</v>
      </c>
      <c r="C426" s="78" t="str">
        <f>"Q" &amp; CHOOSE(MONTH(Sales!$A426), "1", "1", "1", "2", "2", "2", "3", "3", "3", "4", "4", "4") &amp; "_" &amp; YEAR(Sales!$A426)</f>
        <v>Q1_2025</v>
      </c>
      <c r="D426" s="80" t="s">
        <v>62</v>
      </c>
      <c r="E426" s="81" t="s">
        <v>14</v>
      </c>
      <c r="F426" s="82" t="s">
        <v>15</v>
      </c>
      <c r="G426" s="82" t="s">
        <v>24</v>
      </c>
      <c r="H426" s="82" t="s">
        <v>20</v>
      </c>
      <c r="I426" s="82" t="s">
        <v>25</v>
      </c>
      <c r="J426" s="82">
        <v>1</v>
      </c>
      <c r="K426" s="82" t="s">
        <v>22</v>
      </c>
      <c r="L426" s="83">
        <v>3</v>
      </c>
      <c r="M426" s="84">
        <v>399</v>
      </c>
      <c r="N426" s="85">
        <v>265</v>
      </c>
    </row>
    <row r="427" spans="1:14" ht="14.25" customHeight="1" x14ac:dyDescent="0.25">
      <c r="A427" s="78">
        <v>45741</v>
      </c>
      <c r="B427" s="79">
        <v>0.51875000000000004</v>
      </c>
      <c r="C427" s="78" t="str">
        <f>"Q" &amp; CHOOSE(MONTH(Sales!$A427), "1", "1", "1", "2", "2", "2", "3", "3", "3", "4", "4", "4") &amp; "_" &amp; YEAR(Sales!$A427)</f>
        <v>Q1_2025</v>
      </c>
      <c r="D427" s="80" t="s">
        <v>66</v>
      </c>
      <c r="E427" s="81" t="s">
        <v>14</v>
      </c>
      <c r="F427" s="82" t="s">
        <v>15</v>
      </c>
      <c r="G427" s="82" t="s">
        <v>102</v>
      </c>
      <c r="H427" s="82" t="s">
        <v>17</v>
      </c>
      <c r="I427" s="82" t="s">
        <v>240</v>
      </c>
      <c r="J427" s="82">
        <v>1</v>
      </c>
      <c r="K427" s="82" t="s">
        <v>22</v>
      </c>
      <c r="L427" s="83">
        <v>1</v>
      </c>
      <c r="M427" s="84">
        <v>495</v>
      </c>
      <c r="N427" s="85">
        <v>298</v>
      </c>
    </row>
    <row r="428" spans="1:14" ht="14.25" customHeight="1" x14ac:dyDescent="0.25">
      <c r="A428" s="78">
        <v>45741</v>
      </c>
      <c r="B428" s="79">
        <v>0.64513888888888893</v>
      </c>
      <c r="C428" s="78" t="str">
        <f>"Q" &amp; CHOOSE(MONTH(Sales!$A428), "1", "1", "1", "2", "2", "2", "3", "3", "3", "4", "4", "4") &amp; "_" &amp; YEAR(Sales!$A428)</f>
        <v>Q1_2025</v>
      </c>
      <c r="D428" s="80" t="s">
        <v>58</v>
      </c>
      <c r="E428" s="81" t="s">
        <v>14</v>
      </c>
      <c r="F428" s="82" t="s">
        <v>15</v>
      </c>
      <c r="G428" s="82" t="s">
        <v>24</v>
      </c>
      <c r="H428" s="82" t="s">
        <v>20</v>
      </c>
      <c r="I428" s="82" t="s">
        <v>25</v>
      </c>
      <c r="J428" s="82">
        <v>1</v>
      </c>
      <c r="K428" s="82" t="s">
        <v>22</v>
      </c>
      <c r="L428" s="83">
        <v>3</v>
      </c>
      <c r="M428" s="84">
        <v>399</v>
      </c>
      <c r="N428" s="85">
        <v>265</v>
      </c>
    </row>
    <row r="429" spans="1:14" ht="14.25" customHeight="1" x14ac:dyDescent="0.25">
      <c r="A429" s="78">
        <v>45741</v>
      </c>
      <c r="B429" s="79">
        <v>0.85138888888888886</v>
      </c>
      <c r="C429" s="78" t="str">
        <f>"Q" &amp; CHOOSE(MONTH(Sales!$A429), "1", "1", "1", "2", "2", "2", "3", "3", "3", "4", "4", "4") &amp; "_" &amp; YEAR(Sales!$A429)</f>
        <v>Q1_2025</v>
      </c>
      <c r="D429" s="80" t="s">
        <v>57</v>
      </c>
      <c r="E429" s="81" t="s">
        <v>14</v>
      </c>
      <c r="F429" s="82" t="s">
        <v>15</v>
      </c>
      <c r="G429" s="82" t="s">
        <v>24</v>
      </c>
      <c r="H429" s="82" t="s">
        <v>20</v>
      </c>
      <c r="I429" s="82" t="s">
        <v>52</v>
      </c>
      <c r="J429" s="82">
        <v>1</v>
      </c>
      <c r="K429" s="82" t="s">
        <v>22</v>
      </c>
      <c r="L429" s="83">
        <v>5</v>
      </c>
      <c r="M429" s="84">
        <v>569</v>
      </c>
      <c r="N429" s="85">
        <v>369</v>
      </c>
    </row>
    <row r="430" spans="1:14" ht="14.25" customHeight="1" x14ac:dyDescent="0.25">
      <c r="A430" s="78">
        <v>45741</v>
      </c>
      <c r="B430" s="79">
        <v>0.87430555555555556</v>
      </c>
      <c r="C430" s="78" t="str">
        <f>"Q" &amp; CHOOSE(MONTH(Sales!$A430), "1", "1", "1", "2", "2", "2", "3", "3", "3", "4", "4", "4") &amp; "_" &amp; YEAR(Sales!$A430)</f>
        <v>Q1_2025</v>
      </c>
      <c r="D430" s="80" t="s">
        <v>58</v>
      </c>
      <c r="E430" s="81" t="s">
        <v>14</v>
      </c>
      <c r="F430" s="82" t="s">
        <v>15</v>
      </c>
      <c r="G430" s="82" t="s">
        <v>24</v>
      </c>
      <c r="H430" s="82" t="s">
        <v>20</v>
      </c>
      <c r="I430" s="82" t="s">
        <v>52</v>
      </c>
      <c r="J430" s="82">
        <v>1</v>
      </c>
      <c r="K430" s="82" t="s">
        <v>22</v>
      </c>
      <c r="L430" s="83">
        <v>5</v>
      </c>
      <c r="M430" s="84">
        <v>569</v>
      </c>
      <c r="N430" s="85">
        <v>369</v>
      </c>
    </row>
    <row r="431" spans="1:14" ht="14.25" customHeight="1" x14ac:dyDescent="0.25">
      <c r="A431" s="78">
        <v>45742</v>
      </c>
      <c r="B431" s="79">
        <v>7.6388888888888895E-2</v>
      </c>
      <c r="C431" s="78" t="str">
        <f>"Q" &amp; CHOOSE(MONTH(Sales!$A431), "1", "1", "1", "2", "2", "2", "3", "3", "3", "4", "4", "4") &amp; "_" &amp; YEAR(Sales!$A431)</f>
        <v>Q1_2025</v>
      </c>
      <c r="D431" s="80" t="s">
        <v>68</v>
      </c>
      <c r="E431" s="81" t="s">
        <v>14</v>
      </c>
      <c r="F431" s="82" t="s">
        <v>15</v>
      </c>
      <c r="G431" s="82" t="s">
        <v>114</v>
      </c>
      <c r="H431" s="82" t="s">
        <v>20</v>
      </c>
      <c r="I431" s="82" t="s">
        <v>115</v>
      </c>
      <c r="J431" s="82">
        <v>1</v>
      </c>
      <c r="K431" s="82" t="s">
        <v>22</v>
      </c>
      <c r="L431" s="83">
        <v>3</v>
      </c>
      <c r="M431" s="84">
        <v>198</v>
      </c>
      <c r="N431" s="85">
        <v>88</v>
      </c>
    </row>
    <row r="432" spans="1:14" ht="14.25" customHeight="1" x14ac:dyDescent="0.25">
      <c r="A432" s="78">
        <v>45742</v>
      </c>
      <c r="B432" s="79">
        <v>0.23055555555555557</v>
      </c>
      <c r="C432" s="78" t="str">
        <f>"Q" &amp; CHOOSE(MONTH(Sales!$A432), "1", "1", "1", "2", "2", "2", "3", "3", "3", "4", "4", "4") &amp; "_" &amp; YEAR(Sales!$A432)</f>
        <v>Q1_2025</v>
      </c>
      <c r="D432" s="80" t="s">
        <v>60</v>
      </c>
      <c r="E432" s="81" t="s">
        <v>14</v>
      </c>
      <c r="F432" s="82" t="s">
        <v>15</v>
      </c>
      <c r="G432" s="82" t="s">
        <v>87</v>
      </c>
      <c r="H432" s="82" t="s">
        <v>17</v>
      </c>
      <c r="I432" s="82" t="s">
        <v>88</v>
      </c>
      <c r="J432" s="82">
        <v>1</v>
      </c>
      <c r="K432" s="82" t="s">
        <v>22</v>
      </c>
      <c r="L432" s="83">
        <v>1</v>
      </c>
      <c r="M432" s="84">
        <v>930</v>
      </c>
      <c r="N432" s="85">
        <v>620</v>
      </c>
    </row>
    <row r="433" spans="1:14" ht="14.25" customHeight="1" x14ac:dyDescent="0.25">
      <c r="A433" s="78">
        <v>45742</v>
      </c>
      <c r="B433" s="79">
        <v>0.47291666666666665</v>
      </c>
      <c r="C433" s="78" t="str">
        <f>"Q" &amp; CHOOSE(MONTH(Sales!$A433), "1", "1", "1", "2", "2", "2", "3", "3", "3", "4", "4", "4") &amp; "_" &amp; YEAR(Sales!$A433)</f>
        <v>Q1_2025</v>
      </c>
      <c r="D433" s="80" t="s">
        <v>101</v>
      </c>
      <c r="E433" s="81" t="s">
        <v>14</v>
      </c>
      <c r="F433" s="82" t="s">
        <v>15</v>
      </c>
      <c r="G433" s="82" t="s">
        <v>24</v>
      </c>
      <c r="H433" s="82" t="s">
        <v>20</v>
      </c>
      <c r="I433" s="82" t="s">
        <v>81</v>
      </c>
      <c r="J433" s="82">
        <v>1</v>
      </c>
      <c r="K433" s="82" t="s">
        <v>22</v>
      </c>
      <c r="L433" s="83">
        <v>9</v>
      </c>
      <c r="M433" s="84">
        <v>829</v>
      </c>
      <c r="N433" s="85">
        <v>596</v>
      </c>
    </row>
    <row r="434" spans="1:14" ht="14.25" customHeight="1" x14ac:dyDescent="0.25">
      <c r="A434" s="78">
        <v>45742</v>
      </c>
      <c r="B434" s="79">
        <v>0.58680555555555558</v>
      </c>
      <c r="C434" s="78" t="str">
        <f>"Q" &amp; CHOOSE(MONTH(Sales!$A434), "1", "1", "1", "2", "2", "2", "3", "3", "3", "4", "4", "4") &amp; "_" &amp; YEAR(Sales!$A434)</f>
        <v>Q1_2025</v>
      </c>
      <c r="D434" s="80" t="s">
        <v>60</v>
      </c>
      <c r="E434" s="81" t="s">
        <v>14</v>
      </c>
      <c r="F434" s="82" t="s">
        <v>15</v>
      </c>
      <c r="G434" s="82" t="s">
        <v>87</v>
      </c>
      <c r="H434" s="82" t="s">
        <v>17</v>
      </c>
      <c r="I434" s="82" t="s">
        <v>88</v>
      </c>
      <c r="J434" s="82">
        <v>1</v>
      </c>
      <c r="K434" s="82" t="s">
        <v>22</v>
      </c>
      <c r="L434" s="83">
        <v>1</v>
      </c>
      <c r="M434" s="84">
        <v>949</v>
      </c>
      <c r="N434" s="85">
        <v>649</v>
      </c>
    </row>
    <row r="435" spans="1:14" ht="14.25" customHeight="1" x14ac:dyDescent="0.25">
      <c r="A435" s="78">
        <v>45742</v>
      </c>
      <c r="B435" s="79">
        <v>0.65138888888888891</v>
      </c>
      <c r="C435" s="78" t="str">
        <f>"Q" &amp; CHOOSE(MONTH(Sales!$A435), "1", "1", "1", "2", "2", "2", "3", "3", "3", "4", "4", "4") &amp; "_" &amp; YEAR(Sales!$A435)</f>
        <v>Q1_2025</v>
      </c>
      <c r="D435" s="80" t="s">
        <v>58</v>
      </c>
      <c r="E435" s="81" t="s">
        <v>14</v>
      </c>
      <c r="F435" s="82" t="s">
        <v>15</v>
      </c>
      <c r="G435" s="82" t="s">
        <v>24</v>
      </c>
      <c r="H435" s="82" t="s">
        <v>20</v>
      </c>
      <c r="I435" s="82" t="s">
        <v>25</v>
      </c>
      <c r="J435" s="82">
        <v>1</v>
      </c>
      <c r="K435" s="82" t="s">
        <v>22</v>
      </c>
      <c r="L435" s="83">
        <v>3</v>
      </c>
      <c r="M435" s="84">
        <v>389</v>
      </c>
      <c r="N435" s="85">
        <v>255</v>
      </c>
    </row>
    <row r="436" spans="1:14" ht="14.25" customHeight="1" x14ac:dyDescent="0.25">
      <c r="A436" s="78">
        <v>45742</v>
      </c>
      <c r="B436" s="79">
        <v>0.81527777777777777</v>
      </c>
      <c r="C436" s="78" t="str">
        <f>"Q" &amp; CHOOSE(MONTH(Sales!$A436), "1", "1", "1", "2", "2", "2", "3", "3", "3", "4", "4", "4") &amp; "_" &amp; YEAR(Sales!$A436)</f>
        <v>Q1_2025</v>
      </c>
      <c r="D436" s="80" t="s">
        <v>58</v>
      </c>
      <c r="E436" s="81" t="s">
        <v>14</v>
      </c>
      <c r="F436" s="82" t="s">
        <v>15</v>
      </c>
      <c r="G436" s="82" t="s">
        <v>24</v>
      </c>
      <c r="H436" s="82" t="s">
        <v>20</v>
      </c>
      <c r="I436" s="82" t="s">
        <v>25</v>
      </c>
      <c r="J436" s="82">
        <v>1</v>
      </c>
      <c r="K436" s="82" t="s">
        <v>22</v>
      </c>
      <c r="L436" s="83">
        <v>3</v>
      </c>
      <c r="M436" s="84">
        <v>389</v>
      </c>
      <c r="N436" s="85">
        <v>255</v>
      </c>
    </row>
    <row r="437" spans="1:14" ht="14.25" customHeight="1" x14ac:dyDescent="0.25">
      <c r="A437" s="78">
        <v>45742</v>
      </c>
      <c r="B437" s="79">
        <v>0.82986111111111116</v>
      </c>
      <c r="C437" s="78" t="str">
        <f>"Q" &amp; CHOOSE(MONTH(Sales!$A437), "1", "1", "1", "2", "2", "2", "3", "3", "3", "4", "4", "4") &amp; "_" &amp; YEAR(Sales!$A437)</f>
        <v>Q1_2025</v>
      </c>
      <c r="D437" s="80" t="s">
        <v>66</v>
      </c>
      <c r="E437" s="81" t="s">
        <v>14</v>
      </c>
      <c r="F437" s="82" t="s">
        <v>15</v>
      </c>
      <c r="G437" s="82" t="s">
        <v>32</v>
      </c>
      <c r="H437" s="82" t="s">
        <v>20</v>
      </c>
      <c r="I437" s="82" t="s">
        <v>98</v>
      </c>
      <c r="J437" s="82">
        <v>1</v>
      </c>
      <c r="K437" s="82" t="s">
        <v>22</v>
      </c>
      <c r="L437" s="83">
        <v>3</v>
      </c>
      <c r="M437" s="84">
        <v>318</v>
      </c>
      <c r="N437" s="85">
        <v>183</v>
      </c>
    </row>
    <row r="438" spans="1:14" ht="14.25" customHeight="1" x14ac:dyDescent="0.25">
      <c r="A438" s="78">
        <v>45742</v>
      </c>
      <c r="B438" s="79">
        <v>0.84236111111111112</v>
      </c>
      <c r="C438" s="78" t="str">
        <f>"Q" &amp; CHOOSE(MONTH(Sales!$A438), "1", "1", "1", "2", "2", "2", "3", "3", "3", "4", "4", "4") &amp; "_" &amp; YEAR(Sales!$A438)</f>
        <v>Q1_2025</v>
      </c>
      <c r="D438" s="80" t="s">
        <v>62</v>
      </c>
      <c r="E438" s="81" t="s">
        <v>14</v>
      </c>
      <c r="F438" s="82" t="s">
        <v>15</v>
      </c>
      <c r="G438" s="82" t="s">
        <v>35</v>
      </c>
      <c r="H438" s="82" t="s">
        <v>20</v>
      </c>
      <c r="I438" s="82" t="s">
        <v>65</v>
      </c>
      <c r="J438" s="82">
        <v>1</v>
      </c>
      <c r="K438" s="82" t="s">
        <v>22</v>
      </c>
      <c r="L438" s="83">
        <v>3</v>
      </c>
      <c r="M438" s="84">
        <v>338</v>
      </c>
      <c r="N438" s="85">
        <v>201</v>
      </c>
    </row>
    <row r="439" spans="1:14" ht="14.25" customHeight="1" x14ac:dyDescent="0.25">
      <c r="A439" s="78">
        <v>45742</v>
      </c>
      <c r="B439" s="79">
        <v>0.92777777777777781</v>
      </c>
      <c r="C439" s="78" t="str">
        <f>"Q" &amp; CHOOSE(MONTH(Sales!$A439), "1", "1", "1", "2", "2", "2", "3", "3", "3", "4", "4", "4") &amp; "_" &amp; YEAR(Sales!$A439)</f>
        <v>Q1_2025</v>
      </c>
      <c r="D439" s="80" t="s">
        <v>62</v>
      </c>
      <c r="E439" s="81" t="s">
        <v>14</v>
      </c>
      <c r="F439" s="82" t="s">
        <v>15</v>
      </c>
      <c r="G439" s="82" t="s">
        <v>24</v>
      </c>
      <c r="H439" s="82" t="s">
        <v>20</v>
      </c>
      <c r="I439" s="82" t="s">
        <v>25</v>
      </c>
      <c r="J439" s="82">
        <v>1</v>
      </c>
      <c r="K439" s="82" t="s">
        <v>22</v>
      </c>
      <c r="L439" s="83">
        <v>3</v>
      </c>
      <c r="M439" s="84">
        <v>389</v>
      </c>
      <c r="N439" s="85">
        <v>255</v>
      </c>
    </row>
    <row r="440" spans="1:14" ht="14.25" customHeight="1" x14ac:dyDescent="0.25">
      <c r="A440" s="78">
        <v>45743</v>
      </c>
      <c r="B440" s="79">
        <v>0.17708333333333334</v>
      </c>
      <c r="C440" s="78" t="str">
        <f>"Q" &amp; CHOOSE(MONTH(Sales!$A440), "1", "1", "1", "2", "2", "2", "3", "3", "3", "4", "4", "4") &amp; "_" &amp; YEAR(Sales!$A440)</f>
        <v>Q1_2025</v>
      </c>
      <c r="D440" s="80" t="s">
        <v>58</v>
      </c>
      <c r="E440" s="81" t="s">
        <v>14</v>
      </c>
      <c r="F440" s="82" t="s">
        <v>15</v>
      </c>
      <c r="G440" s="82" t="s">
        <v>24</v>
      </c>
      <c r="H440" s="82" t="s">
        <v>20</v>
      </c>
      <c r="I440" s="82" t="s">
        <v>52</v>
      </c>
      <c r="J440" s="82">
        <v>1</v>
      </c>
      <c r="K440" s="82" t="s">
        <v>22</v>
      </c>
      <c r="L440" s="83">
        <v>5</v>
      </c>
      <c r="M440" s="84">
        <v>569</v>
      </c>
      <c r="N440" s="85">
        <v>369</v>
      </c>
    </row>
    <row r="441" spans="1:14" ht="14.25" customHeight="1" x14ac:dyDescent="0.25">
      <c r="A441" s="78">
        <v>45743</v>
      </c>
      <c r="B441" s="79">
        <v>0.35902777777777778</v>
      </c>
      <c r="C441" s="78" t="str">
        <f>"Q" &amp; CHOOSE(MONTH(Sales!$A441), "1", "1", "1", "2", "2", "2", "3", "3", "3", "4", "4", "4") &amp; "_" &amp; YEAR(Sales!$A441)</f>
        <v>Q1_2025</v>
      </c>
      <c r="D441" s="80" t="s">
        <v>68</v>
      </c>
      <c r="E441" s="81" t="s">
        <v>14</v>
      </c>
      <c r="F441" s="82" t="s">
        <v>15</v>
      </c>
      <c r="G441" s="82" t="s">
        <v>102</v>
      </c>
      <c r="H441" s="82" t="s">
        <v>17</v>
      </c>
      <c r="I441" s="82" t="s">
        <v>240</v>
      </c>
      <c r="J441" s="82">
        <v>1</v>
      </c>
      <c r="K441" s="82" t="s">
        <v>22</v>
      </c>
      <c r="L441" s="83">
        <v>1</v>
      </c>
      <c r="M441" s="84">
        <v>490</v>
      </c>
      <c r="N441" s="85">
        <v>294</v>
      </c>
    </row>
    <row r="442" spans="1:14" ht="14.25" customHeight="1" x14ac:dyDescent="0.25">
      <c r="A442" s="78">
        <v>45743</v>
      </c>
      <c r="B442" s="79">
        <v>0.38333333333333336</v>
      </c>
      <c r="C442" s="78" t="str">
        <f>"Q" &amp; CHOOSE(MONTH(Sales!$A442), "1", "1", "1", "2", "2", "2", "3", "3", "3", "4", "4", "4") &amp; "_" &amp; YEAR(Sales!$A442)</f>
        <v>Q1_2025</v>
      </c>
      <c r="D442" s="80" t="s">
        <v>58</v>
      </c>
      <c r="E442" s="81" t="s">
        <v>14</v>
      </c>
      <c r="F442" s="82" t="s">
        <v>15</v>
      </c>
      <c r="G442" s="82" t="s">
        <v>24</v>
      </c>
      <c r="H442" s="82" t="s">
        <v>20</v>
      </c>
      <c r="I442" s="82" t="s">
        <v>116</v>
      </c>
      <c r="J442" s="82">
        <v>1</v>
      </c>
      <c r="K442" s="82" t="s">
        <v>22</v>
      </c>
      <c r="L442" s="83">
        <v>3</v>
      </c>
      <c r="M442" s="84">
        <v>389</v>
      </c>
      <c r="N442" s="85">
        <v>255</v>
      </c>
    </row>
    <row r="443" spans="1:14" ht="14.25" customHeight="1" x14ac:dyDescent="0.25">
      <c r="A443" s="78">
        <v>45744</v>
      </c>
      <c r="B443" s="79">
        <v>0.42083333333333334</v>
      </c>
      <c r="C443" s="78" t="str">
        <f>"Q" &amp; CHOOSE(MONTH(Sales!$A443), "1", "1", "1", "2", "2", "2", "3", "3", "3", "4", "4", "4") &amp; "_" &amp; YEAR(Sales!$A443)</f>
        <v>Q1_2025</v>
      </c>
      <c r="D443" s="80" t="s">
        <v>69</v>
      </c>
      <c r="E443" s="81" t="s">
        <v>14</v>
      </c>
      <c r="F443" s="82" t="s">
        <v>15</v>
      </c>
      <c r="G443" s="82" t="s">
        <v>24</v>
      </c>
      <c r="H443" s="82" t="s">
        <v>20</v>
      </c>
      <c r="I443" s="82" t="s">
        <v>116</v>
      </c>
      <c r="J443" s="82">
        <v>1</v>
      </c>
      <c r="K443" s="82" t="s">
        <v>22</v>
      </c>
      <c r="L443" s="83">
        <v>3</v>
      </c>
      <c r="M443" s="84">
        <v>389</v>
      </c>
      <c r="N443" s="85">
        <v>255</v>
      </c>
    </row>
    <row r="444" spans="1:14" ht="14.25" customHeight="1" x14ac:dyDescent="0.25">
      <c r="A444" s="78">
        <v>45744</v>
      </c>
      <c r="B444" s="79">
        <v>0.52152777777777781</v>
      </c>
      <c r="C444" s="78" t="str">
        <f>"Q" &amp; CHOOSE(MONTH(Sales!$A444), "1", "1", "1", "2", "2", "2", "3", "3", "3", "4", "4", "4") &amp; "_" &amp; YEAR(Sales!$A444)</f>
        <v>Q1_2025</v>
      </c>
      <c r="D444" s="80" t="s">
        <v>60</v>
      </c>
      <c r="E444" s="81" t="s">
        <v>14</v>
      </c>
      <c r="F444" s="82" t="s">
        <v>15</v>
      </c>
      <c r="G444" s="82" t="s">
        <v>102</v>
      </c>
      <c r="H444" s="82" t="s">
        <v>17</v>
      </c>
      <c r="I444" s="82" t="s">
        <v>240</v>
      </c>
      <c r="J444" s="82">
        <v>1</v>
      </c>
      <c r="K444" s="82" t="s">
        <v>22</v>
      </c>
      <c r="L444" s="83">
        <v>1</v>
      </c>
      <c r="M444" s="84">
        <v>489</v>
      </c>
      <c r="N444" s="85">
        <v>293</v>
      </c>
    </row>
    <row r="445" spans="1:14" ht="14.25" customHeight="1" x14ac:dyDescent="0.25">
      <c r="A445" s="78">
        <v>45744</v>
      </c>
      <c r="B445" s="79">
        <v>0.66388888888888886</v>
      </c>
      <c r="C445" s="78" t="str">
        <f>"Q" &amp; CHOOSE(MONTH(Sales!$A445), "1", "1", "1", "2", "2", "2", "3", "3", "3", "4", "4", "4") &amp; "_" &amp; YEAR(Sales!$A445)</f>
        <v>Q1_2025</v>
      </c>
      <c r="D445" s="80" t="s">
        <v>68</v>
      </c>
      <c r="E445" s="81" t="s">
        <v>14</v>
      </c>
      <c r="F445" s="82" t="s">
        <v>15</v>
      </c>
      <c r="G445" s="82" t="s">
        <v>87</v>
      </c>
      <c r="H445" s="82" t="s">
        <v>17</v>
      </c>
      <c r="I445" s="82" t="s">
        <v>88</v>
      </c>
      <c r="J445" s="82">
        <v>1</v>
      </c>
      <c r="K445" s="82" t="s">
        <v>22</v>
      </c>
      <c r="L445" s="83">
        <v>1</v>
      </c>
      <c r="M445" s="84">
        <v>948</v>
      </c>
      <c r="N445" s="85">
        <v>638</v>
      </c>
    </row>
    <row r="446" spans="1:14" ht="14.25" customHeight="1" x14ac:dyDescent="0.25">
      <c r="A446" s="78">
        <v>45744</v>
      </c>
      <c r="B446" s="79">
        <v>0.76041666666666663</v>
      </c>
      <c r="C446" s="78" t="str">
        <f>"Q" &amp; CHOOSE(MONTH(Sales!$A446), "1", "1", "1", "2", "2", "2", "3", "3", "3", "4", "4", "4") &amp; "_" &amp; YEAR(Sales!$A446)</f>
        <v>Q1_2025</v>
      </c>
      <c r="D446" s="80" t="s">
        <v>66</v>
      </c>
      <c r="E446" s="81" t="s">
        <v>14</v>
      </c>
      <c r="F446" s="82" t="s">
        <v>15</v>
      </c>
      <c r="G446" s="82" t="s">
        <v>87</v>
      </c>
      <c r="H446" s="82" t="s">
        <v>17</v>
      </c>
      <c r="I446" s="82" t="s">
        <v>88</v>
      </c>
      <c r="J446" s="82">
        <v>1</v>
      </c>
      <c r="K446" s="82" t="s">
        <v>22</v>
      </c>
      <c r="L446" s="83">
        <v>1</v>
      </c>
      <c r="M446" s="84">
        <v>949</v>
      </c>
      <c r="N446" s="85">
        <v>639</v>
      </c>
    </row>
    <row r="447" spans="1:14" ht="14.25" customHeight="1" x14ac:dyDescent="0.25">
      <c r="A447" s="78">
        <v>45744</v>
      </c>
      <c r="B447" s="79">
        <v>0.89583333333333337</v>
      </c>
      <c r="C447" s="78" t="str">
        <f>"Q" &amp; CHOOSE(MONTH(Sales!$A447), "1", "1", "1", "2", "2", "2", "3", "3", "3", "4", "4", "4") &amp; "_" &amp; YEAR(Sales!$A447)</f>
        <v>Q1_2025</v>
      </c>
      <c r="D447" s="80" t="s">
        <v>57</v>
      </c>
      <c r="E447" s="81" t="s">
        <v>14</v>
      </c>
      <c r="F447" s="82" t="s">
        <v>15</v>
      </c>
      <c r="G447" s="82" t="s">
        <v>24</v>
      </c>
      <c r="H447" s="82" t="s">
        <v>20</v>
      </c>
      <c r="I447" s="82" t="s">
        <v>25</v>
      </c>
      <c r="J447" s="82">
        <v>1</v>
      </c>
      <c r="K447" s="82" t="s">
        <v>22</v>
      </c>
      <c r="L447" s="83">
        <v>1</v>
      </c>
      <c r="M447" s="84">
        <v>375</v>
      </c>
      <c r="N447" s="85">
        <v>243</v>
      </c>
    </row>
    <row r="448" spans="1:14" ht="14.25" customHeight="1" x14ac:dyDescent="0.25">
      <c r="A448" s="78">
        <v>45744</v>
      </c>
      <c r="B448" s="79">
        <v>0.94027777777777777</v>
      </c>
      <c r="C448" s="78" t="str">
        <f>"Q" &amp; CHOOSE(MONTH(Sales!$A448), "1", "1", "1", "2", "2", "2", "3", "3", "3", "4", "4", "4") &amp; "_" &amp; YEAR(Sales!$A448)</f>
        <v>Q1_2025</v>
      </c>
      <c r="D448" s="80" t="s">
        <v>62</v>
      </c>
      <c r="E448" s="81" t="s">
        <v>14</v>
      </c>
      <c r="F448" s="82" t="s">
        <v>15</v>
      </c>
      <c r="G448" s="82" t="s">
        <v>24</v>
      </c>
      <c r="H448" s="82" t="s">
        <v>20</v>
      </c>
      <c r="I448" s="82" t="s">
        <v>25</v>
      </c>
      <c r="J448" s="82">
        <v>1</v>
      </c>
      <c r="K448" s="82" t="s">
        <v>22</v>
      </c>
      <c r="L448" s="83">
        <v>1</v>
      </c>
      <c r="M448" s="84">
        <v>375</v>
      </c>
      <c r="N448" s="85">
        <v>243</v>
      </c>
    </row>
    <row r="449" spans="1:14" ht="14.25" customHeight="1" x14ac:dyDescent="0.25">
      <c r="A449" s="78">
        <v>45745</v>
      </c>
      <c r="B449" s="79">
        <v>0.35347222222222224</v>
      </c>
      <c r="C449" s="78" t="str">
        <f>"Q" &amp; CHOOSE(MONTH(Sales!$A449), "1", "1", "1", "2", "2", "2", "3", "3", "3", "4", "4", "4") &amp; "_" &amp; YEAR(Sales!$A449)</f>
        <v>Q1_2025</v>
      </c>
      <c r="D449" s="80" t="s">
        <v>59</v>
      </c>
      <c r="E449" s="81" t="s">
        <v>14</v>
      </c>
      <c r="F449" s="82" t="s">
        <v>15</v>
      </c>
      <c r="G449" s="82" t="s">
        <v>102</v>
      </c>
      <c r="H449" s="82" t="s">
        <v>17</v>
      </c>
      <c r="I449" s="82" t="s">
        <v>240</v>
      </c>
      <c r="J449" s="82">
        <v>1</v>
      </c>
      <c r="K449" s="82" t="s">
        <v>22</v>
      </c>
      <c r="L449" s="83">
        <v>1</v>
      </c>
      <c r="M449" s="84">
        <v>484</v>
      </c>
      <c r="N449" s="85">
        <v>290</v>
      </c>
    </row>
    <row r="450" spans="1:14" ht="14.25" customHeight="1" x14ac:dyDescent="0.25">
      <c r="A450" s="78">
        <v>45745</v>
      </c>
      <c r="B450" s="79">
        <v>0.77986111111111112</v>
      </c>
      <c r="C450" s="78" t="str">
        <f>"Q" &amp; CHOOSE(MONTH(Sales!$A450), "1", "1", "1", "2", "2", "2", "3", "3", "3", "4", "4", "4") &amp; "_" &amp; YEAR(Sales!$A450)</f>
        <v>Q1_2025</v>
      </c>
      <c r="D450" s="80" t="s">
        <v>58</v>
      </c>
      <c r="E450" s="81" t="s">
        <v>14</v>
      </c>
      <c r="F450" s="82" t="s">
        <v>15</v>
      </c>
      <c r="G450" s="82" t="s">
        <v>16</v>
      </c>
      <c r="H450" s="82" t="s">
        <v>20</v>
      </c>
      <c r="I450" s="82" t="s">
        <v>18</v>
      </c>
      <c r="J450" s="82">
        <v>1</v>
      </c>
      <c r="K450" s="82" t="s">
        <v>22</v>
      </c>
      <c r="L450" s="83">
        <v>2</v>
      </c>
      <c r="M450" s="84">
        <v>502</v>
      </c>
      <c r="N450" s="85">
        <v>311</v>
      </c>
    </row>
    <row r="451" spans="1:14" ht="14.25" customHeight="1" x14ac:dyDescent="0.25">
      <c r="A451" s="78">
        <v>45745</v>
      </c>
      <c r="B451" s="79">
        <v>0.9</v>
      </c>
      <c r="C451" s="78" t="str">
        <f>"Q" &amp; CHOOSE(MONTH(Sales!$A451), "1", "1", "1", "2", "2", "2", "3", "3", "3", "4", "4", "4") &amp; "_" &amp; YEAR(Sales!$A451)</f>
        <v>Q1_2025</v>
      </c>
      <c r="D451" s="80" t="s">
        <v>59</v>
      </c>
      <c r="E451" s="81" t="s">
        <v>14</v>
      </c>
      <c r="F451" s="82" t="s">
        <v>15</v>
      </c>
      <c r="G451" s="82" t="s">
        <v>24</v>
      </c>
      <c r="H451" s="82" t="s">
        <v>20</v>
      </c>
      <c r="I451" s="82" t="s">
        <v>26</v>
      </c>
      <c r="J451" s="82">
        <v>1</v>
      </c>
      <c r="K451" s="82" t="s">
        <v>22</v>
      </c>
      <c r="L451" s="83">
        <v>6</v>
      </c>
      <c r="M451" s="84">
        <v>619</v>
      </c>
      <c r="N451" s="85">
        <v>413</v>
      </c>
    </row>
    <row r="452" spans="1:14" ht="14.25" customHeight="1" x14ac:dyDescent="0.25">
      <c r="A452" s="78">
        <v>45745</v>
      </c>
      <c r="B452" s="79">
        <v>0.95416666666666672</v>
      </c>
      <c r="C452" s="78" t="str">
        <f>"Q" &amp; CHOOSE(MONTH(Sales!$A452), "1", "1", "1", "2", "2", "2", "3", "3", "3", "4", "4", "4") &amp; "_" &amp; YEAR(Sales!$A452)</f>
        <v>Q1_2025</v>
      </c>
      <c r="D452" s="80" t="s">
        <v>58</v>
      </c>
      <c r="E452" s="81" t="s">
        <v>14</v>
      </c>
      <c r="F452" s="82" t="s">
        <v>15</v>
      </c>
      <c r="G452" s="82" t="s">
        <v>93</v>
      </c>
      <c r="H452" s="82" t="s">
        <v>17</v>
      </c>
      <c r="I452" s="82" t="s">
        <v>94</v>
      </c>
      <c r="J452" s="82">
        <v>1</v>
      </c>
      <c r="K452" s="82" t="s">
        <v>22</v>
      </c>
      <c r="L452" s="83">
        <v>1</v>
      </c>
      <c r="M452" s="84">
        <v>254</v>
      </c>
      <c r="N452" s="85">
        <v>103</v>
      </c>
    </row>
    <row r="453" spans="1:14" ht="14.25" customHeight="1" x14ac:dyDescent="0.25">
      <c r="A453" s="78">
        <v>45746</v>
      </c>
      <c r="B453" s="79">
        <v>0.54305555555555551</v>
      </c>
      <c r="C453" s="78" t="str">
        <f>"Q" &amp; CHOOSE(MONTH(Sales!$A453), "1", "1", "1", "2", "2", "2", "3", "3", "3", "4", "4", "4") &amp; "_" &amp; YEAR(Sales!$A453)</f>
        <v>Q1_2025</v>
      </c>
      <c r="D453" s="80" t="s">
        <v>68</v>
      </c>
      <c r="E453" s="81" t="s">
        <v>14</v>
      </c>
      <c r="F453" s="82" t="s">
        <v>15</v>
      </c>
      <c r="G453" s="82" t="s">
        <v>102</v>
      </c>
      <c r="H453" s="82" t="s">
        <v>17</v>
      </c>
      <c r="I453" s="82" t="s">
        <v>240</v>
      </c>
      <c r="J453" s="82">
        <v>1</v>
      </c>
      <c r="K453" s="82" t="s">
        <v>22</v>
      </c>
      <c r="L453" s="83">
        <v>1</v>
      </c>
      <c r="M453" s="84">
        <v>495</v>
      </c>
      <c r="N453" s="85">
        <v>305</v>
      </c>
    </row>
    <row r="454" spans="1:14" ht="14.25" customHeight="1" x14ac:dyDescent="0.25">
      <c r="A454" s="78">
        <v>45746</v>
      </c>
      <c r="B454" s="79">
        <v>0.87638888888888888</v>
      </c>
      <c r="C454" s="78" t="str">
        <f>"Q" &amp; CHOOSE(MONTH(Sales!$A454), "1", "1", "1", "2", "2", "2", "3", "3", "3", "4", "4", "4") &amp; "_" &amp; YEAR(Sales!$A454)</f>
        <v>Q1_2025</v>
      </c>
      <c r="D454" s="80" t="s">
        <v>66</v>
      </c>
      <c r="E454" s="81" t="s">
        <v>14</v>
      </c>
      <c r="F454" s="82" t="s">
        <v>15</v>
      </c>
      <c r="G454" s="82" t="s">
        <v>102</v>
      </c>
      <c r="H454" s="82" t="s">
        <v>17</v>
      </c>
      <c r="I454" s="82" t="s">
        <v>240</v>
      </c>
      <c r="J454" s="82">
        <v>1</v>
      </c>
      <c r="K454" s="82" t="s">
        <v>22</v>
      </c>
      <c r="L454" s="83">
        <v>1</v>
      </c>
      <c r="M454" s="84">
        <v>495</v>
      </c>
      <c r="N454" s="85">
        <v>305</v>
      </c>
    </row>
    <row r="455" spans="1:14" ht="14.25" customHeight="1" x14ac:dyDescent="0.25">
      <c r="A455" s="78">
        <v>45746</v>
      </c>
      <c r="B455" s="79">
        <v>0.94652777777777775</v>
      </c>
      <c r="C455" s="78" t="str">
        <f>"Q" &amp; CHOOSE(MONTH(Sales!$A455), "1", "1", "1", "2", "2", "2", "3", "3", "3", "4", "4", "4") &amp; "_" &amp; YEAR(Sales!$A455)</f>
        <v>Q1_2025</v>
      </c>
      <c r="D455" s="80" t="s">
        <v>82</v>
      </c>
      <c r="E455" s="81" t="s">
        <v>14</v>
      </c>
      <c r="F455" s="82" t="s">
        <v>15</v>
      </c>
      <c r="G455" s="82" t="s">
        <v>24</v>
      </c>
      <c r="H455" s="82" t="s">
        <v>20</v>
      </c>
      <c r="I455" s="82" t="s">
        <v>52</v>
      </c>
      <c r="J455" s="82">
        <v>1</v>
      </c>
      <c r="K455" s="82" t="s">
        <v>22</v>
      </c>
      <c r="L455" s="83">
        <v>5</v>
      </c>
      <c r="M455" s="84">
        <v>569</v>
      </c>
      <c r="N455" s="85">
        <v>369</v>
      </c>
    </row>
    <row r="456" spans="1:14" ht="14.25" customHeight="1" x14ac:dyDescent="0.25">
      <c r="A456" s="78">
        <v>45746</v>
      </c>
      <c r="B456" s="79">
        <v>0.96736111111111112</v>
      </c>
      <c r="C456" s="78" t="str">
        <f>"Q" &amp; CHOOSE(MONTH(Sales!$A456), "1", "1", "1", "2", "2", "2", "3", "3", "3", "4", "4", "4") &amp; "_" &amp; YEAR(Sales!$A456)</f>
        <v>Q1_2025</v>
      </c>
      <c r="D456" s="80" t="s">
        <v>60</v>
      </c>
      <c r="E456" s="81" t="s">
        <v>14</v>
      </c>
      <c r="F456" s="82" t="s">
        <v>15</v>
      </c>
      <c r="G456" s="82" t="s">
        <v>87</v>
      </c>
      <c r="H456" s="82" t="s">
        <v>17</v>
      </c>
      <c r="I456" s="82" t="s">
        <v>88</v>
      </c>
      <c r="J456" s="82">
        <v>1</v>
      </c>
      <c r="K456" s="82" t="s">
        <v>22</v>
      </c>
      <c r="L456" s="83">
        <v>1</v>
      </c>
      <c r="M456" s="84">
        <v>949</v>
      </c>
      <c r="N456" s="85">
        <v>639</v>
      </c>
    </row>
    <row r="457" spans="1:14" ht="14.25" customHeight="1" x14ac:dyDescent="0.25">
      <c r="A457" s="78">
        <v>45747</v>
      </c>
      <c r="B457" s="79">
        <v>0.20069444444444445</v>
      </c>
      <c r="C457" s="78" t="str">
        <f>"Q" &amp; CHOOSE(MONTH(Sales!$A457), "1", "1", "1", "2", "2", "2", "3", "3", "3", "4", "4", "4") &amp; "_" &amp; YEAR(Sales!$A457)</f>
        <v>Q1_2025</v>
      </c>
      <c r="D457" s="80" t="s">
        <v>60</v>
      </c>
      <c r="E457" s="81" t="s">
        <v>14</v>
      </c>
      <c r="F457" s="82" t="s">
        <v>15</v>
      </c>
      <c r="G457" s="82" t="s">
        <v>103</v>
      </c>
      <c r="H457" s="82" t="s">
        <v>20</v>
      </c>
      <c r="I457" s="82" t="s">
        <v>104</v>
      </c>
      <c r="J457" s="82">
        <v>1</v>
      </c>
      <c r="K457" s="82" t="s">
        <v>22</v>
      </c>
      <c r="L457" s="83">
        <v>3</v>
      </c>
      <c r="M457" s="84">
        <v>1449</v>
      </c>
      <c r="N457" s="85">
        <v>1006</v>
      </c>
    </row>
    <row r="458" spans="1:14" ht="14.25" customHeight="1" x14ac:dyDescent="0.25">
      <c r="A458" s="78">
        <v>45747</v>
      </c>
      <c r="B458" s="79">
        <v>0.55208333333333337</v>
      </c>
      <c r="C458" s="78" t="str">
        <f>"Q" &amp; CHOOSE(MONTH(Sales!$A458), "1", "1", "1", "2", "2", "2", "3", "3", "3", "4", "4", "4") &amp; "_" &amp; YEAR(Sales!$A458)</f>
        <v>Q1_2025</v>
      </c>
      <c r="D458" s="80" t="s">
        <v>66</v>
      </c>
      <c r="E458" s="81" t="s">
        <v>14</v>
      </c>
      <c r="F458" s="82" t="s">
        <v>15</v>
      </c>
      <c r="G458" s="82" t="s">
        <v>87</v>
      </c>
      <c r="H458" s="82" t="s">
        <v>17</v>
      </c>
      <c r="I458" s="82" t="s">
        <v>88</v>
      </c>
      <c r="J458" s="82">
        <v>1</v>
      </c>
      <c r="K458" s="82" t="s">
        <v>22</v>
      </c>
      <c r="L458" s="83">
        <v>1</v>
      </c>
      <c r="M458" s="84">
        <v>949</v>
      </c>
      <c r="N458" s="85">
        <v>639</v>
      </c>
    </row>
    <row r="459" spans="1:14" ht="14.25" customHeight="1" x14ac:dyDescent="0.25">
      <c r="A459" s="78">
        <v>45747</v>
      </c>
      <c r="B459" s="79">
        <v>0.58402777777777781</v>
      </c>
      <c r="C459" s="78" t="str">
        <f>"Q" &amp; CHOOSE(MONTH(Sales!$A459), "1", "1", "1", "2", "2", "2", "3", "3", "3", "4", "4", "4") &amp; "_" &amp; YEAR(Sales!$A459)</f>
        <v>Q1_2025</v>
      </c>
      <c r="D459" s="80" t="s">
        <v>58</v>
      </c>
      <c r="E459" s="81" t="s">
        <v>14</v>
      </c>
      <c r="F459" s="82" t="s">
        <v>15</v>
      </c>
      <c r="G459" s="82" t="s">
        <v>24</v>
      </c>
      <c r="H459" s="82" t="s">
        <v>20</v>
      </c>
      <c r="I459" s="82" t="s">
        <v>25</v>
      </c>
      <c r="J459" s="82">
        <v>1</v>
      </c>
      <c r="K459" s="82" t="s">
        <v>22</v>
      </c>
      <c r="L459" s="83">
        <v>3</v>
      </c>
      <c r="M459" s="84">
        <v>364</v>
      </c>
      <c r="N459" s="85">
        <v>234</v>
      </c>
    </row>
    <row r="460" spans="1:14" ht="14.25" customHeight="1" x14ac:dyDescent="0.25">
      <c r="A460" s="78">
        <v>45747</v>
      </c>
      <c r="B460" s="79">
        <v>0.6020833333333333</v>
      </c>
      <c r="C460" s="78" t="str">
        <f>"Q" &amp; CHOOSE(MONTH(Sales!$A460), "1", "1", "1", "2", "2", "2", "3", "3", "3", "4", "4", "4") &amp; "_" &amp; YEAR(Sales!$A460)</f>
        <v>Q1_2025</v>
      </c>
      <c r="D460" s="80" t="s">
        <v>60</v>
      </c>
      <c r="E460" s="81" t="s">
        <v>14</v>
      </c>
      <c r="F460" s="82" t="s">
        <v>15</v>
      </c>
      <c r="G460" s="82" t="s">
        <v>87</v>
      </c>
      <c r="H460" s="82" t="s">
        <v>17</v>
      </c>
      <c r="I460" s="82" t="s">
        <v>88</v>
      </c>
      <c r="J460" s="82">
        <v>1</v>
      </c>
      <c r="K460" s="82" t="s">
        <v>22</v>
      </c>
      <c r="L460" s="83">
        <v>1</v>
      </c>
      <c r="M460" s="84">
        <v>949</v>
      </c>
      <c r="N460" s="85">
        <v>639</v>
      </c>
    </row>
    <row r="461" spans="1:14" ht="14.25" customHeight="1" x14ac:dyDescent="0.25">
      <c r="A461" s="78">
        <v>45747</v>
      </c>
      <c r="B461" s="79">
        <v>0.68333333333333335</v>
      </c>
      <c r="C461" s="78" t="str">
        <f>"Q" &amp; CHOOSE(MONTH(Sales!$A461), "1", "1", "1", "2", "2", "2", "3", "3", "3", "4", "4", "4") &amp; "_" &amp; YEAR(Sales!$A461)</f>
        <v>Q1_2025</v>
      </c>
      <c r="D461" s="80" t="s">
        <v>59</v>
      </c>
      <c r="E461" s="81" t="s">
        <v>14</v>
      </c>
      <c r="F461" s="82" t="s">
        <v>15</v>
      </c>
      <c r="G461" s="82" t="s">
        <v>102</v>
      </c>
      <c r="H461" s="82" t="s">
        <v>17</v>
      </c>
      <c r="I461" s="82" t="s">
        <v>240</v>
      </c>
      <c r="J461" s="82">
        <v>1</v>
      </c>
      <c r="K461" s="82" t="s">
        <v>22</v>
      </c>
      <c r="L461" s="83">
        <v>1</v>
      </c>
      <c r="M461" s="84">
        <v>495</v>
      </c>
      <c r="N461" s="85">
        <v>305</v>
      </c>
    </row>
    <row r="462" spans="1:14" ht="14.25" customHeight="1" x14ac:dyDescent="0.25">
      <c r="A462" s="78">
        <v>45747</v>
      </c>
      <c r="B462" s="79">
        <v>0.82291666666666663</v>
      </c>
      <c r="C462" s="78" t="str">
        <f>"Q" &amp; CHOOSE(MONTH(Sales!$A462), "1", "1", "1", "2", "2", "2", "3", "3", "3", "4", "4", "4") &amp; "_" &amp; YEAR(Sales!$A462)</f>
        <v>Q1_2025</v>
      </c>
      <c r="D462" s="80" t="s">
        <v>82</v>
      </c>
      <c r="E462" s="81" t="s">
        <v>14</v>
      </c>
      <c r="F462" s="82" t="s">
        <v>15</v>
      </c>
      <c r="G462" s="82" t="s">
        <v>24</v>
      </c>
      <c r="H462" s="82" t="s">
        <v>20</v>
      </c>
      <c r="I462" s="82" t="s">
        <v>25</v>
      </c>
      <c r="J462" s="82">
        <v>1</v>
      </c>
      <c r="K462" s="82" t="s">
        <v>22</v>
      </c>
      <c r="L462" s="83">
        <v>3</v>
      </c>
      <c r="M462" s="84">
        <v>364</v>
      </c>
      <c r="N462" s="85">
        <v>234</v>
      </c>
    </row>
    <row r="463" spans="1:14" ht="14.25" customHeight="1" x14ac:dyDescent="0.25">
      <c r="A463" s="78">
        <v>45747</v>
      </c>
      <c r="B463" s="79">
        <v>0.95</v>
      </c>
      <c r="C463" s="78" t="str">
        <f>"Q" &amp; CHOOSE(MONTH(Sales!$A463), "1", "1", "1", "2", "2", "2", "3", "3", "3", "4", "4", "4") &amp; "_" &amp; YEAR(Sales!$A463)</f>
        <v>Q1_2025</v>
      </c>
      <c r="D463" s="80" t="s">
        <v>68</v>
      </c>
      <c r="E463" s="81" t="s">
        <v>14</v>
      </c>
      <c r="F463" s="82" t="s">
        <v>15</v>
      </c>
      <c r="G463" s="82" t="s">
        <v>32</v>
      </c>
      <c r="H463" s="82" t="s">
        <v>20</v>
      </c>
      <c r="I463" s="82" t="s">
        <v>98</v>
      </c>
      <c r="J463" s="82">
        <v>1</v>
      </c>
      <c r="K463" s="82" t="s">
        <v>22</v>
      </c>
      <c r="L463" s="83">
        <v>3</v>
      </c>
      <c r="M463" s="84">
        <v>318</v>
      </c>
      <c r="N463" s="85">
        <v>183</v>
      </c>
    </row>
    <row r="464" spans="1:14" ht="14.25" customHeight="1" x14ac:dyDescent="0.25">
      <c r="A464" s="78">
        <v>45747</v>
      </c>
      <c r="B464" s="79">
        <v>0.95902777777777781</v>
      </c>
      <c r="C464" s="78" t="str">
        <f>"Q" &amp; CHOOSE(MONTH(Sales!$A464), "1", "1", "1", "2", "2", "2", "3", "3", "3", "4", "4", "4") &amp; "_" &amp; YEAR(Sales!$A464)</f>
        <v>Q1_2025</v>
      </c>
      <c r="D464" s="80" t="s">
        <v>60</v>
      </c>
      <c r="E464" s="81" t="s">
        <v>14</v>
      </c>
      <c r="F464" s="82" t="s">
        <v>15</v>
      </c>
      <c r="G464" s="82" t="s">
        <v>93</v>
      </c>
      <c r="H464" s="82" t="s">
        <v>17</v>
      </c>
      <c r="I464" s="82" t="s">
        <v>94</v>
      </c>
      <c r="J464" s="82">
        <v>1</v>
      </c>
      <c r="K464" s="82" t="s">
        <v>22</v>
      </c>
      <c r="L464" s="83">
        <v>1</v>
      </c>
      <c r="M464" s="84">
        <v>259</v>
      </c>
      <c r="N464" s="85">
        <v>136</v>
      </c>
    </row>
    <row r="465" spans="1:14" ht="14.25" customHeight="1" x14ac:dyDescent="0.25">
      <c r="A465" s="78">
        <v>45747</v>
      </c>
      <c r="B465" s="79">
        <v>0.98333333333333328</v>
      </c>
      <c r="C465" s="78" t="str">
        <f>"Q" &amp; CHOOSE(MONTH(Sales!$A465), "1", "1", "1", "2", "2", "2", "3", "3", "3", "4", "4", "4") &amp; "_" &amp; YEAR(Sales!$A465)</f>
        <v>Q1_2025</v>
      </c>
      <c r="D465" s="80" t="s">
        <v>60</v>
      </c>
      <c r="E465" s="81" t="s">
        <v>14</v>
      </c>
      <c r="F465" s="82" t="s">
        <v>15</v>
      </c>
      <c r="G465" s="82" t="s">
        <v>87</v>
      </c>
      <c r="H465" s="82" t="s">
        <v>17</v>
      </c>
      <c r="I465" s="82" t="s">
        <v>88</v>
      </c>
      <c r="J465" s="82">
        <v>1</v>
      </c>
      <c r="K465" s="82" t="s">
        <v>22</v>
      </c>
      <c r="L465" s="83">
        <v>1</v>
      </c>
      <c r="M465" s="84">
        <v>949</v>
      </c>
      <c r="N465" s="85">
        <v>639</v>
      </c>
    </row>
    <row r="466" spans="1:14" ht="14.25" customHeight="1" x14ac:dyDescent="0.25">
      <c r="A466" s="78">
        <v>45748</v>
      </c>
      <c r="B466" s="79">
        <v>0.45277777777777778</v>
      </c>
      <c r="C466" s="78" t="str">
        <f>"Q" &amp; CHOOSE(MONTH(Sales!$A466), "1", "1", "1", "2", "2", "2", "3", "3", "3", "4", "4", "4") &amp; "_" &amp; YEAR(Sales!$A466)</f>
        <v>Q2_2025</v>
      </c>
      <c r="D466" s="80" t="s">
        <v>58</v>
      </c>
      <c r="E466" s="81" t="s">
        <v>14</v>
      </c>
      <c r="F466" s="82" t="s">
        <v>15</v>
      </c>
      <c r="G466" s="82" t="s">
        <v>24</v>
      </c>
      <c r="H466" s="82" t="s">
        <v>20</v>
      </c>
      <c r="I466" s="82" t="s">
        <v>25</v>
      </c>
      <c r="J466" s="82">
        <v>1</v>
      </c>
      <c r="K466" s="82" t="s">
        <v>22</v>
      </c>
      <c r="L466" s="83">
        <v>3</v>
      </c>
      <c r="M466" s="84">
        <v>369</v>
      </c>
      <c r="N466" s="85">
        <v>239</v>
      </c>
    </row>
    <row r="467" spans="1:14" ht="14.25" customHeight="1" x14ac:dyDescent="0.25">
      <c r="A467" s="78">
        <v>45748</v>
      </c>
      <c r="B467" s="79">
        <v>0.48749999999999999</v>
      </c>
      <c r="C467" s="78" t="str">
        <f>"Q" &amp; CHOOSE(MONTH(Sales!$A467), "1", "1", "1", "2", "2", "2", "3", "3", "3", "4", "4", "4") &amp; "_" &amp; YEAR(Sales!$A467)</f>
        <v>Q2_2025</v>
      </c>
      <c r="D467" s="80" t="s">
        <v>60</v>
      </c>
      <c r="E467" s="81" t="s">
        <v>14</v>
      </c>
      <c r="F467" s="82" t="s">
        <v>15</v>
      </c>
      <c r="G467" s="82" t="s">
        <v>87</v>
      </c>
      <c r="H467" s="82" t="s">
        <v>17</v>
      </c>
      <c r="I467" s="82" t="s">
        <v>88</v>
      </c>
      <c r="J467" s="82">
        <v>1</v>
      </c>
      <c r="K467" s="82" t="s">
        <v>22</v>
      </c>
      <c r="L467" s="83">
        <v>1</v>
      </c>
      <c r="M467" s="84">
        <v>949</v>
      </c>
      <c r="N467" s="85">
        <v>639</v>
      </c>
    </row>
    <row r="468" spans="1:14" ht="14.25" customHeight="1" x14ac:dyDescent="0.25">
      <c r="A468" s="78">
        <v>45748</v>
      </c>
      <c r="B468" s="79">
        <v>0.60833333333333328</v>
      </c>
      <c r="C468" s="78" t="str">
        <f>"Q" &amp; CHOOSE(MONTH(Sales!$A468), "1", "1", "1", "2", "2", "2", "3", "3", "3", "4", "4", "4") &amp; "_" &amp; YEAR(Sales!$A468)</f>
        <v>Q2_2025</v>
      </c>
      <c r="D468" s="80" t="s">
        <v>58</v>
      </c>
      <c r="E468" s="81" t="s">
        <v>14</v>
      </c>
      <c r="F468" s="82" t="s">
        <v>15</v>
      </c>
      <c r="G468" s="82" t="s">
        <v>87</v>
      </c>
      <c r="H468" s="82" t="s">
        <v>17</v>
      </c>
      <c r="I468" s="82" t="s">
        <v>88</v>
      </c>
      <c r="J468" s="82">
        <v>1</v>
      </c>
      <c r="K468" s="82" t="s">
        <v>22</v>
      </c>
      <c r="L468" s="83">
        <v>1</v>
      </c>
      <c r="M468" s="84">
        <v>949</v>
      </c>
      <c r="N468" s="85">
        <v>639</v>
      </c>
    </row>
    <row r="469" spans="1:14" ht="14.25" customHeight="1" x14ac:dyDescent="0.25">
      <c r="A469" s="78">
        <v>45748</v>
      </c>
      <c r="B469" s="79">
        <v>0.61250000000000004</v>
      </c>
      <c r="C469" s="78" t="str">
        <f>"Q" &amp; CHOOSE(MONTH(Sales!$A469), "1", "1", "1", "2", "2", "2", "3", "3", "3", "4", "4", "4") &amp; "_" &amp; YEAR(Sales!$A469)</f>
        <v>Q2_2025</v>
      </c>
      <c r="D469" s="80" t="s">
        <v>58</v>
      </c>
      <c r="E469" s="81" t="s">
        <v>14</v>
      </c>
      <c r="F469" s="82" t="s">
        <v>15</v>
      </c>
      <c r="G469" s="82" t="s">
        <v>24</v>
      </c>
      <c r="H469" s="82" t="s">
        <v>20</v>
      </c>
      <c r="I469" s="82" t="s">
        <v>25</v>
      </c>
      <c r="J469" s="82">
        <v>1</v>
      </c>
      <c r="K469" s="82" t="s">
        <v>22</v>
      </c>
      <c r="L469" s="83">
        <v>3</v>
      </c>
      <c r="M469" s="84">
        <v>369</v>
      </c>
      <c r="N469" s="85">
        <v>239</v>
      </c>
    </row>
    <row r="470" spans="1:14" ht="14.25" customHeight="1" x14ac:dyDescent="0.25">
      <c r="A470" s="78">
        <v>45748</v>
      </c>
      <c r="B470" s="79">
        <v>0.66319444444444442</v>
      </c>
      <c r="C470" s="78" t="str">
        <f>"Q" &amp; CHOOSE(MONTH(Sales!$A470), "1", "1", "1", "2", "2", "2", "3", "3", "3", "4", "4", "4") &amp; "_" &amp; YEAR(Sales!$A470)</f>
        <v>Q2_2025</v>
      </c>
      <c r="D470" s="80" t="s">
        <v>58</v>
      </c>
      <c r="E470" s="81" t="s">
        <v>14</v>
      </c>
      <c r="F470" s="82" t="s">
        <v>15</v>
      </c>
      <c r="G470" s="82" t="s">
        <v>103</v>
      </c>
      <c r="H470" s="82" t="s">
        <v>20</v>
      </c>
      <c r="I470" s="82" t="s">
        <v>104</v>
      </c>
      <c r="J470" s="82">
        <v>1</v>
      </c>
      <c r="K470" s="82" t="s">
        <v>22</v>
      </c>
      <c r="L470" s="83">
        <v>3</v>
      </c>
      <c r="M470" s="84">
        <v>1449</v>
      </c>
      <c r="N470" s="85">
        <v>1006</v>
      </c>
    </row>
    <row r="471" spans="1:14" ht="14.25" customHeight="1" x14ac:dyDescent="0.25">
      <c r="A471" s="78">
        <v>45748</v>
      </c>
      <c r="B471" s="79">
        <v>0.69722222222222219</v>
      </c>
      <c r="C471" s="78" t="str">
        <f>"Q" &amp; CHOOSE(MONTH(Sales!$A471), "1", "1", "1", "2", "2", "2", "3", "3", "3", "4", "4", "4") &amp; "_" &amp; YEAR(Sales!$A471)</f>
        <v>Q2_2025</v>
      </c>
      <c r="D471" s="80" t="s">
        <v>59</v>
      </c>
      <c r="E471" s="81" t="s">
        <v>14</v>
      </c>
      <c r="F471" s="82" t="s">
        <v>15</v>
      </c>
      <c r="G471" s="82" t="s">
        <v>93</v>
      </c>
      <c r="H471" s="82" t="s">
        <v>17</v>
      </c>
      <c r="I471" s="82" t="s">
        <v>94</v>
      </c>
      <c r="J471" s="82">
        <v>1</v>
      </c>
      <c r="K471" s="82" t="s">
        <v>22</v>
      </c>
      <c r="L471" s="83">
        <v>1</v>
      </c>
      <c r="M471" s="84">
        <v>259</v>
      </c>
      <c r="N471" s="85">
        <v>136</v>
      </c>
    </row>
    <row r="472" spans="1:14" ht="14.25" customHeight="1" x14ac:dyDescent="0.25">
      <c r="A472" s="78">
        <v>45748</v>
      </c>
      <c r="B472" s="79">
        <v>0.72847222222222219</v>
      </c>
      <c r="C472" s="78" t="str">
        <f>"Q" &amp; CHOOSE(MONTH(Sales!$A472), "1", "1", "1", "2", "2", "2", "3", "3", "3", "4", "4", "4") &amp; "_" &amp; YEAR(Sales!$A472)</f>
        <v>Q2_2025</v>
      </c>
      <c r="D472" s="80" t="s">
        <v>62</v>
      </c>
      <c r="E472" s="81" t="s">
        <v>14</v>
      </c>
      <c r="F472" s="82" t="s">
        <v>15</v>
      </c>
      <c r="G472" s="82" t="s">
        <v>24</v>
      </c>
      <c r="H472" s="82" t="s">
        <v>20</v>
      </c>
      <c r="I472" s="82" t="s">
        <v>25</v>
      </c>
      <c r="J472" s="82">
        <v>1</v>
      </c>
      <c r="K472" s="82" t="s">
        <v>22</v>
      </c>
      <c r="L472" s="83">
        <v>3</v>
      </c>
      <c r="M472" s="84">
        <v>369</v>
      </c>
      <c r="N472" s="85">
        <v>239</v>
      </c>
    </row>
    <row r="473" spans="1:14" ht="14.25" customHeight="1" x14ac:dyDescent="0.25">
      <c r="A473" s="78">
        <v>45748</v>
      </c>
      <c r="B473" s="79">
        <v>0.81736111111111109</v>
      </c>
      <c r="C473" s="78" t="str">
        <f>"Q" &amp; CHOOSE(MONTH(Sales!$A473), "1", "1", "1", "2", "2", "2", "3", "3", "3", "4", "4", "4") &amp; "_" &amp; YEAR(Sales!$A473)</f>
        <v>Q2_2025</v>
      </c>
      <c r="D473" s="80" t="s">
        <v>58</v>
      </c>
      <c r="E473" s="81" t="s">
        <v>14</v>
      </c>
      <c r="F473" s="82" t="s">
        <v>15</v>
      </c>
      <c r="G473" s="82" t="s">
        <v>87</v>
      </c>
      <c r="H473" s="82" t="s">
        <v>17</v>
      </c>
      <c r="I473" s="82" t="s">
        <v>88</v>
      </c>
      <c r="J473" s="82">
        <v>1</v>
      </c>
      <c r="K473" s="82" t="s">
        <v>22</v>
      </c>
      <c r="L473" s="83">
        <v>1</v>
      </c>
      <c r="M473" s="84">
        <v>949</v>
      </c>
      <c r="N473" s="85">
        <v>639</v>
      </c>
    </row>
    <row r="474" spans="1:14" ht="14.25" customHeight="1" x14ac:dyDescent="0.25">
      <c r="A474" s="78">
        <v>45748</v>
      </c>
      <c r="B474" s="79">
        <v>0.84583333333333333</v>
      </c>
      <c r="C474" s="78" t="str">
        <f>"Q" &amp; CHOOSE(MONTH(Sales!$A474), "1", "1", "1", "2", "2", "2", "3", "3", "3", "4", "4", "4") &amp; "_" &amp; YEAR(Sales!$A474)</f>
        <v>Q2_2025</v>
      </c>
      <c r="D474" s="80" t="s">
        <v>60</v>
      </c>
      <c r="E474" s="81" t="s">
        <v>14</v>
      </c>
      <c r="F474" s="82" t="s">
        <v>15</v>
      </c>
      <c r="G474" s="82" t="s">
        <v>87</v>
      </c>
      <c r="H474" s="82" t="s">
        <v>17</v>
      </c>
      <c r="I474" s="82" t="s">
        <v>88</v>
      </c>
      <c r="J474" s="82">
        <v>1</v>
      </c>
      <c r="K474" s="82" t="s">
        <v>22</v>
      </c>
      <c r="L474" s="83">
        <v>1</v>
      </c>
      <c r="M474" s="84">
        <v>949</v>
      </c>
      <c r="N474" s="85">
        <v>639</v>
      </c>
    </row>
    <row r="475" spans="1:14" ht="14.25" customHeight="1" x14ac:dyDescent="0.25">
      <c r="A475" s="78">
        <v>45748</v>
      </c>
      <c r="B475" s="79">
        <v>0.9291666666666667</v>
      </c>
      <c r="C475" s="78" t="str">
        <f>"Q" &amp; CHOOSE(MONTH(Sales!$A475), "1", "1", "1", "2", "2", "2", "3", "3", "3", "4", "4", "4") &amp; "_" &amp; YEAR(Sales!$A475)</f>
        <v>Q2_2025</v>
      </c>
      <c r="D475" s="80" t="s">
        <v>68</v>
      </c>
      <c r="E475" s="81" t="s">
        <v>14</v>
      </c>
      <c r="F475" s="82" t="s">
        <v>15</v>
      </c>
      <c r="G475" s="82" t="s">
        <v>87</v>
      </c>
      <c r="H475" s="82" t="s">
        <v>17</v>
      </c>
      <c r="I475" s="82" t="s">
        <v>88</v>
      </c>
      <c r="J475" s="82">
        <v>1</v>
      </c>
      <c r="K475" s="82" t="s">
        <v>22</v>
      </c>
      <c r="L475" s="83">
        <v>1</v>
      </c>
      <c r="M475" s="84">
        <v>949</v>
      </c>
      <c r="N475" s="85">
        <v>639</v>
      </c>
    </row>
    <row r="476" spans="1:14" ht="14.25" customHeight="1" x14ac:dyDescent="0.25">
      <c r="A476" s="78">
        <v>45749</v>
      </c>
      <c r="B476" s="79">
        <v>0.46041666666666664</v>
      </c>
      <c r="C476" s="78" t="str">
        <f>"Q" &amp; CHOOSE(MONTH(Sales!$A476), "1", "1", "1", "2", "2", "2", "3", "3", "3", "4", "4", "4") &amp; "_" &amp; YEAR(Sales!$A476)</f>
        <v>Q2_2025</v>
      </c>
      <c r="D476" s="80" t="s">
        <v>62</v>
      </c>
      <c r="E476" s="81" t="s">
        <v>14</v>
      </c>
      <c r="F476" s="82" t="s">
        <v>15</v>
      </c>
      <c r="G476" s="82" t="s">
        <v>16</v>
      </c>
      <c r="H476" s="82" t="s">
        <v>17</v>
      </c>
      <c r="I476" s="82" t="s">
        <v>54</v>
      </c>
      <c r="J476" s="82">
        <v>1</v>
      </c>
      <c r="K476" s="82" t="s">
        <v>22</v>
      </c>
      <c r="L476" s="83">
        <v>1</v>
      </c>
      <c r="M476" s="84">
        <v>289</v>
      </c>
      <c r="N476" s="85">
        <v>167</v>
      </c>
    </row>
    <row r="477" spans="1:14" ht="14.25" customHeight="1" x14ac:dyDescent="0.25">
      <c r="A477" s="78">
        <v>45749</v>
      </c>
      <c r="B477" s="79">
        <v>0.51388888888888884</v>
      </c>
      <c r="C477" s="78" t="str">
        <f>"Q" &amp; CHOOSE(MONTH(Sales!$A477), "1", "1", "1", "2", "2", "2", "3", "3", "3", "4", "4", "4") &amp; "_" &amp; YEAR(Sales!$A477)</f>
        <v>Q2_2025</v>
      </c>
      <c r="D477" s="80" t="s">
        <v>63</v>
      </c>
      <c r="E477" s="81" t="s">
        <v>14</v>
      </c>
      <c r="F477" s="82" t="s">
        <v>15</v>
      </c>
      <c r="G477" s="82" t="s">
        <v>24</v>
      </c>
      <c r="H477" s="82" t="s">
        <v>20</v>
      </c>
      <c r="I477" s="82" t="s">
        <v>25</v>
      </c>
      <c r="J477" s="82">
        <v>1</v>
      </c>
      <c r="K477" s="82" t="s">
        <v>22</v>
      </c>
      <c r="L477" s="83">
        <v>1</v>
      </c>
      <c r="M477" s="84">
        <v>370</v>
      </c>
      <c r="N477" s="85">
        <v>240</v>
      </c>
    </row>
    <row r="478" spans="1:14" ht="14.25" customHeight="1" x14ac:dyDescent="0.25">
      <c r="A478" s="78">
        <v>45749</v>
      </c>
      <c r="B478" s="79">
        <v>0.54166666666666663</v>
      </c>
      <c r="C478" s="78" t="str">
        <f>"Q" &amp; CHOOSE(MONTH(Sales!$A478), "1", "1", "1", "2", "2", "2", "3", "3", "3", "4", "4", "4") &amp; "_" &amp; YEAR(Sales!$A478)</f>
        <v>Q2_2025</v>
      </c>
      <c r="D478" s="80" t="s">
        <v>60</v>
      </c>
      <c r="E478" s="81" t="s">
        <v>14</v>
      </c>
      <c r="F478" s="82" t="s">
        <v>15</v>
      </c>
      <c r="G478" s="82" t="s">
        <v>35</v>
      </c>
      <c r="H478" s="82" t="s">
        <v>20</v>
      </c>
      <c r="I478" s="82" t="s">
        <v>43</v>
      </c>
      <c r="J478" s="82">
        <v>1</v>
      </c>
      <c r="K478" s="82" t="s">
        <v>22</v>
      </c>
      <c r="L478" s="83">
        <v>6</v>
      </c>
      <c r="M478" s="84">
        <v>698</v>
      </c>
      <c r="N478" s="85">
        <v>449</v>
      </c>
    </row>
    <row r="479" spans="1:14" ht="14.25" customHeight="1" x14ac:dyDescent="0.25">
      <c r="A479" s="78">
        <v>45749</v>
      </c>
      <c r="B479" s="79">
        <v>0.55069444444444449</v>
      </c>
      <c r="C479" s="78" t="str">
        <f>"Q" &amp; CHOOSE(MONTH(Sales!$A479), "1", "1", "1", "2", "2", "2", "3", "3", "3", "4", "4", "4") &amp; "_" &amp; YEAR(Sales!$A479)</f>
        <v>Q2_2025</v>
      </c>
      <c r="D479" s="80" t="s">
        <v>60</v>
      </c>
      <c r="E479" s="81" t="s">
        <v>14</v>
      </c>
      <c r="F479" s="82" t="s">
        <v>15</v>
      </c>
      <c r="G479" s="82" t="s">
        <v>102</v>
      </c>
      <c r="H479" s="82" t="s">
        <v>17</v>
      </c>
      <c r="I479" s="82" t="s">
        <v>240</v>
      </c>
      <c r="J479" s="82">
        <v>1</v>
      </c>
      <c r="K479" s="82" t="s">
        <v>22</v>
      </c>
      <c r="L479" s="83">
        <v>1</v>
      </c>
      <c r="M479" s="84">
        <v>499</v>
      </c>
      <c r="N479" s="85">
        <v>309</v>
      </c>
    </row>
    <row r="480" spans="1:14" ht="14.25" customHeight="1" x14ac:dyDescent="0.25">
      <c r="A480" s="78">
        <v>45749</v>
      </c>
      <c r="B480" s="79">
        <v>0.7319444444444444</v>
      </c>
      <c r="C480" s="78" t="str">
        <f>"Q" &amp; CHOOSE(MONTH(Sales!$A480), "1", "1", "1", "2", "2", "2", "3", "3", "3", "4", "4", "4") &amp; "_" &amp; YEAR(Sales!$A480)</f>
        <v>Q2_2025</v>
      </c>
      <c r="D480" s="80" t="s">
        <v>66</v>
      </c>
      <c r="E480" s="81" t="s">
        <v>14</v>
      </c>
      <c r="F480" s="82" t="s">
        <v>15</v>
      </c>
      <c r="G480" s="82" t="s">
        <v>16</v>
      </c>
      <c r="H480" s="82" t="s">
        <v>17</v>
      </c>
      <c r="I480" s="82" t="s">
        <v>34</v>
      </c>
      <c r="J480" s="82">
        <v>1</v>
      </c>
      <c r="K480" s="82" t="s">
        <v>22</v>
      </c>
      <c r="L480" s="83">
        <v>1</v>
      </c>
      <c r="M480" s="84">
        <v>289</v>
      </c>
      <c r="N480" s="85">
        <v>167</v>
      </c>
    </row>
    <row r="481" spans="1:14" ht="14.25" customHeight="1" x14ac:dyDescent="0.25">
      <c r="A481" s="78">
        <v>45749</v>
      </c>
      <c r="B481" s="79">
        <v>0.92847222222222225</v>
      </c>
      <c r="C481" s="78" t="str">
        <f>"Q" &amp; CHOOSE(MONTH(Sales!$A481), "1", "1", "1", "2", "2", "2", "3", "3", "3", "4", "4", "4") &amp; "_" &amp; YEAR(Sales!$A481)</f>
        <v>Q2_2025</v>
      </c>
      <c r="D481" s="80" t="s">
        <v>60</v>
      </c>
      <c r="E481" s="81" t="s">
        <v>14</v>
      </c>
      <c r="F481" s="82" t="s">
        <v>15</v>
      </c>
      <c r="G481" s="82" t="s">
        <v>87</v>
      </c>
      <c r="H481" s="82" t="s">
        <v>17</v>
      </c>
      <c r="I481" s="82" t="s">
        <v>88</v>
      </c>
      <c r="J481" s="82">
        <v>1</v>
      </c>
      <c r="K481" s="82" t="s">
        <v>22</v>
      </c>
      <c r="L481" s="83">
        <v>1</v>
      </c>
      <c r="M481" s="84">
        <v>949</v>
      </c>
      <c r="N481" s="85">
        <v>639</v>
      </c>
    </row>
    <row r="482" spans="1:14" ht="14.25" customHeight="1" x14ac:dyDescent="0.25">
      <c r="A482" s="78">
        <v>45749</v>
      </c>
      <c r="B482" s="79">
        <v>0.97361111111111109</v>
      </c>
      <c r="C482" s="78" t="str">
        <f>"Q" &amp; CHOOSE(MONTH(Sales!$A482), "1", "1", "1", "2", "2", "2", "3", "3", "3", "4", "4", "4") &amp; "_" &amp; YEAR(Sales!$A482)</f>
        <v>Q2_2025</v>
      </c>
      <c r="D482" s="80" t="s">
        <v>60</v>
      </c>
      <c r="E482" s="81" t="s">
        <v>14</v>
      </c>
      <c r="F482" s="82" t="s">
        <v>15</v>
      </c>
      <c r="G482" s="82" t="s">
        <v>117</v>
      </c>
      <c r="H482" s="89" t="s">
        <v>17</v>
      </c>
      <c r="I482" s="82" t="s">
        <v>118</v>
      </c>
      <c r="J482" s="82">
        <v>1</v>
      </c>
      <c r="K482" s="82" t="s">
        <v>22</v>
      </c>
      <c r="L482" s="83">
        <v>1</v>
      </c>
      <c r="M482" s="84">
        <v>189</v>
      </c>
      <c r="N482" s="85">
        <v>89</v>
      </c>
    </row>
    <row r="483" spans="1:14" ht="14.25" customHeight="1" x14ac:dyDescent="0.25">
      <c r="A483" s="78">
        <v>45728</v>
      </c>
      <c r="B483" s="79">
        <v>0.56388888888888888</v>
      </c>
      <c r="C483" s="78" t="str">
        <f>"Q" &amp; CHOOSE(MONTH(Sales!$A483), "1", "1", "1", "2", "2", "2", "3", "3", "3", "4", "4", "4") &amp; "_" &amp; YEAR(Sales!$A483)</f>
        <v>Q1_2025</v>
      </c>
      <c r="D483" s="82" t="s">
        <v>62</v>
      </c>
      <c r="E483" s="81" t="s">
        <v>14</v>
      </c>
      <c r="F483" s="82" t="s">
        <v>15</v>
      </c>
      <c r="G483" s="82" t="s">
        <v>39</v>
      </c>
      <c r="H483" s="89" t="s">
        <v>17</v>
      </c>
      <c r="I483" s="82" t="s">
        <v>40</v>
      </c>
      <c r="J483" s="82">
        <v>1</v>
      </c>
      <c r="K483" s="82" t="s">
        <v>22</v>
      </c>
      <c r="L483" s="83">
        <v>1</v>
      </c>
      <c r="M483" s="84">
        <v>648</v>
      </c>
      <c r="N483" s="85">
        <v>415</v>
      </c>
    </row>
    <row r="484" spans="1:14" ht="14.25" customHeight="1" x14ac:dyDescent="0.25">
      <c r="A484" s="78">
        <v>45728</v>
      </c>
      <c r="B484" s="79">
        <v>0.58194444444444449</v>
      </c>
      <c r="C484" s="78" t="str">
        <f>"Q" &amp; CHOOSE(MONTH(Sales!$A484), "1", "1", "1", "2", "2", "2", "3", "3", "3", "4", "4", "4") &amp; "_" &amp; YEAR(Sales!$A484)</f>
        <v>Q1_2025</v>
      </c>
      <c r="D484" s="82" t="s">
        <v>69</v>
      </c>
      <c r="E484" s="81" t="s">
        <v>14</v>
      </c>
      <c r="F484" s="82" t="s">
        <v>15</v>
      </c>
      <c r="G484" s="82" t="s">
        <v>24</v>
      </c>
      <c r="H484" s="82" t="s">
        <v>20</v>
      </c>
      <c r="I484" s="82" t="s">
        <v>25</v>
      </c>
      <c r="J484" s="82">
        <v>1</v>
      </c>
      <c r="K484" s="82" t="s">
        <v>22</v>
      </c>
      <c r="L484" s="83">
        <v>3</v>
      </c>
      <c r="M484" s="84">
        <v>358</v>
      </c>
      <c r="N484" s="85">
        <v>224</v>
      </c>
    </row>
    <row r="485" spans="1:14" ht="14.25" customHeight="1" x14ac:dyDescent="0.25">
      <c r="A485" s="78">
        <v>45728</v>
      </c>
      <c r="B485" s="79">
        <v>0.62222222222222223</v>
      </c>
      <c r="C485" s="78" t="str">
        <f>"Q" &amp; CHOOSE(MONTH(Sales!$A485), "1", "1", "1", "2", "2", "2", "3", "3", "3", "4", "4", "4") &amp; "_" &amp; YEAR(Sales!$A485)</f>
        <v>Q1_2025</v>
      </c>
      <c r="D485" s="80" t="s">
        <v>56</v>
      </c>
      <c r="E485" s="81" t="s">
        <v>14</v>
      </c>
      <c r="F485" s="82" t="s">
        <v>15</v>
      </c>
      <c r="G485" s="82" t="s">
        <v>24</v>
      </c>
      <c r="H485" s="82" t="s">
        <v>20</v>
      </c>
      <c r="I485" s="82" t="s">
        <v>26</v>
      </c>
      <c r="J485" s="82">
        <v>1</v>
      </c>
      <c r="K485" s="82" t="s">
        <v>22</v>
      </c>
      <c r="L485" s="83">
        <v>6</v>
      </c>
      <c r="M485" s="84">
        <v>618</v>
      </c>
      <c r="N485" s="85">
        <v>412</v>
      </c>
    </row>
    <row r="486" spans="1:14" ht="14.25" customHeight="1" x14ac:dyDescent="0.25">
      <c r="A486" s="78">
        <v>45728</v>
      </c>
      <c r="B486" s="79">
        <v>0.73611111111111116</v>
      </c>
      <c r="C486" s="78" t="str">
        <f>"Q" &amp; CHOOSE(MONTH(Sales!$A486), "1", "1", "1", "2", "2", "2", "3", "3", "3", "4", "4", "4") &amp; "_" &amp; YEAR(Sales!$A486)</f>
        <v>Q1_2025</v>
      </c>
      <c r="D486" s="80" t="s">
        <v>57</v>
      </c>
      <c r="E486" s="81" t="s">
        <v>14</v>
      </c>
      <c r="F486" s="82" t="s">
        <v>15</v>
      </c>
      <c r="G486" s="82" t="s">
        <v>24</v>
      </c>
      <c r="H486" s="82" t="s">
        <v>20</v>
      </c>
      <c r="I486" s="82" t="s">
        <v>25</v>
      </c>
      <c r="J486" s="82">
        <v>1</v>
      </c>
      <c r="K486" s="82" t="s">
        <v>22</v>
      </c>
      <c r="L486" s="83">
        <v>3</v>
      </c>
      <c r="M486" s="84">
        <v>358</v>
      </c>
      <c r="N486" s="85">
        <v>224</v>
      </c>
    </row>
    <row r="487" spans="1:14" ht="14.25" customHeight="1" x14ac:dyDescent="0.25">
      <c r="A487" s="78">
        <v>45728</v>
      </c>
      <c r="B487" s="79">
        <v>0.75763888888888886</v>
      </c>
      <c r="C487" s="78" t="str">
        <f>"Q" &amp; CHOOSE(MONTH(Sales!$A487), "1", "1", "1", "2", "2", "2", "3", "3", "3", "4", "4", "4") &amp; "_" &amp; YEAR(Sales!$A487)</f>
        <v>Q1_2025</v>
      </c>
      <c r="D487" s="80" t="s">
        <v>101</v>
      </c>
      <c r="E487" s="81" t="s">
        <v>14</v>
      </c>
      <c r="F487" s="82" t="s">
        <v>15</v>
      </c>
      <c r="G487" s="82" t="s">
        <v>24</v>
      </c>
      <c r="H487" s="82" t="s">
        <v>20</v>
      </c>
      <c r="I487" s="82" t="s">
        <v>25</v>
      </c>
      <c r="J487" s="82">
        <v>1</v>
      </c>
      <c r="K487" s="82" t="s">
        <v>22</v>
      </c>
      <c r="L487" s="83">
        <v>3</v>
      </c>
      <c r="M487" s="84">
        <v>358</v>
      </c>
      <c r="N487" s="85">
        <v>224</v>
      </c>
    </row>
    <row r="488" spans="1:14" ht="14.25" customHeight="1" x14ac:dyDescent="0.25">
      <c r="A488" s="78">
        <v>45731</v>
      </c>
      <c r="B488" s="79">
        <v>0.97638888888888886</v>
      </c>
      <c r="C488" s="78" t="str">
        <f>"Q" &amp; CHOOSE(MONTH(Sales!$A488), "1", "1", "1", "2", "2", "2", "3", "3", "3", "4", "4", "4") &amp; "_" &amp; YEAR(Sales!$A488)</f>
        <v>Q1_2025</v>
      </c>
      <c r="D488" s="80" t="s">
        <v>101</v>
      </c>
      <c r="E488" s="81" t="s">
        <v>14</v>
      </c>
      <c r="F488" s="82" t="s">
        <v>15</v>
      </c>
      <c r="G488" s="82" t="s">
        <v>35</v>
      </c>
      <c r="H488" s="82" t="s">
        <v>20</v>
      </c>
      <c r="I488" s="82" t="s">
        <v>70</v>
      </c>
      <c r="J488" s="82">
        <v>3</v>
      </c>
      <c r="K488" s="82" t="s">
        <v>22</v>
      </c>
      <c r="L488" s="83">
        <v>3</v>
      </c>
      <c r="M488" s="84">
        <v>319</v>
      </c>
      <c r="N488" s="85">
        <v>184</v>
      </c>
    </row>
    <row r="489" spans="1:14" s="73" customFormat="1" ht="14.25" customHeight="1" x14ac:dyDescent="0.25">
      <c r="A489" s="90">
        <v>45732</v>
      </c>
      <c r="B489" s="91">
        <v>0.27013888888888887</v>
      </c>
      <c r="C489" s="78" t="str">
        <f>"Q" &amp; CHOOSE(MONTH(Sales!$A489), "1", "1", "1", "2", "2", "2", "3", "3", "3", "4", "4", "4") &amp; "_" &amp; YEAR(Sales!$A489)</f>
        <v>Q1_2025</v>
      </c>
      <c r="D489" s="80" t="s">
        <v>60</v>
      </c>
      <c r="E489" s="81" t="s">
        <v>14</v>
      </c>
      <c r="F489" s="82" t="s">
        <v>15</v>
      </c>
      <c r="G489" s="82" t="s">
        <v>102</v>
      </c>
      <c r="H489" s="92" t="s">
        <v>17</v>
      </c>
      <c r="I489" s="92" t="s">
        <v>240</v>
      </c>
      <c r="J489" s="92">
        <v>1</v>
      </c>
      <c r="K489" s="82" t="s">
        <v>22</v>
      </c>
      <c r="L489" s="92">
        <v>1</v>
      </c>
      <c r="M489" s="93">
        <v>754</v>
      </c>
      <c r="N489" s="94">
        <v>482</v>
      </c>
    </row>
    <row r="490" spans="1:14" ht="14.25" customHeight="1" x14ac:dyDescent="0.25">
      <c r="A490" s="95">
        <v>45750</v>
      </c>
      <c r="B490" s="96">
        <v>3.0555555555555555E-2</v>
      </c>
      <c r="C490" s="78" t="str">
        <f>"Q" &amp; CHOOSE(MONTH(Sales!$A490), "1", "1", "1", "2", "2", "2", "3", "3", "3", "4", "4", "4") &amp; "_" &amp; YEAR(Sales!$A490)</f>
        <v>Q2_2025</v>
      </c>
      <c r="D490" s="80" t="s">
        <v>60</v>
      </c>
      <c r="E490" s="81" t="s">
        <v>14</v>
      </c>
      <c r="F490" s="82" t="s">
        <v>15</v>
      </c>
      <c r="G490" s="82" t="s">
        <v>87</v>
      </c>
      <c r="H490" s="82" t="s">
        <v>17</v>
      </c>
      <c r="I490" s="82" t="s">
        <v>88</v>
      </c>
      <c r="J490" s="82">
        <v>1</v>
      </c>
      <c r="K490" s="82" t="s">
        <v>22</v>
      </c>
      <c r="L490" s="83">
        <v>1</v>
      </c>
      <c r="M490" s="84">
        <v>949</v>
      </c>
      <c r="N490" s="85">
        <v>639</v>
      </c>
    </row>
    <row r="491" spans="1:14" ht="14.25" customHeight="1" x14ac:dyDescent="0.25">
      <c r="A491" s="95">
        <v>45750</v>
      </c>
      <c r="B491" s="96">
        <v>0.39583333333333331</v>
      </c>
      <c r="C491" s="78" t="str">
        <f>"Q" &amp; CHOOSE(MONTH(Sales!$A491), "1", "1", "1", "2", "2", "2", "3", "3", "3", "4", "4", "4") &amp; "_" &amp; YEAR(Sales!$A491)</f>
        <v>Q2_2025</v>
      </c>
      <c r="D491" s="80" t="s">
        <v>60</v>
      </c>
      <c r="E491" s="81" t="s">
        <v>14</v>
      </c>
      <c r="F491" s="82" t="s">
        <v>15</v>
      </c>
      <c r="G491" s="82" t="s">
        <v>93</v>
      </c>
      <c r="H491" s="82" t="s">
        <v>17</v>
      </c>
      <c r="I491" s="88" t="s">
        <v>94</v>
      </c>
      <c r="J491" s="88">
        <v>1</v>
      </c>
      <c r="K491" s="82" t="s">
        <v>22</v>
      </c>
      <c r="L491" s="88">
        <v>1</v>
      </c>
      <c r="M491" s="97">
        <v>255</v>
      </c>
      <c r="N491" s="98">
        <v>104</v>
      </c>
    </row>
    <row r="492" spans="1:14" ht="14.25" customHeight="1" x14ac:dyDescent="0.25">
      <c r="A492" s="95">
        <v>45750</v>
      </c>
      <c r="B492" s="96">
        <v>0.39861111111111114</v>
      </c>
      <c r="C492" s="78" t="str">
        <f>"Q" &amp; CHOOSE(MONTH(Sales!$A492), "1", "1", "1", "2", "2", "2", "3", "3", "3", "4", "4", "4") &amp; "_" &amp; YEAR(Sales!$A492)</f>
        <v>Q2_2025</v>
      </c>
      <c r="D492" s="80" t="s">
        <v>68</v>
      </c>
      <c r="E492" s="81" t="s">
        <v>14</v>
      </c>
      <c r="F492" s="82" t="s">
        <v>15</v>
      </c>
      <c r="G492" s="82" t="s">
        <v>87</v>
      </c>
      <c r="H492" s="82" t="s">
        <v>17</v>
      </c>
      <c r="I492" s="82" t="s">
        <v>88</v>
      </c>
      <c r="J492" s="82">
        <v>1</v>
      </c>
      <c r="K492" s="82" t="s">
        <v>22</v>
      </c>
      <c r="L492" s="83">
        <v>1</v>
      </c>
      <c r="M492" s="84">
        <v>949</v>
      </c>
      <c r="N492" s="85">
        <v>639</v>
      </c>
    </row>
    <row r="493" spans="1:14" ht="14.25" customHeight="1" x14ac:dyDescent="0.25">
      <c r="A493" s="95">
        <v>45750</v>
      </c>
      <c r="B493" s="96">
        <v>0.40833333333333333</v>
      </c>
      <c r="C493" s="78" t="str">
        <f>"Q" &amp; CHOOSE(MONTH(Sales!$A493), "1", "1", "1", "2", "2", "2", "3", "3", "3", "4", "4", "4") &amp; "_" &amp; YEAR(Sales!$A493)</f>
        <v>Q2_2025</v>
      </c>
      <c r="D493" s="80" t="s">
        <v>60</v>
      </c>
      <c r="E493" s="81" t="s">
        <v>14</v>
      </c>
      <c r="F493" s="82" t="s">
        <v>15</v>
      </c>
      <c r="G493" s="82" t="s">
        <v>93</v>
      </c>
      <c r="H493" s="82" t="s">
        <v>17</v>
      </c>
      <c r="I493" s="88" t="s">
        <v>94</v>
      </c>
      <c r="J493" s="88">
        <v>1</v>
      </c>
      <c r="K493" s="82" t="s">
        <v>22</v>
      </c>
      <c r="L493" s="88">
        <v>1</v>
      </c>
      <c r="M493" s="97">
        <v>255</v>
      </c>
      <c r="N493" s="98">
        <v>104</v>
      </c>
    </row>
    <row r="494" spans="1:14" ht="14.25" customHeight="1" x14ac:dyDescent="0.25">
      <c r="A494" s="95">
        <v>45750</v>
      </c>
      <c r="B494" s="96">
        <v>0.42777777777777776</v>
      </c>
      <c r="C494" s="78" t="str">
        <f>"Q" &amp; CHOOSE(MONTH(Sales!$A494), "1", "1", "1", "2", "2", "2", "3", "3", "3", "4", "4", "4") &amp; "_" &amp; YEAR(Sales!$A494)</f>
        <v>Q2_2025</v>
      </c>
      <c r="D494" s="99" t="s">
        <v>68</v>
      </c>
      <c r="E494" s="81" t="s">
        <v>14</v>
      </c>
      <c r="F494" s="82" t="s">
        <v>15</v>
      </c>
      <c r="G494" s="82" t="s">
        <v>35</v>
      </c>
      <c r="H494" s="88" t="s">
        <v>20</v>
      </c>
      <c r="I494" s="88" t="s">
        <v>36</v>
      </c>
      <c r="J494" s="88">
        <v>1</v>
      </c>
      <c r="K494" s="82" t="s">
        <v>22</v>
      </c>
      <c r="L494" s="88">
        <v>5</v>
      </c>
      <c r="M494" s="97">
        <v>459</v>
      </c>
      <c r="N494" s="98">
        <v>309</v>
      </c>
    </row>
    <row r="495" spans="1:14" ht="14.25" customHeight="1" x14ac:dyDescent="0.25">
      <c r="A495" s="95">
        <v>45750</v>
      </c>
      <c r="B495" s="96">
        <v>0.65972222222222221</v>
      </c>
      <c r="C495" s="78" t="str">
        <f>"Q" &amp; CHOOSE(MONTH(Sales!$A495), "1", "1", "1", "2", "2", "2", "3", "3", "3", "4", "4", "4") &amp; "_" &amp; YEAR(Sales!$A495)</f>
        <v>Q2_2025</v>
      </c>
      <c r="D495" s="99" t="s">
        <v>71</v>
      </c>
      <c r="E495" s="81" t="s">
        <v>14</v>
      </c>
      <c r="F495" s="82" t="s">
        <v>15</v>
      </c>
      <c r="G495" s="82" t="s">
        <v>24</v>
      </c>
      <c r="H495" s="88" t="s">
        <v>20</v>
      </c>
      <c r="I495" s="88" t="s">
        <v>25</v>
      </c>
      <c r="J495" s="88">
        <v>1</v>
      </c>
      <c r="K495" s="82" t="s">
        <v>22</v>
      </c>
      <c r="L495" s="88">
        <v>3</v>
      </c>
      <c r="M495" s="97">
        <v>359</v>
      </c>
      <c r="N495" s="98">
        <v>228</v>
      </c>
    </row>
    <row r="496" spans="1:14" ht="14.25" customHeight="1" x14ac:dyDescent="0.25">
      <c r="A496" s="95">
        <v>45750</v>
      </c>
      <c r="B496" s="96">
        <v>0.88958333333333328</v>
      </c>
      <c r="C496" s="78" t="str">
        <f>"Q" &amp; CHOOSE(MONTH(Sales!$A496), "1", "1", "1", "2", "2", "2", "3", "3", "3", "4", "4", "4") &amp; "_" &amp; YEAR(Sales!$A496)</f>
        <v>Q2_2025</v>
      </c>
      <c r="D496" s="99" t="s">
        <v>106</v>
      </c>
      <c r="E496" s="81" t="s">
        <v>14</v>
      </c>
      <c r="F496" s="82" t="s">
        <v>15</v>
      </c>
      <c r="G496" s="82" t="s">
        <v>99</v>
      </c>
      <c r="H496" s="88" t="s">
        <v>20</v>
      </c>
      <c r="I496" s="88" t="s">
        <v>234</v>
      </c>
      <c r="J496" s="88">
        <v>1</v>
      </c>
      <c r="K496" s="82" t="s">
        <v>22</v>
      </c>
      <c r="L496" s="88">
        <v>6</v>
      </c>
      <c r="M496" s="97">
        <v>319</v>
      </c>
      <c r="N496" s="98">
        <v>165</v>
      </c>
    </row>
    <row r="497" spans="1:14" ht="14.25" customHeight="1" x14ac:dyDescent="0.25">
      <c r="A497" s="95">
        <v>45750</v>
      </c>
      <c r="B497" s="96">
        <v>0.9194444444444444</v>
      </c>
      <c r="C497" s="78" t="str">
        <f>"Q" &amp; CHOOSE(MONTH(Sales!$A497), "1", "1", "1", "2", "2", "2", "3", "3", "3", "4", "4", "4") &amp; "_" &amp; YEAR(Sales!$A497)</f>
        <v>Q2_2025</v>
      </c>
      <c r="D497" s="99" t="s">
        <v>59</v>
      </c>
      <c r="E497" s="81" t="s">
        <v>14</v>
      </c>
      <c r="F497" s="82" t="s">
        <v>15</v>
      </c>
      <c r="G497" s="82" t="s">
        <v>103</v>
      </c>
      <c r="H497" s="88" t="s">
        <v>20</v>
      </c>
      <c r="I497" s="88" t="s">
        <v>235</v>
      </c>
      <c r="J497" s="88">
        <v>1</v>
      </c>
      <c r="K497" s="82" t="s">
        <v>22</v>
      </c>
      <c r="L497" s="88">
        <v>3</v>
      </c>
      <c r="M497" s="97">
        <v>1499</v>
      </c>
      <c r="N497" s="98">
        <v>1047</v>
      </c>
    </row>
    <row r="498" spans="1:14" ht="14.25" customHeight="1" x14ac:dyDescent="0.25">
      <c r="A498" s="95">
        <v>45751</v>
      </c>
      <c r="B498" s="96">
        <v>0.63541666666666663</v>
      </c>
      <c r="C498" s="78" t="str">
        <f>"Q" &amp; CHOOSE(MONTH(Sales!$A498), "1", "1", "1", "2", "2", "2", "3", "3", "3", "4", "4", "4") &amp; "_" &amp; YEAR(Sales!$A498)</f>
        <v>Q2_2025</v>
      </c>
      <c r="D498" s="99" t="s">
        <v>66</v>
      </c>
      <c r="E498" s="81" t="s">
        <v>14</v>
      </c>
      <c r="F498" s="82" t="s">
        <v>15</v>
      </c>
      <c r="G498" s="82" t="s">
        <v>102</v>
      </c>
      <c r="H498" s="88" t="s">
        <v>17</v>
      </c>
      <c r="I498" s="82" t="s">
        <v>240</v>
      </c>
      <c r="J498" s="82">
        <v>1</v>
      </c>
      <c r="K498" s="82" t="s">
        <v>22</v>
      </c>
      <c r="L498" s="83">
        <v>1</v>
      </c>
      <c r="M498" s="84">
        <v>495</v>
      </c>
      <c r="N498" s="85">
        <v>305</v>
      </c>
    </row>
    <row r="499" spans="1:14" ht="14.25" customHeight="1" x14ac:dyDescent="0.25">
      <c r="A499" s="95">
        <v>45751</v>
      </c>
      <c r="B499" s="96">
        <v>0.72916666666666663</v>
      </c>
      <c r="C499" s="78" t="str">
        <f>"Q" &amp; CHOOSE(MONTH(Sales!$A499), "1", "1", "1", "2", "2", "2", "3", "3", "3", "4", "4", "4") &amp; "_" &amp; YEAR(Sales!$A499)</f>
        <v>Q2_2025</v>
      </c>
      <c r="D499" s="99" t="s">
        <v>66</v>
      </c>
      <c r="E499" s="81" t="s">
        <v>14</v>
      </c>
      <c r="F499" s="82" t="s">
        <v>15</v>
      </c>
      <c r="G499" s="82" t="s">
        <v>87</v>
      </c>
      <c r="H499" s="82" t="s">
        <v>17</v>
      </c>
      <c r="I499" s="82" t="s">
        <v>88</v>
      </c>
      <c r="J499" s="82">
        <v>1</v>
      </c>
      <c r="K499" s="82" t="s">
        <v>22</v>
      </c>
      <c r="L499" s="83">
        <v>1</v>
      </c>
      <c r="M499" s="84">
        <v>949</v>
      </c>
      <c r="N499" s="85">
        <v>639</v>
      </c>
    </row>
    <row r="500" spans="1:14" ht="14.25" customHeight="1" x14ac:dyDescent="0.25">
      <c r="A500" s="95">
        <v>45752</v>
      </c>
      <c r="B500" s="96">
        <v>0.37847222222222221</v>
      </c>
      <c r="C500" s="78" t="str">
        <f>"Q" &amp; CHOOSE(MONTH(Sales!$A500), "1", "1", "1", "2", "2", "2", "3", "3", "3", "4", "4", "4") &amp; "_" &amp; YEAR(Sales!$A500)</f>
        <v>Q2_2025</v>
      </c>
      <c r="D500" s="99" t="s">
        <v>68</v>
      </c>
      <c r="E500" s="81" t="s">
        <v>14</v>
      </c>
      <c r="F500" s="82" t="s">
        <v>15</v>
      </c>
      <c r="G500" s="82" t="s">
        <v>87</v>
      </c>
      <c r="H500" s="82" t="s">
        <v>17</v>
      </c>
      <c r="I500" s="82" t="s">
        <v>88</v>
      </c>
      <c r="J500" s="82">
        <v>1</v>
      </c>
      <c r="K500" s="82" t="s">
        <v>22</v>
      </c>
      <c r="L500" s="83">
        <v>1</v>
      </c>
      <c r="M500" s="84">
        <v>949</v>
      </c>
      <c r="N500" s="85">
        <v>639</v>
      </c>
    </row>
    <row r="501" spans="1:14" ht="14.25" customHeight="1" x14ac:dyDescent="0.25">
      <c r="A501" s="95">
        <v>45752</v>
      </c>
      <c r="B501" s="96">
        <v>0.4236111111111111</v>
      </c>
      <c r="C501" s="78" t="str">
        <f>"Q" &amp; CHOOSE(MONTH(Sales!$A501), "1", "1", "1", "2", "2", "2", "3", "3", "3", "4", "4", "4") &amp; "_" &amp; YEAR(Sales!$A501)</f>
        <v>Q2_2025</v>
      </c>
      <c r="D501" s="99" t="s">
        <v>60</v>
      </c>
      <c r="E501" s="81" t="s">
        <v>14</v>
      </c>
      <c r="F501" s="82" t="s">
        <v>15</v>
      </c>
      <c r="G501" s="82" t="s">
        <v>24</v>
      </c>
      <c r="H501" s="82" t="s">
        <v>20</v>
      </c>
      <c r="I501" s="88" t="s">
        <v>25</v>
      </c>
      <c r="J501" s="88">
        <v>1</v>
      </c>
      <c r="K501" s="82" t="s">
        <v>22</v>
      </c>
      <c r="L501" s="88">
        <v>3</v>
      </c>
      <c r="M501" s="97">
        <v>359</v>
      </c>
      <c r="N501" s="98">
        <v>228</v>
      </c>
    </row>
    <row r="502" spans="1:14" ht="14.25" customHeight="1" x14ac:dyDescent="0.25">
      <c r="A502" s="95">
        <v>45752</v>
      </c>
      <c r="B502" s="96">
        <v>0.43055555555555558</v>
      </c>
      <c r="C502" s="78" t="str">
        <f>"Q" &amp; CHOOSE(MONTH(Sales!$A502), "1", "1", "1", "2", "2", "2", "3", "3", "3", "4", "4", "4") &amp; "_" &amp; YEAR(Sales!$A502)</f>
        <v>Q2_2025</v>
      </c>
      <c r="D502" s="99" t="s">
        <v>58</v>
      </c>
      <c r="E502" s="81" t="s">
        <v>14</v>
      </c>
      <c r="F502" s="82" t="s">
        <v>15</v>
      </c>
      <c r="G502" s="82" t="s">
        <v>93</v>
      </c>
      <c r="H502" s="82" t="s">
        <v>17</v>
      </c>
      <c r="I502" s="88" t="s">
        <v>94</v>
      </c>
      <c r="J502" s="88">
        <v>1</v>
      </c>
      <c r="K502" s="82" t="s">
        <v>22</v>
      </c>
      <c r="L502" s="88">
        <v>1</v>
      </c>
      <c r="M502" s="97">
        <v>255</v>
      </c>
      <c r="N502" s="98">
        <v>104</v>
      </c>
    </row>
    <row r="503" spans="1:14" ht="14.25" customHeight="1" x14ac:dyDescent="0.25">
      <c r="A503" s="95">
        <v>45752</v>
      </c>
      <c r="B503" s="96">
        <v>0.52430555555555558</v>
      </c>
      <c r="C503" s="78" t="str">
        <f>"Q" &amp; CHOOSE(MONTH(Sales!$A503), "1", "1", "1", "2", "2", "2", "3", "3", "3", "4", "4", "4") &amp; "_" &amp; YEAR(Sales!$A503)</f>
        <v>Q2_2025</v>
      </c>
      <c r="D503" s="99" t="s">
        <v>62</v>
      </c>
      <c r="E503" s="81" t="s">
        <v>14</v>
      </c>
      <c r="F503" s="82" t="s">
        <v>15</v>
      </c>
      <c r="G503" s="82" t="s">
        <v>93</v>
      </c>
      <c r="H503" s="82" t="s">
        <v>17</v>
      </c>
      <c r="I503" s="88" t="s">
        <v>94</v>
      </c>
      <c r="J503" s="88">
        <v>1</v>
      </c>
      <c r="K503" s="82" t="s">
        <v>22</v>
      </c>
      <c r="L503" s="88">
        <v>1</v>
      </c>
      <c r="M503" s="97">
        <v>255</v>
      </c>
      <c r="N503" s="98">
        <v>104</v>
      </c>
    </row>
    <row r="504" spans="1:14" ht="14.25" customHeight="1" x14ac:dyDescent="0.25">
      <c r="A504" s="95">
        <v>45752</v>
      </c>
      <c r="B504" s="96">
        <v>0.52569444444444446</v>
      </c>
      <c r="C504" s="78" t="str">
        <f>"Q" &amp; CHOOSE(MONTH(Sales!$A504), "1", "1", "1", "2", "2", "2", "3", "3", "3", "4", "4", "4") &amp; "_" &amp; YEAR(Sales!$A504)</f>
        <v>Q2_2025</v>
      </c>
      <c r="D504" s="99" t="s">
        <v>60</v>
      </c>
      <c r="E504" s="81" t="s">
        <v>14</v>
      </c>
      <c r="F504" s="82" t="s">
        <v>15</v>
      </c>
      <c r="G504" s="82" t="s">
        <v>87</v>
      </c>
      <c r="H504" s="82" t="s">
        <v>17</v>
      </c>
      <c r="I504" s="82" t="s">
        <v>88</v>
      </c>
      <c r="J504" s="82">
        <v>1</v>
      </c>
      <c r="K504" s="82" t="s">
        <v>22</v>
      </c>
      <c r="L504" s="83">
        <v>1</v>
      </c>
      <c r="M504" s="84">
        <v>949</v>
      </c>
      <c r="N504" s="85">
        <v>639</v>
      </c>
    </row>
    <row r="505" spans="1:14" ht="14.25" customHeight="1" x14ac:dyDescent="0.25">
      <c r="A505" s="95">
        <v>45752</v>
      </c>
      <c r="B505" s="96">
        <v>0.5854166666666667</v>
      </c>
      <c r="C505" s="78" t="str">
        <f>"Q" &amp; CHOOSE(MONTH(Sales!$A505), "1", "1", "1", "2", "2", "2", "3", "3", "3", "4", "4", "4") &amp; "_" &amp; YEAR(Sales!$A505)</f>
        <v>Q2_2025</v>
      </c>
      <c r="D505" s="99" t="s">
        <v>60</v>
      </c>
      <c r="E505" s="81" t="s">
        <v>14</v>
      </c>
      <c r="F505" s="82" t="s">
        <v>15</v>
      </c>
      <c r="G505" s="82" t="s">
        <v>93</v>
      </c>
      <c r="H505" s="82" t="s">
        <v>17</v>
      </c>
      <c r="I505" s="88" t="s">
        <v>94</v>
      </c>
      <c r="J505" s="88">
        <v>1</v>
      </c>
      <c r="K505" s="82" t="s">
        <v>22</v>
      </c>
      <c r="L505" s="88">
        <v>1</v>
      </c>
      <c r="M505" s="97">
        <v>255</v>
      </c>
      <c r="N505" s="98">
        <v>104</v>
      </c>
    </row>
    <row r="506" spans="1:14" ht="14.25" customHeight="1" x14ac:dyDescent="0.25">
      <c r="A506" s="95">
        <v>45752</v>
      </c>
      <c r="B506" s="96">
        <v>0.60277777777777775</v>
      </c>
      <c r="C506" s="78" t="str">
        <f>"Q" &amp; CHOOSE(MONTH(Sales!$A506), "1", "1", "1", "2", "2", "2", "3", "3", "3", "4", "4", "4") &amp; "_" &amp; YEAR(Sales!$A506)</f>
        <v>Q2_2025</v>
      </c>
      <c r="D506" s="99" t="s">
        <v>60</v>
      </c>
      <c r="E506" s="81" t="s">
        <v>14</v>
      </c>
      <c r="F506" s="82" t="s">
        <v>15</v>
      </c>
      <c r="G506" s="82" t="s">
        <v>117</v>
      </c>
      <c r="H506" s="82" t="s">
        <v>17</v>
      </c>
      <c r="I506" s="88" t="s">
        <v>239</v>
      </c>
      <c r="J506" s="88">
        <v>1</v>
      </c>
      <c r="K506" s="82" t="s">
        <v>22</v>
      </c>
      <c r="L506" s="88">
        <v>1</v>
      </c>
      <c r="M506" s="97">
        <v>219</v>
      </c>
      <c r="N506" s="98">
        <v>109</v>
      </c>
    </row>
    <row r="507" spans="1:14" ht="14.25" customHeight="1" x14ac:dyDescent="0.25">
      <c r="A507" s="95">
        <v>45752</v>
      </c>
      <c r="B507" s="96">
        <v>0.67569444444444449</v>
      </c>
      <c r="C507" s="78" t="str">
        <f>"Q" &amp; CHOOSE(MONTH(Sales!$A507), "1", "1", "1", "2", "2", "2", "3", "3", "3", "4", "4", "4") &amp; "_" &amp; YEAR(Sales!$A507)</f>
        <v>Q2_2025</v>
      </c>
      <c r="D507" s="99" t="s">
        <v>60</v>
      </c>
      <c r="E507" s="81" t="s">
        <v>14</v>
      </c>
      <c r="F507" s="82" t="s">
        <v>15</v>
      </c>
      <c r="G507" s="82" t="s">
        <v>24</v>
      </c>
      <c r="H507" s="88" t="s">
        <v>20</v>
      </c>
      <c r="I507" s="88" t="s">
        <v>25</v>
      </c>
      <c r="J507" s="88">
        <v>1</v>
      </c>
      <c r="K507" s="82" t="s">
        <v>22</v>
      </c>
      <c r="L507" s="88">
        <v>1</v>
      </c>
      <c r="M507" s="97">
        <v>359</v>
      </c>
      <c r="N507" s="98">
        <v>228</v>
      </c>
    </row>
    <row r="508" spans="1:14" ht="14.25" customHeight="1" x14ac:dyDescent="0.25">
      <c r="A508" s="95">
        <v>45752</v>
      </c>
      <c r="B508" s="96">
        <v>0.7993055555555556</v>
      </c>
      <c r="C508" s="78" t="str">
        <f>"Q" &amp; CHOOSE(MONTH(Sales!$A508), "1", "1", "1", "2", "2", "2", "3", "3", "3", "4", "4", "4") &amp; "_" &amp; YEAR(Sales!$A508)</f>
        <v>Q2_2025</v>
      </c>
      <c r="D508" s="99" t="s">
        <v>60</v>
      </c>
      <c r="E508" s="81" t="s">
        <v>14</v>
      </c>
      <c r="F508" s="82" t="s">
        <v>15</v>
      </c>
      <c r="G508" s="82" t="s">
        <v>93</v>
      </c>
      <c r="H508" s="82" t="s">
        <v>17</v>
      </c>
      <c r="I508" s="88" t="s">
        <v>94</v>
      </c>
      <c r="J508" s="88">
        <v>1</v>
      </c>
      <c r="K508" s="82" t="s">
        <v>22</v>
      </c>
      <c r="L508" s="88">
        <v>1</v>
      </c>
      <c r="M508" s="97">
        <v>255</v>
      </c>
      <c r="N508" s="98">
        <v>104</v>
      </c>
    </row>
    <row r="509" spans="1:14" ht="14.25" customHeight="1" x14ac:dyDescent="0.25">
      <c r="A509" s="95">
        <v>45753</v>
      </c>
      <c r="B509" s="96">
        <v>1.3888888888888888E-2</v>
      </c>
      <c r="C509" s="78" t="str">
        <f>"Q" &amp; CHOOSE(MONTH(Sales!$A509), "1", "1", "1", "2", "2", "2", "3", "3", "3", "4", "4", "4") &amp; "_" &amp; YEAR(Sales!$A509)</f>
        <v>Q2_2025</v>
      </c>
      <c r="D509" s="99" t="s">
        <v>56</v>
      </c>
      <c r="E509" s="81" t="s">
        <v>14</v>
      </c>
      <c r="F509" s="82" t="s">
        <v>15</v>
      </c>
      <c r="G509" s="82" t="s">
        <v>16</v>
      </c>
      <c r="H509" s="88" t="s">
        <v>20</v>
      </c>
      <c r="I509" s="88" t="s">
        <v>31</v>
      </c>
      <c r="J509" s="88">
        <v>1</v>
      </c>
      <c r="K509" s="82" t="s">
        <v>22</v>
      </c>
      <c r="L509" s="88">
        <v>7</v>
      </c>
      <c r="M509" s="97">
        <v>1699</v>
      </c>
      <c r="N509" s="98">
        <v>1328</v>
      </c>
    </row>
    <row r="510" spans="1:14" ht="14.25" customHeight="1" x14ac:dyDescent="0.25">
      <c r="A510" s="95">
        <v>45753</v>
      </c>
      <c r="B510" s="96">
        <v>1.3888888888888888E-2</v>
      </c>
      <c r="C510" s="78" t="str">
        <f>"Q" &amp; CHOOSE(MONTH(Sales!$A510), "1", "1", "1", "2", "2", "2", "3", "3", "3", "4", "4", "4") &amp; "_" &amp; YEAR(Sales!$A510)</f>
        <v>Q2_2025</v>
      </c>
      <c r="D510" s="99" t="s">
        <v>56</v>
      </c>
      <c r="E510" s="81" t="s">
        <v>14</v>
      </c>
      <c r="F510" s="82" t="s">
        <v>15</v>
      </c>
      <c r="G510" s="82" t="s">
        <v>24</v>
      </c>
      <c r="H510" s="88" t="s">
        <v>20</v>
      </c>
      <c r="I510" s="88" t="s">
        <v>52</v>
      </c>
      <c r="J510" s="88">
        <v>1</v>
      </c>
      <c r="K510" s="88" t="s">
        <v>48</v>
      </c>
      <c r="L510" s="88">
        <v>5</v>
      </c>
      <c r="M510" s="97">
        <v>0</v>
      </c>
      <c r="N510" s="98">
        <v>0</v>
      </c>
    </row>
    <row r="511" spans="1:14" ht="14.25" customHeight="1" x14ac:dyDescent="0.25">
      <c r="A511" s="95">
        <v>45754</v>
      </c>
      <c r="B511" s="96">
        <v>0.49652777777777779</v>
      </c>
      <c r="C511" s="78" t="str">
        <f>"Q" &amp; CHOOSE(MONTH(Sales!$A511), "1", "1", "1", "2", "2", "2", "3", "3", "3", "4", "4", "4") &amp; "_" &amp; YEAR(Sales!$A511)</f>
        <v>Q2_2025</v>
      </c>
      <c r="D511" s="99" t="s">
        <v>63</v>
      </c>
      <c r="E511" s="81" t="s">
        <v>14</v>
      </c>
      <c r="F511" s="82" t="s">
        <v>15</v>
      </c>
      <c r="G511" s="82" t="s">
        <v>24</v>
      </c>
      <c r="H511" s="88" t="s">
        <v>20</v>
      </c>
      <c r="I511" s="88" t="s">
        <v>52</v>
      </c>
      <c r="J511" s="88">
        <v>1</v>
      </c>
      <c r="K511" s="88" t="s">
        <v>48</v>
      </c>
      <c r="L511" s="88">
        <v>5</v>
      </c>
      <c r="M511" s="97">
        <v>0</v>
      </c>
      <c r="N511" s="98">
        <v>0</v>
      </c>
    </row>
    <row r="512" spans="1:14" ht="14.25" customHeight="1" x14ac:dyDescent="0.25">
      <c r="A512" s="95">
        <v>45754</v>
      </c>
      <c r="B512" s="96">
        <v>0.54652777777777772</v>
      </c>
      <c r="C512" s="78" t="str">
        <f>"Q" &amp; CHOOSE(MONTH(Sales!$A512), "1", "1", "1", "2", "2", "2", "3", "3", "3", "4", "4", "4") &amp; "_" &amp; YEAR(Sales!$A512)</f>
        <v>Q2_2025</v>
      </c>
      <c r="D512" s="99" t="s">
        <v>60</v>
      </c>
      <c r="E512" s="81" t="s">
        <v>14</v>
      </c>
      <c r="F512" s="82" t="s">
        <v>15</v>
      </c>
      <c r="G512" s="82" t="s">
        <v>24</v>
      </c>
      <c r="H512" s="88" t="s">
        <v>20</v>
      </c>
      <c r="I512" s="88" t="s">
        <v>25</v>
      </c>
      <c r="J512" s="88">
        <v>1</v>
      </c>
      <c r="K512" s="82" t="s">
        <v>22</v>
      </c>
      <c r="L512" s="88">
        <v>1</v>
      </c>
      <c r="M512" s="97">
        <v>359</v>
      </c>
      <c r="N512" s="98">
        <v>228</v>
      </c>
    </row>
    <row r="513" spans="1:14" ht="14.25" customHeight="1" x14ac:dyDescent="0.25">
      <c r="A513" s="95">
        <v>45754</v>
      </c>
      <c r="B513" s="96">
        <v>0.58194444444444449</v>
      </c>
      <c r="C513" s="78" t="str">
        <f>"Q" &amp; CHOOSE(MONTH(Sales!$A513), "1", "1", "1", "2", "2", "2", "3", "3", "3", "4", "4", "4") &amp; "_" &amp; YEAR(Sales!$A513)</f>
        <v>Q2_2025</v>
      </c>
      <c r="D513" s="99" t="s">
        <v>60</v>
      </c>
      <c r="E513" s="81" t="s">
        <v>14</v>
      </c>
      <c r="F513" s="82" t="s">
        <v>15</v>
      </c>
      <c r="G513" s="82" t="s">
        <v>87</v>
      </c>
      <c r="H513" s="82" t="s">
        <v>17</v>
      </c>
      <c r="I513" s="82" t="s">
        <v>88</v>
      </c>
      <c r="J513" s="82">
        <v>1</v>
      </c>
      <c r="K513" s="82" t="s">
        <v>22</v>
      </c>
      <c r="L513" s="83">
        <v>1</v>
      </c>
      <c r="M513" s="84">
        <v>949</v>
      </c>
      <c r="N513" s="85">
        <v>639</v>
      </c>
    </row>
    <row r="514" spans="1:14" ht="14.25" customHeight="1" x14ac:dyDescent="0.25">
      <c r="A514" s="95">
        <v>45754</v>
      </c>
      <c r="B514" s="96">
        <v>0.67500000000000004</v>
      </c>
      <c r="C514" s="78" t="str">
        <f>"Q" &amp; CHOOSE(MONTH(Sales!$A514), "1", "1", "1", "2", "2", "2", "3", "3", "3", "4", "4", "4") &amp; "_" &amp; YEAR(Sales!$A514)</f>
        <v>Q2_2025</v>
      </c>
      <c r="D514" s="99" t="s">
        <v>75</v>
      </c>
      <c r="E514" s="81" t="s">
        <v>14</v>
      </c>
      <c r="F514" s="82" t="s">
        <v>15</v>
      </c>
      <c r="G514" s="82" t="s">
        <v>102</v>
      </c>
      <c r="H514" s="82" t="s">
        <v>17</v>
      </c>
      <c r="I514" s="88" t="s">
        <v>240</v>
      </c>
      <c r="J514" s="82">
        <v>1</v>
      </c>
      <c r="K514" s="82" t="s">
        <v>22</v>
      </c>
      <c r="L514" s="83">
        <v>1</v>
      </c>
      <c r="M514" s="84">
        <v>495</v>
      </c>
      <c r="N514" s="85">
        <v>305</v>
      </c>
    </row>
    <row r="515" spans="1:14" ht="14.25" customHeight="1" x14ac:dyDescent="0.25">
      <c r="A515" s="95">
        <v>45754</v>
      </c>
      <c r="B515" s="96">
        <v>0.67638888888888893</v>
      </c>
      <c r="C515" s="78" t="str">
        <f>"Q" &amp; CHOOSE(MONTH(Sales!$A515), "1", "1", "1", "2", "2", "2", "3", "3", "3", "4", "4", "4") &amp; "_" &amp; YEAR(Sales!$A515)</f>
        <v>Q2_2025</v>
      </c>
      <c r="D515" s="99" t="s">
        <v>68</v>
      </c>
      <c r="E515" s="81" t="s">
        <v>14</v>
      </c>
      <c r="F515" s="82" t="s">
        <v>15</v>
      </c>
      <c r="G515" s="82" t="s">
        <v>103</v>
      </c>
      <c r="H515" s="88" t="s">
        <v>20</v>
      </c>
      <c r="I515" s="88" t="s">
        <v>235</v>
      </c>
      <c r="J515" s="82">
        <v>1</v>
      </c>
      <c r="K515" s="82" t="s">
        <v>22</v>
      </c>
      <c r="L515" s="83">
        <v>3</v>
      </c>
      <c r="M515" s="84">
        <v>1449</v>
      </c>
      <c r="N515" s="85">
        <v>1006</v>
      </c>
    </row>
    <row r="516" spans="1:14" ht="14.25" customHeight="1" x14ac:dyDescent="0.25">
      <c r="A516" s="95">
        <v>45754</v>
      </c>
      <c r="B516" s="96">
        <v>0.76527777777777772</v>
      </c>
      <c r="C516" s="78" t="str">
        <f>"Q" &amp; CHOOSE(MONTH(Sales!$A516), "1", "1", "1", "2", "2", "2", "3", "3", "3", "4", "4", "4") &amp; "_" &amp; YEAR(Sales!$A516)</f>
        <v>Q2_2025</v>
      </c>
      <c r="D516" s="99" t="s">
        <v>58</v>
      </c>
      <c r="E516" s="81" t="s">
        <v>14</v>
      </c>
      <c r="F516" s="82" t="s">
        <v>15</v>
      </c>
      <c r="G516" s="82" t="s">
        <v>93</v>
      </c>
      <c r="H516" s="82" t="s">
        <v>17</v>
      </c>
      <c r="I516" s="88" t="s">
        <v>94</v>
      </c>
      <c r="J516" s="88">
        <v>1</v>
      </c>
      <c r="K516" s="82" t="s">
        <v>22</v>
      </c>
      <c r="L516" s="88">
        <v>1</v>
      </c>
      <c r="M516" s="97">
        <v>255</v>
      </c>
      <c r="N516" s="98">
        <v>104</v>
      </c>
    </row>
    <row r="517" spans="1:14" ht="14.25" customHeight="1" x14ac:dyDescent="0.25">
      <c r="A517" s="95">
        <v>45754</v>
      </c>
      <c r="B517" s="96">
        <v>0.9458333333333333</v>
      </c>
      <c r="C517" s="78" t="str">
        <f>"Q" &amp; CHOOSE(MONTH(Sales!$A517), "1", "1", "1", "2", "2", "2", "3", "3", "3", "4", "4", "4") &amp; "_" &amp; YEAR(Sales!$A517)</f>
        <v>Q2_2025</v>
      </c>
      <c r="D517" s="99" t="s">
        <v>66</v>
      </c>
      <c r="E517" s="81" t="s">
        <v>14</v>
      </c>
      <c r="F517" s="82" t="s">
        <v>15</v>
      </c>
      <c r="G517" s="82" t="s">
        <v>117</v>
      </c>
      <c r="H517" s="82" t="s">
        <v>17</v>
      </c>
      <c r="I517" s="88" t="s">
        <v>239</v>
      </c>
      <c r="J517" s="88">
        <v>1</v>
      </c>
      <c r="K517" s="82" t="s">
        <v>22</v>
      </c>
      <c r="L517" s="88">
        <v>1</v>
      </c>
      <c r="M517" s="97">
        <v>219</v>
      </c>
      <c r="N517" s="98">
        <v>109</v>
      </c>
    </row>
    <row r="518" spans="1:14" ht="14.25" customHeight="1" x14ac:dyDescent="0.25">
      <c r="A518" s="95">
        <v>45755</v>
      </c>
      <c r="B518" s="96">
        <v>0.28680555555555554</v>
      </c>
      <c r="C518" s="78" t="str">
        <f>"Q" &amp; CHOOSE(MONTH(Sales!$A518), "1", "1", "1", "2", "2", "2", "3", "3", "3", "4", "4", "4") &amp; "_" &amp; YEAR(Sales!$A518)</f>
        <v>Q2_2025</v>
      </c>
      <c r="D518" s="99" t="s">
        <v>68</v>
      </c>
      <c r="E518" s="81" t="s">
        <v>14</v>
      </c>
      <c r="F518" s="82" t="s">
        <v>15</v>
      </c>
      <c r="G518" s="82" t="s">
        <v>93</v>
      </c>
      <c r="H518" s="82" t="s">
        <v>17</v>
      </c>
      <c r="I518" s="88" t="s">
        <v>94</v>
      </c>
      <c r="J518" s="88">
        <v>1</v>
      </c>
      <c r="K518" s="82" t="s">
        <v>22</v>
      </c>
      <c r="L518" s="88">
        <v>1</v>
      </c>
      <c r="M518" s="97">
        <v>250</v>
      </c>
      <c r="N518" s="98">
        <v>104</v>
      </c>
    </row>
    <row r="519" spans="1:14" ht="14.25" customHeight="1" x14ac:dyDescent="0.25">
      <c r="A519" s="95">
        <v>45755</v>
      </c>
      <c r="B519" s="96">
        <v>0.34027777777777779</v>
      </c>
      <c r="C519" s="78" t="str">
        <f>"Q" &amp; CHOOSE(MONTH(Sales!$A519), "1", "1", "1", "2", "2", "2", "3", "3", "3", "4", "4", "4") &amp; "_" &amp; YEAR(Sales!$A519)</f>
        <v>Q2_2025</v>
      </c>
      <c r="D519" s="99" t="s">
        <v>58</v>
      </c>
      <c r="E519" s="81" t="s">
        <v>14</v>
      </c>
      <c r="F519" s="82" t="s">
        <v>15</v>
      </c>
      <c r="G519" s="82" t="s">
        <v>102</v>
      </c>
      <c r="H519" s="82" t="s">
        <v>17</v>
      </c>
      <c r="I519" s="88" t="s">
        <v>240</v>
      </c>
      <c r="J519" s="88">
        <v>1</v>
      </c>
      <c r="K519" s="82" t="s">
        <v>22</v>
      </c>
      <c r="L519" s="88">
        <v>1</v>
      </c>
      <c r="M519" s="97">
        <v>499</v>
      </c>
      <c r="N519" s="98">
        <v>309</v>
      </c>
    </row>
    <row r="520" spans="1:14" ht="14.25" customHeight="1" x14ac:dyDescent="0.25">
      <c r="A520" s="95">
        <v>45755</v>
      </c>
      <c r="B520" s="96">
        <v>0.37638888888888888</v>
      </c>
      <c r="C520" s="78" t="str">
        <f>"Q" &amp; CHOOSE(MONTH(Sales!$A520), "1", "1", "1", "2", "2", "2", "3", "3", "3", "4", "4", "4") &amp; "_" &amp; YEAR(Sales!$A520)</f>
        <v>Q2_2025</v>
      </c>
      <c r="D520" s="99" t="s">
        <v>58</v>
      </c>
      <c r="E520" s="81" t="s">
        <v>14</v>
      </c>
      <c r="F520" s="82" t="s">
        <v>15</v>
      </c>
      <c r="G520" s="82" t="s">
        <v>103</v>
      </c>
      <c r="H520" s="88" t="s">
        <v>20</v>
      </c>
      <c r="I520" s="88" t="s">
        <v>235</v>
      </c>
      <c r="J520" s="88">
        <v>1</v>
      </c>
      <c r="K520" s="82" t="s">
        <v>22</v>
      </c>
      <c r="L520" s="88">
        <v>3</v>
      </c>
      <c r="M520" s="97">
        <v>1499</v>
      </c>
      <c r="N520" s="98">
        <v>1047</v>
      </c>
    </row>
    <row r="521" spans="1:14" ht="14.25" customHeight="1" x14ac:dyDescent="0.25">
      <c r="A521" s="95">
        <v>45755</v>
      </c>
      <c r="B521" s="96">
        <v>0.44861111111111113</v>
      </c>
      <c r="C521" s="78" t="str">
        <f>"Q" &amp; CHOOSE(MONTH(Sales!$A521), "1", "1", "1", "2", "2", "2", "3", "3", "3", "4", "4", "4") &amp; "_" &amp; YEAR(Sales!$A521)</f>
        <v>Q2_2025</v>
      </c>
      <c r="D521" s="99" t="s">
        <v>58</v>
      </c>
      <c r="E521" s="81" t="s">
        <v>14</v>
      </c>
      <c r="F521" s="82" t="s">
        <v>15</v>
      </c>
      <c r="G521" s="82" t="s">
        <v>24</v>
      </c>
      <c r="H521" s="88" t="s">
        <v>20</v>
      </c>
      <c r="I521" s="88" t="s">
        <v>25</v>
      </c>
      <c r="J521" s="88">
        <v>1</v>
      </c>
      <c r="K521" s="82" t="s">
        <v>22</v>
      </c>
      <c r="L521" s="88">
        <v>3</v>
      </c>
      <c r="M521" s="97">
        <v>358</v>
      </c>
      <c r="N521" s="98">
        <v>228</v>
      </c>
    </row>
    <row r="522" spans="1:14" ht="14.25" customHeight="1" x14ac:dyDescent="0.25">
      <c r="A522" s="95">
        <v>45755</v>
      </c>
      <c r="B522" s="96">
        <v>0.44930555555555557</v>
      </c>
      <c r="C522" s="78" t="str">
        <f>"Q" &amp; CHOOSE(MONTH(Sales!$A522), "1", "1", "1", "2", "2", "2", "3", "3", "3", "4", "4", "4") &amp; "_" &amp; YEAR(Sales!$A522)</f>
        <v>Q2_2025</v>
      </c>
      <c r="D522" s="99" t="s">
        <v>60</v>
      </c>
      <c r="E522" s="81" t="s">
        <v>14</v>
      </c>
      <c r="F522" s="82" t="s">
        <v>15</v>
      </c>
      <c r="G522" s="82" t="s">
        <v>87</v>
      </c>
      <c r="H522" s="82" t="s">
        <v>17</v>
      </c>
      <c r="I522" s="82" t="s">
        <v>88</v>
      </c>
      <c r="J522" s="82">
        <v>1</v>
      </c>
      <c r="K522" s="82" t="s">
        <v>22</v>
      </c>
      <c r="L522" s="83">
        <v>1</v>
      </c>
      <c r="M522" s="84">
        <v>949</v>
      </c>
      <c r="N522" s="85">
        <v>639</v>
      </c>
    </row>
    <row r="523" spans="1:14" ht="14.25" customHeight="1" x14ac:dyDescent="0.25">
      <c r="A523" s="95">
        <v>45755</v>
      </c>
      <c r="B523" s="96">
        <v>0.49583333333333335</v>
      </c>
      <c r="C523" s="78" t="str">
        <f>"Q" &amp; CHOOSE(MONTH(Sales!$A523), "1", "1", "1", "2", "2", "2", "3", "3", "3", "4", "4", "4") &amp; "_" &amp; YEAR(Sales!$A523)</f>
        <v>Q2_2025</v>
      </c>
      <c r="D523" s="99" t="s">
        <v>60</v>
      </c>
      <c r="E523" s="81" t="s">
        <v>14</v>
      </c>
      <c r="F523" s="82" t="s">
        <v>15</v>
      </c>
      <c r="G523" s="82" t="s">
        <v>16</v>
      </c>
      <c r="H523" s="88" t="s">
        <v>20</v>
      </c>
      <c r="I523" s="88" t="s">
        <v>72</v>
      </c>
      <c r="J523" s="88">
        <v>1</v>
      </c>
      <c r="K523" s="82" t="s">
        <v>22</v>
      </c>
      <c r="L523" s="88">
        <v>2</v>
      </c>
      <c r="M523" s="97">
        <v>569</v>
      </c>
      <c r="N523" s="98">
        <v>373</v>
      </c>
    </row>
    <row r="524" spans="1:14" ht="14.25" customHeight="1" x14ac:dyDescent="0.25">
      <c r="A524" s="95">
        <v>45755</v>
      </c>
      <c r="B524" s="96">
        <v>0.53888888888888886</v>
      </c>
      <c r="C524" s="78" t="str">
        <f>"Q" &amp; CHOOSE(MONTH(Sales!$A524), "1", "1", "1", "2", "2", "2", "3", "3", "3", "4", "4", "4") &amp; "_" &amp; YEAR(Sales!$A524)</f>
        <v>Q2_2025</v>
      </c>
      <c r="D524" s="99" t="s">
        <v>60</v>
      </c>
      <c r="E524" s="81" t="s">
        <v>14</v>
      </c>
      <c r="F524" s="82" t="s">
        <v>15</v>
      </c>
      <c r="G524" s="82" t="s">
        <v>35</v>
      </c>
      <c r="H524" s="88" t="s">
        <v>20</v>
      </c>
      <c r="I524" s="88" t="s">
        <v>51</v>
      </c>
      <c r="J524" s="88">
        <v>1</v>
      </c>
      <c r="K524" s="82" t="s">
        <v>22</v>
      </c>
      <c r="L524" s="88">
        <v>6</v>
      </c>
      <c r="M524" s="97">
        <v>474</v>
      </c>
      <c r="N524" s="98">
        <v>323</v>
      </c>
    </row>
    <row r="525" spans="1:14" ht="14.25" customHeight="1" x14ac:dyDescent="0.25">
      <c r="A525" s="95">
        <v>45755</v>
      </c>
      <c r="B525" s="96">
        <v>0.81944444444444442</v>
      </c>
      <c r="C525" s="78" t="str">
        <f>"Q" &amp; CHOOSE(MONTH(Sales!$A525), "1", "1", "1", "2", "2", "2", "3", "3", "3", "4", "4", "4") &amp; "_" &amp; YEAR(Sales!$A525)</f>
        <v>Q2_2025</v>
      </c>
      <c r="D525" s="99" t="s">
        <v>60</v>
      </c>
      <c r="E525" s="81" t="s">
        <v>14</v>
      </c>
      <c r="F525" s="82" t="s">
        <v>15</v>
      </c>
      <c r="G525" s="82" t="s">
        <v>24</v>
      </c>
      <c r="H525" s="88" t="s">
        <v>20</v>
      </c>
      <c r="I525" s="88" t="s">
        <v>25</v>
      </c>
      <c r="J525" s="88">
        <v>1</v>
      </c>
      <c r="K525" s="82" t="s">
        <v>22</v>
      </c>
      <c r="L525" s="88">
        <v>3</v>
      </c>
      <c r="M525" s="97">
        <v>359</v>
      </c>
      <c r="N525" s="98">
        <v>228</v>
      </c>
    </row>
    <row r="526" spans="1:14" ht="14.25" customHeight="1" x14ac:dyDescent="0.25">
      <c r="A526" s="111">
        <v>45755</v>
      </c>
      <c r="B526" s="112">
        <v>0.85138888888888886</v>
      </c>
      <c r="C526" s="78" t="str">
        <f>"Q" &amp; CHOOSE(MONTH(Sales!$A526), "1", "1", "1", "2", "2", "2", "3", "3", "3", "4", "4", "4") &amp; "_" &amp; YEAR(Sales!$A526)</f>
        <v>Q2_2025</v>
      </c>
      <c r="D526" s="113" t="s">
        <v>58</v>
      </c>
      <c r="E526" s="81" t="s">
        <v>14</v>
      </c>
      <c r="F526" s="82" t="s">
        <v>15</v>
      </c>
      <c r="G526" s="114" t="s">
        <v>93</v>
      </c>
      <c r="H526" s="115" t="s">
        <v>17</v>
      </c>
      <c r="I526" s="115" t="s">
        <v>94</v>
      </c>
      <c r="J526" s="115">
        <v>1</v>
      </c>
      <c r="K526" s="82" t="s">
        <v>22</v>
      </c>
      <c r="L526" s="115">
        <v>1</v>
      </c>
      <c r="M526" s="116">
        <v>254</v>
      </c>
      <c r="N526" s="117">
        <v>104</v>
      </c>
    </row>
    <row r="527" spans="1:14" ht="14.25" customHeight="1" x14ac:dyDescent="0.25">
      <c r="A527" s="111">
        <v>45755</v>
      </c>
      <c r="B527" s="112">
        <v>0.86458333333333337</v>
      </c>
      <c r="C527" s="78" t="str">
        <f>"Q" &amp; CHOOSE(MONTH(Sales!$A527), "1", "1", "1", "2", "2", "2", "3", "3", "3", "4", "4", "4") &amp; "_" &amp; YEAR(Sales!$A527)</f>
        <v>Q2_2025</v>
      </c>
      <c r="D527" s="113" t="s">
        <v>59</v>
      </c>
      <c r="E527" s="81" t="s">
        <v>14</v>
      </c>
      <c r="F527" s="82" t="s">
        <v>15</v>
      </c>
      <c r="G527" s="114" t="s">
        <v>93</v>
      </c>
      <c r="H527" s="115" t="s">
        <v>17</v>
      </c>
      <c r="I527" s="115" t="s">
        <v>94</v>
      </c>
      <c r="J527" s="115">
        <v>1</v>
      </c>
      <c r="K527" s="82" t="s">
        <v>22</v>
      </c>
      <c r="L527" s="115">
        <v>1</v>
      </c>
      <c r="M527" s="116">
        <v>254</v>
      </c>
      <c r="N527" s="117">
        <v>104</v>
      </c>
    </row>
    <row r="528" spans="1:14" ht="14.25" customHeight="1" x14ac:dyDescent="0.25">
      <c r="A528" s="111">
        <v>45755</v>
      </c>
      <c r="B528" s="112">
        <v>0.86597222222222225</v>
      </c>
      <c r="C528" s="78" t="str">
        <f>"Q" &amp; CHOOSE(MONTH(Sales!$A528), "1", "1", "1", "2", "2", "2", "3", "3", "3", "4", "4", "4") &amp; "_" &amp; YEAR(Sales!$A528)</f>
        <v>Q2_2025</v>
      </c>
      <c r="D528" s="113" t="s">
        <v>58</v>
      </c>
      <c r="E528" s="81" t="s">
        <v>14</v>
      </c>
      <c r="F528" s="82" t="s">
        <v>15</v>
      </c>
      <c r="G528" s="82" t="s">
        <v>87</v>
      </c>
      <c r="H528" s="82" t="s">
        <v>17</v>
      </c>
      <c r="I528" s="82" t="s">
        <v>88</v>
      </c>
      <c r="J528" s="82">
        <v>1</v>
      </c>
      <c r="K528" s="82" t="s">
        <v>22</v>
      </c>
      <c r="L528" s="83">
        <v>1</v>
      </c>
      <c r="M528" s="84">
        <v>949</v>
      </c>
      <c r="N528" s="85">
        <v>639</v>
      </c>
    </row>
    <row r="529" spans="1:14" ht="14.25" customHeight="1" x14ac:dyDescent="0.25">
      <c r="A529" s="111">
        <v>45755</v>
      </c>
      <c r="B529" s="112">
        <v>0.9506944444444444</v>
      </c>
      <c r="C529" s="78" t="str">
        <f>"Q" &amp; CHOOSE(MONTH(Sales!$A529), "1", "1", "1", "2", "2", "2", "3", "3", "3", "4", "4", "4") &amp; "_" &amp; YEAR(Sales!$A529)</f>
        <v>Q2_2025</v>
      </c>
      <c r="D529" s="113" t="s">
        <v>68</v>
      </c>
      <c r="E529" s="81" t="s">
        <v>14</v>
      </c>
      <c r="F529" s="82" t="s">
        <v>15</v>
      </c>
      <c r="G529" s="114" t="s">
        <v>93</v>
      </c>
      <c r="H529" s="115" t="s">
        <v>17</v>
      </c>
      <c r="I529" s="115" t="s">
        <v>94</v>
      </c>
      <c r="J529" s="115">
        <v>1</v>
      </c>
      <c r="K529" s="82" t="s">
        <v>22</v>
      </c>
      <c r="L529" s="115">
        <v>1</v>
      </c>
      <c r="M529" s="116">
        <v>254</v>
      </c>
      <c r="N529" s="117">
        <v>104</v>
      </c>
    </row>
    <row r="530" spans="1:14" ht="14.25" customHeight="1" x14ac:dyDescent="0.25">
      <c r="A530" s="111">
        <v>45755</v>
      </c>
      <c r="B530" s="112">
        <v>0.99791666666666667</v>
      </c>
      <c r="C530" s="78" t="str">
        <f>"Q" &amp; CHOOSE(MONTH(Sales!$A530), "1", "1", "1", "2", "2", "2", "3", "3", "3", "4", "4", "4") &amp; "_" &amp; YEAR(Sales!$A530)</f>
        <v>Q2_2025</v>
      </c>
      <c r="D530" s="113" t="s">
        <v>63</v>
      </c>
      <c r="E530" s="118" t="s">
        <v>14</v>
      </c>
      <c r="F530" s="82" t="s">
        <v>15</v>
      </c>
      <c r="G530" s="114" t="s">
        <v>242</v>
      </c>
      <c r="H530" s="115" t="s">
        <v>20</v>
      </c>
      <c r="I530" s="115" t="s">
        <v>241</v>
      </c>
      <c r="J530" s="115">
        <v>1</v>
      </c>
      <c r="K530" s="82" t="s">
        <v>22</v>
      </c>
      <c r="L530" s="115">
        <v>3</v>
      </c>
      <c r="M530" s="116">
        <v>448</v>
      </c>
      <c r="N530" s="117">
        <v>299</v>
      </c>
    </row>
    <row r="531" spans="1:14" ht="14.25" customHeight="1" x14ac:dyDescent="0.25">
      <c r="A531" s="111">
        <v>45756</v>
      </c>
      <c r="B531" s="112">
        <v>0.27500000000000002</v>
      </c>
      <c r="C531" s="78" t="str">
        <f>"Q" &amp; CHOOSE(MONTH(Sales!$A531), "1", "1", "1", "2", "2", "2", "3", "3", "3", "4", "4", "4") &amp; "_" &amp; YEAR(Sales!$A531)</f>
        <v>Q2_2025</v>
      </c>
      <c r="D531" s="113" t="s">
        <v>59</v>
      </c>
      <c r="E531" s="118" t="s">
        <v>14</v>
      </c>
      <c r="F531" s="82" t="s">
        <v>15</v>
      </c>
      <c r="G531" s="82" t="s">
        <v>117</v>
      </c>
      <c r="H531" s="82" t="s">
        <v>17</v>
      </c>
      <c r="I531" s="88" t="s">
        <v>239</v>
      </c>
      <c r="J531" s="88">
        <v>1</v>
      </c>
      <c r="K531" s="82" t="s">
        <v>22</v>
      </c>
      <c r="L531" s="88">
        <v>1</v>
      </c>
      <c r="M531" s="97">
        <v>219</v>
      </c>
      <c r="N531" s="98">
        <v>109</v>
      </c>
    </row>
    <row r="532" spans="1:14" ht="14.25" customHeight="1" x14ac:dyDescent="0.25">
      <c r="A532" s="111">
        <v>45756</v>
      </c>
      <c r="B532" s="112">
        <v>0.35972222222222222</v>
      </c>
      <c r="C532" s="78" t="str">
        <f>"Q" &amp; CHOOSE(MONTH(Sales!$A532), "1", "1", "1", "2", "2", "2", "3", "3", "3", "4", "4", "4") &amp; "_" &amp; YEAR(Sales!$A532)</f>
        <v>Q2_2025</v>
      </c>
      <c r="D532" s="113" t="s">
        <v>57</v>
      </c>
      <c r="E532" s="118" t="s">
        <v>14</v>
      </c>
      <c r="F532" s="82" t="s">
        <v>15</v>
      </c>
      <c r="G532" s="114" t="s">
        <v>24</v>
      </c>
      <c r="H532" s="114" t="s">
        <v>20</v>
      </c>
      <c r="I532" s="115" t="s">
        <v>52</v>
      </c>
      <c r="J532" s="115">
        <v>1</v>
      </c>
      <c r="K532" s="82" t="s">
        <v>22</v>
      </c>
      <c r="L532" s="115">
        <v>5</v>
      </c>
      <c r="M532" s="116">
        <v>569</v>
      </c>
      <c r="N532" s="117">
        <v>373</v>
      </c>
    </row>
    <row r="533" spans="1:14" ht="14.25" customHeight="1" x14ac:dyDescent="0.25">
      <c r="A533" s="111">
        <v>45756</v>
      </c>
      <c r="B533" s="112">
        <v>0.36666666666666664</v>
      </c>
      <c r="C533" s="78" t="str">
        <f>"Q" &amp; CHOOSE(MONTH(Sales!$A533), "1", "1", "1", "2", "2", "2", "3", "3", "3", "4", "4", "4") &amp; "_" &amp; YEAR(Sales!$A533)</f>
        <v>Q2_2025</v>
      </c>
      <c r="D533" s="113" t="s">
        <v>68</v>
      </c>
      <c r="E533" s="118" t="s">
        <v>14</v>
      </c>
      <c r="F533" s="82" t="s">
        <v>15</v>
      </c>
      <c r="G533" s="82" t="s">
        <v>87</v>
      </c>
      <c r="H533" s="82" t="s">
        <v>17</v>
      </c>
      <c r="I533" s="82" t="s">
        <v>88</v>
      </c>
      <c r="J533" s="82">
        <v>1</v>
      </c>
      <c r="K533" s="82" t="s">
        <v>22</v>
      </c>
      <c r="L533" s="83">
        <v>1</v>
      </c>
      <c r="M533" s="84">
        <v>949</v>
      </c>
      <c r="N533" s="85">
        <v>639</v>
      </c>
    </row>
    <row r="534" spans="1:14" ht="14.25" customHeight="1" x14ac:dyDescent="0.25">
      <c r="A534" s="111">
        <v>45756</v>
      </c>
      <c r="B534" s="112">
        <v>0.90277777777777779</v>
      </c>
      <c r="C534" s="78" t="str">
        <f>"Q" &amp; CHOOSE(MONTH(Sales!$A534), "1", "1", "1", "2", "2", "2", "3", "3", "3", "4", "4", "4") &amp; "_" &amp; YEAR(Sales!$A534)</f>
        <v>Q2_2025</v>
      </c>
      <c r="D534" s="113" t="s">
        <v>68</v>
      </c>
      <c r="E534" s="118" t="s">
        <v>14</v>
      </c>
      <c r="F534" s="82" t="s">
        <v>15</v>
      </c>
      <c r="G534" s="114" t="s">
        <v>24</v>
      </c>
      <c r="H534" s="114" t="s">
        <v>20</v>
      </c>
      <c r="I534" s="114" t="s">
        <v>25</v>
      </c>
      <c r="J534" s="114">
        <v>1</v>
      </c>
      <c r="K534" s="82" t="s">
        <v>22</v>
      </c>
      <c r="L534" s="119">
        <v>3</v>
      </c>
      <c r="M534" s="120">
        <v>359</v>
      </c>
      <c r="N534" s="85">
        <v>228</v>
      </c>
    </row>
    <row r="535" spans="1:14" ht="14.25" customHeight="1" x14ac:dyDescent="0.25">
      <c r="A535" s="111">
        <v>45757</v>
      </c>
      <c r="B535" s="112">
        <v>6.25E-2</v>
      </c>
      <c r="C535" s="78" t="str">
        <f>"Q" &amp; CHOOSE(MONTH(Sales!$A535), "1", "1", "1", "2", "2", "2", "3", "3", "3", "4", "4", "4") &amp; "_" &amp; YEAR(Sales!$A535)</f>
        <v>Q2_2025</v>
      </c>
      <c r="D535" s="113" t="s">
        <v>68</v>
      </c>
      <c r="E535" s="118" t="s">
        <v>14</v>
      </c>
      <c r="F535" s="82" t="s">
        <v>15</v>
      </c>
      <c r="G535" s="114" t="s">
        <v>102</v>
      </c>
      <c r="H535" s="114" t="s">
        <v>17</v>
      </c>
      <c r="I535" s="114" t="s">
        <v>240</v>
      </c>
      <c r="J535" s="114">
        <v>1</v>
      </c>
      <c r="K535" s="82" t="s">
        <v>22</v>
      </c>
      <c r="L535" s="119">
        <v>1</v>
      </c>
      <c r="M535" s="120">
        <v>495</v>
      </c>
      <c r="N535" s="121">
        <v>305</v>
      </c>
    </row>
    <row r="536" spans="1:14" ht="14.25" customHeight="1" x14ac:dyDescent="0.25">
      <c r="A536" s="111">
        <v>45757</v>
      </c>
      <c r="B536" s="112">
        <v>0.20347222222222222</v>
      </c>
      <c r="C536" s="78" t="str">
        <f>"Q" &amp; CHOOSE(MONTH(Sales!$A536), "1", "1", "1", "2", "2", "2", "3", "3", "3", "4", "4", "4") &amp; "_" &amp; YEAR(Sales!$A536)</f>
        <v>Q2_2025</v>
      </c>
      <c r="D536" s="113" t="s">
        <v>60</v>
      </c>
      <c r="E536" s="118" t="s">
        <v>14</v>
      </c>
      <c r="F536" s="82" t="s">
        <v>15</v>
      </c>
      <c r="G536" s="82" t="s">
        <v>87</v>
      </c>
      <c r="H536" s="82" t="s">
        <v>17</v>
      </c>
      <c r="I536" s="82" t="s">
        <v>88</v>
      </c>
      <c r="J536" s="82">
        <v>1</v>
      </c>
      <c r="K536" s="82" t="s">
        <v>22</v>
      </c>
      <c r="L536" s="83">
        <v>1</v>
      </c>
      <c r="M536" s="84">
        <v>949</v>
      </c>
      <c r="N536" s="85">
        <v>639</v>
      </c>
    </row>
    <row r="537" spans="1:14" ht="14.25" customHeight="1" x14ac:dyDescent="0.25">
      <c r="A537" s="111">
        <v>45757</v>
      </c>
      <c r="B537" s="112">
        <v>0.43958333333333333</v>
      </c>
      <c r="C537" s="78" t="str">
        <f>"Q" &amp; CHOOSE(MONTH(Sales!$A537), "1", "1", "1", "2", "2", "2", "3", "3", "3", "4", "4", "4") &amp; "_" &amp; YEAR(Sales!$A537)</f>
        <v>Q2_2025</v>
      </c>
      <c r="D537" s="113" t="s">
        <v>58</v>
      </c>
      <c r="E537" s="118" t="s">
        <v>14</v>
      </c>
      <c r="F537" s="82" t="s">
        <v>15</v>
      </c>
      <c r="G537" s="114" t="s">
        <v>24</v>
      </c>
      <c r="H537" s="114" t="s">
        <v>20</v>
      </c>
      <c r="I537" s="114" t="s">
        <v>25</v>
      </c>
      <c r="J537" s="114">
        <v>1</v>
      </c>
      <c r="K537" s="82" t="s">
        <v>22</v>
      </c>
      <c r="L537" s="119">
        <v>3</v>
      </c>
      <c r="M537" s="120">
        <v>359</v>
      </c>
      <c r="N537" s="85">
        <v>228</v>
      </c>
    </row>
    <row r="538" spans="1:14" ht="14.25" customHeight="1" x14ac:dyDescent="0.25">
      <c r="A538" s="111">
        <v>45757</v>
      </c>
      <c r="B538" s="112">
        <v>0.50208333333333333</v>
      </c>
      <c r="C538" s="78" t="str">
        <f>"Q" &amp; CHOOSE(MONTH(Sales!$A538), "1", "1", "1", "2", "2", "2", "3", "3", "3", "4", "4", "4") &amp; "_" &amp; YEAR(Sales!$A538)</f>
        <v>Q2_2025</v>
      </c>
      <c r="D538" s="113" t="s">
        <v>59</v>
      </c>
      <c r="E538" s="118" t="s">
        <v>14</v>
      </c>
      <c r="F538" s="82" t="s">
        <v>15</v>
      </c>
      <c r="G538" s="114" t="s">
        <v>103</v>
      </c>
      <c r="H538" s="114" t="s">
        <v>20</v>
      </c>
      <c r="I538" s="114" t="s">
        <v>235</v>
      </c>
      <c r="J538" s="114">
        <v>1</v>
      </c>
      <c r="K538" s="82" t="s">
        <v>22</v>
      </c>
      <c r="L538" s="119">
        <v>3</v>
      </c>
      <c r="M538" s="120">
        <v>1495</v>
      </c>
      <c r="N538" s="121">
        <v>1047</v>
      </c>
    </row>
    <row r="539" spans="1:14" ht="14.25" customHeight="1" x14ac:dyDescent="0.25">
      <c r="A539" s="111">
        <v>45757</v>
      </c>
      <c r="B539" s="112">
        <v>0.68611111111111112</v>
      </c>
      <c r="C539" s="78" t="str">
        <f>"Q" &amp; CHOOSE(MONTH(Sales!$A539), "1", "1", "1", "2", "2", "2", "3", "3", "3", "4", "4", "4") &amp; "_" &amp; YEAR(Sales!$A539)</f>
        <v>Q2_2025</v>
      </c>
      <c r="D539" s="113" t="s">
        <v>60</v>
      </c>
      <c r="E539" s="118" t="s">
        <v>14</v>
      </c>
      <c r="F539" s="82" t="s">
        <v>15</v>
      </c>
      <c r="G539" s="114" t="s">
        <v>16</v>
      </c>
      <c r="H539" s="114" t="s">
        <v>17</v>
      </c>
      <c r="I539" s="114" t="s">
        <v>34</v>
      </c>
      <c r="J539" s="114">
        <v>1</v>
      </c>
      <c r="K539" s="82" t="s">
        <v>22</v>
      </c>
      <c r="L539" s="119">
        <v>1</v>
      </c>
      <c r="M539" s="120">
        <v>299</v>
      </c>
      <c r="N539" s="121">
        <v>176</v>
      </c>
    </row>
    <row r="540" spans="1:14" ht="14.25" customHeight="1" x14ac:dyDescent="0.25">
      <c r="A540" s="111">
        <v>45757</v>
      </c>
      <c r="B540" s="112">
        <v>0.80694444444444446</v>
      </c>
      <c r="C540" s="78" t="str">
        <f>"Q" &amp; CHOOSE(MONTH(Sales!$A540), "1", "1", "1", "2", "2", "2", "3", "3", "3", "4", "4", "4") &amp; "_" &amp; YEAR(Sales!$A540)</f>
        <v>Q2_2025</v>
      </c>
      <c r="D540" s="113" t="s">
        <v>91</v>
      </c>
      <c r="E540" s="118" t="s">
        <v>14</v>
      </c>
      <c r="F540" s="82" t="s">
        <v>15</v>
      </c>
      <c r="G540" s="82" t="s">
        <v>117</v>
      </c>
      <c r="H540" s="82" t="s">
        <v>17</v>
      </c>
      <c r="I540" s="88" t="s">
        <v>239</v>
      </c>
      <c r="J540" s="88">
        <v>1</v>
      </c>
      <c r="K540" s="82" t="s">
        <v>22</v>
      </c>
      <c r="L540" s="88">
        <v>1</v>
      </c>
      <c r="M540" s="97">
        <v>219</v>
      </c>
      <c r="N540" s="98">
        <v>109</v>
      </c>
    </row>
    <row r="541" spans="1:14" ht="14.25" customHeight="1" x14ac:dyDescent="0.25">
      <c r="A541" s="111">
        <v>45758</v>
      </c>
      <c r="B541" s="112">
        <v>0.37361111111111112</v>
      </c>
      <c r="C541" s="78" t="str">
        <f>"Q" &amp; CHOOSE(MONTH(Sales!$A541), "1", "1", "1", "2", "2", "2", "3", "3", "3", "4", "4", "4") &amp; "_" &amp; YEAR(Sales!$A541)</f>
        <v>Q2_2025</v>
      </c>
      <c r="D541" s="113" t="s">
        <v>66</v>
      </c>
      <c r="E541" s="118" t="s">
        <v>14</v>
      </c>
      <c r="F541" s="82" t="s">
        <v>15</v>
      </c>
      <c r="G541" s="114" t="s">
        <v>16</v>
      </c>
      <c r="H541" s="114" t="s">
        <v>20</v>
      </c>
      <c r="I541" s="115" t="s">
        <v>21</v>
      </c>
      <c r="J541" s="115">
        <v>1</v>
      </c>
      <c r="K541" s="82" t="s">
        <v>22</v>
      </c>
      <c r="L541" s="115">
        <v>2</v>
      </c>
      <c r="M541" s="116">
        <v>569</v>
      </c>
      <c r="N541" s="117">
        <v>373</v>
      </c>
    </row>
    <row r="542" spans="1:14" ht="14.25" customHeight="1" x14ac:dyDescent="0.25">
      <c r="A542" s="111">
        <v>45758</v>
      </c>
      <c r="B542" s="112">
        <v>0.41736111111111113</v>
      </c>
      <c r="C542" s="78" t="str">
        <f>"Q" &amp; CHOOSE(MONTH(Sales!$A542), "1", "1", "1", "2", "2", "2", "3", "3", "3", "4", "4", "4") &amp; "_" &amp; YEAR(Sales!$A542)</f>
        <v>Q2_2025</v>
      </c>
      <c r="D542" s="113" t="s">
        <v>60</v>
      </c>
      <c r="E542" s="118" t="s">
        <v>14</v>
      </c>
      <c r="F542" s="82" t="s">
        <v>15</v>
      </c>
      <c r="G542" s="114" t="s">
        <v>93</v>
      </c>
      <c r="H542" s="115" t="s">
        <v>17</v>
      </c>
      <c r="I542" s="115" t="s">
        <v>94</v>
      </c>
      <c r="J542" s="115">
        <v>1</v>
      </c>
      <c r="K542" s="82" t="s">
        <v>22</v>
      </c>
      <c r="L542" s="115">
        <v>1</v>
      </c>
      <c r="M542" s="116">
        <v>254</v>
      </c>
      <c r="N542" s="117">
        <v>104</v>
      </c>
    </row>
    <row r="543" spans="1:14" ht="14.25" customHeight="1" x14ac:dyDescent="0.25">
      <c r="A543" s="111">
        <v>45757</v>
      </c>
      <c r="B543" s="112">
        <v>0.55208333333333337</v>
      </c>
      <c r="C543" s="78" t="str">
        <f>"Q" &amp; CHOOSE(MONTH(Sales!$A543), "1", "1", "1", "2", "2", "2", "3", "3", "3", "4", "4", "4") &amp; "_" &amp; YEAR(Sales!$A543)</f>
        <v>Q2_2025</v>
      </c>
      <c r="D543" s="113" t="s">
        <v>66</v>
      </c>
      <c r="E543" s="118" t="s">
        <v>14</v>
      </c>
      <c r="F543" s="82" t="s">
        <v>15</v>
      </c>
      <c r="G543" s="114" t="s">
        <v>16</v>
      </c>
      <c r="H543" s="114" t="s">
        <v>20</v>
      </c>
      <c r="I543" s="115" t="s">
        <v>21</v>
      </c>
      <c r="J543" s="115">
        <v>1</v>
      </c>
      <c r="K543" s="82" t="s">
        <v>22</v>
      </c>
      <c r="L543" s="115">
        <v>2</v>
      </c>
      <c r="M543" s="116">
        <v>569</v>
      </c>
      <c r="N543" s="117">
        <v>373</v>
      </c>
    </row>
    <row r="544" spans="1:14" ht="14.25" customHeight="1" x14ac:dyDescent="0.25">
      <c r="A544" s="111">
        <v>45757</v>
      </c>
      <c r="B544" s="112">
        <v>0.56111111111111112</v>
      </c>
      <c r="C544" s="78" t="str">
        <f>"Q" &amp; CHOOSE(MONTH(Sales!$A544), "1", "1", "1", "2", "2", "2", "3", "3", "3", "4", "4", "4") &amp; "_" &amp; YEAR(Sales!$A544)</f>
        <v>Q2_2025</v>
      </c>
      <c r="D544" s="113" t="s">
        <v>68</v>
      </c>
      <c r="E544" s="118" t="s">
        <v>14</v>
      </c>
      <c r="F544" s="82" t="s">
        <v>15</v>
      </c>
      <c r="G544" s="82" t="s">
        <v>87</v>
      </c>
      <c r="H544" s="82" t="s">
        <v>17</v>
      </c>
      <c r="I544" s="82" t="s">
        <v>88</v>
      </c>
      <c r="J544" s="82">
        <v>1</v>
      </c>
      <c r="K544" s="82" t="s">
        <v>22</v>
      </c>
      <c r="L544" s="83">
        <v>1</v>
      </c>
      <c r="M544" s="84">
        <v>949</v>
      </c>
      <c r="N544" s="85">
        <v>639</v>
      </c>
    </row>
    <row r="545" spans="1:14" ht="14.25" customHeight="1" x14ac:dyDescent="0.25">
      <c r="A545" s="111">
        <v>45757</v>
      </c>
      <c r="B545" s="112">
        <v>0.95347222222222228</v>
      </c>
      <c r="C545" s="78" t="str">
        <f>"Q" &amp; CHOOSE(MONTH(Sales!$A545), "1", "1", "1", "2", "2", "2", "3", "3", "3", "4", "4", "4") &amp; "_" &amp; YEAR(Sales!$A545)</f>
        <v>Q2_2025</v>
      </c>
      <c r="D545" s="113" t="s">
        <v>60</v>
      </c>
      <c r="E545" s="118" t="s">
        <v>14</v>
      </c>
      <c r="F545" s="82" t="s">
        <v>15</v>
      </c>
      <c r="G545" s="114" t="s">
        <v>93</v>
      </c>
      <c r="H545" s="115" t="s">
        <v>17</v>
      </c>
      <c r="I545" s="115" t="s">
        <v>94</v>
      </c>
      <c r="J545" s="115">
        <v>1</v>
      </c>
      <c r="K545" s="82" t="s">
        <v>22</v>
      </c>
      <c r="L545" s="115">
        <v>1</v>
      </c>
      <c r="M545" s="116">
        <v>254</v>
      </c>
      <c r="N545" s="117">
        <v>104</v>
      </c>
    </row>
    <row r="546" spans="1:14" ht="14.25" customHeight="1" x14ac:dyDescent="0.25">
      <c r="A546" s="111">
        <v>45758</v>
      </c>
      <c r="B546" s="112">
        <v>0.55833333333333335</v>
      </c>
      <c r="C546" s="78" t="str">
        <f>"Q" &amp; CHOOSE(MONTH(Sales!$A546), "1", "1", "1", "2", "2", "2", "3", "3", "3", "4", "4", "4") &amp; "_" &amp; YEAR(Sales!$A546)</f>
        <v>Q2_2025</v>
      </c>
      <c r="D546" s="113" t="s">
        <v>63</v>
      </c>
      <c r="E546" s="118" t="s">
        <v>14</v>
      </c>
      <c r="F546" s="82" t="s">
        <v>15</v>
      </c>
      <c r="G546" s="114" t="s">
        <v>24</v>
      </c>
      <c r="H546" s="114" t="s">
        <v>20</v>
      </c>
      <c r="I546" s="114" t="s">
        <v>25</v>
      </c>
      <c r="J546" s="114">
        <v>1</v>
      </c>
      <c r="K546" s="82" t="s">
        <v>19</v>
      </c>
      <c r="L546" s="119">
        <v>3</v>
      </c>
      <c r="M546" s="120">
        <v>359</v>
      </c>
      <c r="N546" s="85">
        <v>228</v>
      </c>
    </row>
    <row r="547" spans="1:14" ht="14.25" customHeight="1" x14ac:dyDescent="0.25">
      <c r="A547" s="111">
        <v>45758</v>
      </c>
      <c r="B547" s="112">
        <v>0.95416666666666672</v>
      </c>
      <c r="C547" s="78" t="str">
        <f>"Q" &amp; CHOOSE(MONTH(Sales!$A547), "1", "1", "1", "2", "2", "2", "3", "3", "3", "4", "4", "4") &amp; "_" &amp; YEAR(Sales!$A547)</f>
        <v>Q2_2025</v>
      </c>
      <c r="D547" s="113" t="s">
        <v>60</v>
      </c>
      <c r="E547" s="118" t="s">
        <v>14</v>
      </c>
      <c r="F547" s="82" t="s">
        <v>15</v>
      </c>
      <c r="G547" s="114" t="s">
        <v>102</v>
      </c>
      <c r="H547" s="114" t="s">
        <v>17</v>
      </c>
      <c r="I547" s="114" t="s">
        <v>240</v>
      </c>
      <c r="J547" s="114">
        <v>1</v>
      </c>
      <c r="K547" s="82" t="s">
        <v>19</v>
      </c>
      <c r="L547" s="119">
        <v>1</v>
      </c>
      <c r="M547" s="120">
        <v>495</v>
      </c>
      <c r="N547" s="121">
        <v>305</v>
      </c>
    </row>
    <row r="548" spans="1:14" ht="14.25" customHeight="1" x14ac:dyDescent="0.25">
      <c r="A548" s="111">
        <v>45759</v>
      </c>
      <c r="B548" s="112">
        <v>0.68611111111111112</v>
      </c>
      <c r="C548" s="78" t="str">
        <f>"Q" &amp; CHOOSE(MONTH(Sales!$A548), "1", "1", "1", "2", "2", "2", "3", "3", "3", "4", "4", "4") &amp; "_" &amp; YEAR(Sales!$A548)</f>
        <v>Q2_2025</v>
      </c>
      <c r="D548" s="113" t="s">
        <v>60</v>
      </c>
      <c r="E548" s="118" t="s">
        <v>14</v>
      </c>
      <c r="F548" s="82" t="s">
        <v>15</v>
      </c>
      <c r="G548" s="114" t="s">
        <v>24</v>
      </c>
      <c r="H548" s="114" t="s">
        <v>20</v>
      </c>
      <c r="I548" s="114" t="s">
        <v>25</v>
      </c>
      <c r="J548" s="114">
        <v>1</v>
      </c>
      <c r="K548" s="82" t="s">
        <v>22</v>
      </c>
      <c r="L548" s="119">
        <v>3</v>
      </c>
      <c r="M548" s="120">
        <v>349</v>
      </c>
      <c r="N548" s="85">
        <v>219</v>
      </c>
    </row>
    <row r="549" spans="1:14" ht="14.25" customHeight="1" x14ac:dyDescent="0.25">
      <c r="A549" s="111">
        <v>45759</v>
      </c>
      <c r="B549" s="112">
        <v>0.75069444444444444</v>
      </c>
      <c r="C549" s="78" t="str">
        <f>"Q" &amp; CHOOSE(MONTH(Sales!$A549), "1", "1", "1", "2", "2", "2", "3", "3", "3", "4", "4", "4") &amp; "_" &amp; YEAR(Sales!$A549)</f>
        <v>Q2_2025</v>
      </c>
      <c r="D549" s="113" t="s">
        <v>60</v>
      </c>
      <c r="E549" s="118" t="s">
        <v>14</v>
      </c>
      <c r="F549" s="82" t="s">
        <v>15</v>
      </c>
      <c r="G549" s="114" t="s">
        <v>87</v>
      </c>
      <c r="H549" s="114" t="s">
        <v>17</v>
      </c>
      <c r="I549" s="122" t="s">
        <v>88</v>
      </c>
      <c r="J549" s="114">
        <v>1</v>
      </c>
      <c r="K549" s="82" t="s">
        <v>22</v>
      </c>
      <c r="L549" s="119">
        <v>1</v>
      </c>
      <c r="M549" s="120">
        <v>935</v>
      </c>
      <c r="N549" s="121">
        <v>639</v>
      </c>
    </row>
    <row r="550" spans="1:14" ht="14.25" customHeight="1" x14ac:dyDescent="0.25">
      <c r="A550" s="95">
        <v>45760</v>
      </c>
      <c r="B550" s="96">
        <v>0.44722222222222224</v>
      </c>
      <c r="C550" s="78" t="str">
        <f>"Q" &amp; CHOOSE(MONTH(Sales!$A550), "1", "1", "1", "2", "2", "2", "3", "3", "3", "4", "4", "4") &amp; "_" &amp; YEAR(Sales!$A550)</f>
        <v>Q2_2025</v>
      </c>
      <c r="D550" s="99" t="s">
        <v>64</v>
      </c>
      <c r="E550" s="118" t="s">
        <v>14</v>
      </c>
      <c r="F550" s="82" t="s">
        <v>15</v>
      </c>
      <c r="G550" s="122" t="s">
        <v>24</v>
      </c>
      <c r="H550" s="122" t="s">
        <v>20</v>
      </c>
      <c r="I550" s="122" t="s">
        <v>25</v>
      </c>
      <c r="J550" s="122">
        <v>1</v>
      </c>
      <c r="K550" s="82" t="s">
        <v>22</v>
      </c>
      <c r="L550" s="125">
        <v>3</v>
      </c>
      <c r="M550" s="126">
        <v>344</v>
      </c>
      <c r="N550" s="127">
        <v>214</v>
      </c>
    </row>
    <row r="551" spans="1:14" ht="14.25" customHeight="1" x14ac:dyDescent="0.25">
      <c r="A551" s="95">
        <v>45760</v>
      </c>
      <c r="B551" s="96">
        <v>0.72499999999999998</v>
      </c>
      <c r="C551" s="78" t="str">
        <f>"Q" &amp; CHOOSE(MONTH(Sales!$A551), "1", "1", "1", "2", "2", "2", "3", "3", "3", "4", "4", "4") &amp; "_" &amp; YEAR(Sales!$A551)</f>
        <v>Q2_2025</v>
      </c>
      <c r="D551" s="99" t="s">
        <v>60</v>
      </c>
      <c r="E551" s="118" t="s">
        <v>14</v>
      </c>
      <c r="F551" s="82" t="s">
        <v>15</v>
      </c>
      <c r="G551" s="114" t="s">
        <v>102</v>
      </c>
      <c r="H551" s="114" t="s">
        <v>17</v>
      </c>
      <c r="I551" s="114" t="s">
        <v>240</v>
      </c>
      <c r="J551" s="114">
        <v>1</v>
      </c>
      <c r="K551" s="82" t="s">
        <v>22</v>
      </c>
      <c r="L551" s="119">
        <v>1</v>
      </c>
      <c r="M551" s="120">
        <v>495</v>
      </c>
      <c r="N551" s="121">
        <v>305</v>
      </c>
    </row>
    <row r="552" spans="1:14" ht="14.25" customHeight="1" x14ac:dyDescent="0.25">
      <c r="A552" s="95">
        <v>45760</v>
      </c>
      <c r="B552" s="96">
        <v>0.74027777777777781</v>
      </c>
      <c r="C552" s="78" t="str">
        <f>"Q" &amp; CHOOSE(MONTH(Sales!$A552), "1", "1", "1", "2", "2", "2", "3", "3", "3", "4", "4", "4") &amp; "_" &amp; YEAR(Sales!$A552)</f>
        <v>Q2_2025</v>
      </c>
      <c r="D552" s="99" t="s">
        <v>58</v>
      </c>
      <c r="E552" s="118" t="s">
        <v>14</v>
      </c>
      <c r="F552" s="82" t="s">
        <v>15</v>
      </c>
      <c r="G552" s="114" t="s">
        <v>87</v>
      </c>
      <c r="H552" s="114" t="s">
        <v>17</v>
      </c>
      <c r="I552" s="122" t="s">
        <v>88</v>
      </c>
      <c r="J552" s="114">
        <v>1</v>
      </c>
      <c r="K552" s="82" t="s">
        <v>22</v>
      </c>
      <c r="L552" s="119">
        <v>1</v>
      </c>
      <c r="M552" s="120">
        <v>935</v>
      </c>
      <c r="N552" s="121">
        <v>639</v>
      </c>
    </row>
    <row r="553" spans="1:14" ht="14.25" customHeight="1" x14ac:dyDescent="0.25">
      <c r="A553" s="95">
        <v>45760</v>
      </c>
      <c r="B553" s="96">
        <v>0.89930555555555558</v>
      </c>
      <c r="C553" s="78" t="str">
        <f>"Q" &amp; CHOOSE(MONTH(Sales!$A553), "1", "1", "1", "2", "2", "2", "3", "3", "3", "4", "4", "4") &amp; "_" &amp; YEAR(Sales!$A553)</f>
        <v>Q2_2025</v>
      </c>
      <c r="D553" s="99" t="s">
        <v>60</v>
      </c>
      <c r="E553" s="118" t="s">
        <v>14</v>
      </c>
      <c r="F553" s="82" t="s">
        <v>15</v>
      </c>
      <c r="G553" s="122" t="s">
        <v>103</v>
      </c>
      <c r="H553" s="122" t="s">
        <v>20</v>
      </c>
      <c r="I553" s="122" t="s">
        <v>235</v>
      </c>
      <c r="J553" s="122">
        <v>1</v>
      </c>
      <c r="K553" s="82" t="s">
        <v>22</v>
      </c>
      <c r="L553" s="125">
        <v>3</v>
      </c>
      <c r="M553" s="126">
        <v>1495</v>
      </c>
      <c r="N553" s="127">
        <v>1000</v>
      </c>
    </row>
    <row r="554" spans="1:14" ht="14.25" customHeight="1" x14ac:dyDescent="0.25">
      <c r="A554" s="95">
        <v>45760</v>
      </c>
      <c r="B554" s="96">
        <v>0.95625000000000004</v>
      </c>
      <c r="C554" s="78" t="str">
        <f>"Q" &amp; CHOOSE(MONTH(Sales!$A554), "1", "1", "1", "2", "2", "2", "3", "3", "3", "4", "4", "4") &amp; "_" &amp; YEAR(Sales!$A554)</f>
        <v>Q2_2025</v>
      </c>
      <c r="D554" s="99" t="s">
        <v>85</v>
      </c>
      <c r="E554" s="118" t="s">
        <v>14</v>
      </c>
      <c r="F554" s="82" t="s">
        <v>15</v>
      </c>
      <c r="G554" s="122" t="s">
        <v>16</v>
      </c>
      <c r="H554" s="122" t="s">
        <v>20</v>
      </c>
      <c r="I554" s="122" t="s">
        <v>49</v>
      </c>
      <c r="J554" s="122">
        <v>1</v>
      </c>
      <c r="K554" s="82" t="s">
        <v>22</v>
      </c>
      <c r="L554" s="125">
        <v>3</v>
      </c>
      <c r="M554" s="126">
        <v>699</v>
      </c>
      <c r="N554" s="127">
        <v>487</v>
      </c>
    </row>
    <row r="555" spans="1:14" ht="14.25" customHeight="1" x14ac:dyDescent="0.25">
      <c r="A555" s="95">
        <v>45760</v>
      </c>
      <c r="B555" s="96">
        <v>0.96805555555555556</v>
      </c>
      <c r="C555" s="78" t="str">
        <f>"Q" &amp; CHOOSE(MONTH(Sales!$A555), "1", "1", "1", "2", "2", "2", "3", "3", "3", "4", "4", "4") &amp; "_" &amp; YEAR(Sales!$A555)</f>
        <v>Q2_2025</v>
      </c>
      <c r="D555" s="99" t="s">
        <v>66</v>
      </c>
      <c r="E555" s="118" t="s">
        <v>14</v>
      </c>
      <c r="F555" s="82" t="s">
        <v>15</v>
      </c>
      <c r="G555" s="122" t="s">
        <v>16</v>
      </c>
      <c r="H555" s="122" t="s">
        <v>17</v>
      </c>
      <c r="I555" s="122" t="s">
        <v>244</v>
      </c>
      <c r="J555" s="122">
        <v>1</v>
      </c>
      <c r="K555" s="82" t="s">
        <v>22</v>
      </c>
      <c r="L555" s="125">
        <v>1</v>
      </c>
      <c r="M555" s="126">
        <v>299</v>
      </c>
      <c r="N555" s="127">
        <v>176</v>
      </c>
    </row>
    <row r="556" spans="1:14" ht="14.25" customHeight="1" x14ac:dyDescent="0.25">
      <c r="A556" s="95">
        <v>45760</v>
      </c>
      <c r="B556" s="96">
        <v>0.98541666666666672</v>
      </c>
      <c r="C556" s="78" t="str">
        <f>"Q" &amp; CHOOSE(MONTH(Sales!$A556), "1", "1", "1", "2", "2", "2", "3", "3", "3", "4", "4", "4") &amp; "_" &amp; YEAR(Sales!$A556)</f>
        <v>Q2_2025</v>
      </c>
      <c r="D556" s="99" t="s">
        <v>60</v>
      </c>
      <c r="E556" s="118" t="s">
        <v>14</v>
      </c>
      <c r="F556" s="82" t="s">
        <v>15</v>
      </c>
      <c r="G556" s="92" t="s">
        <v>93</v>
      </c>
      <c r="H556" s="88" t="s">
        <v>17</v>
      </c>
      <c r="I556" s="88" t="s">
        <v>94</v>
      </c>
      <c r="J556" s="88">
        <v>1</v>
      </c>
      <c r="K556" s="82" t="s">
        <v>22</v>
      </c>
      <c r="L556" s="88">
        <v>1</v>
      </c>
      <c r="M556" s="97">
        <v>244</v>
      </c>
      <c r="N556" s="98">
        <v>101</v>
      </c>
    </row>
    <row r="557" spans="1:14" ht="14.25" customHeight="1" x14ac:dyDescent="0.25">
      <c r="A557" s="95">
        <v>45761</v>
      </c>
      <c r="B557" s="96">
        <v>0.48472222222222222</v>
      </c>
      <c r="C557" s="78" t="str">
        <f>"Q" &amp; CHOOSE(MONTH(Sales!$A557), "1", "1", "1", "2", "2", "2", "3", "3", "3", "4", "4", "4") &amp; "_" &amp; YEAR(Sales!$A557)</f>
        <v>Q2_2025</v>
      </c>
      <c r="D557" s="99" t="s">
        <v>231</v>
      </c>
      <c r="E557" s="118" t="s">
        <v>14</v>
      </c>
      <c r="F557" s="82" t="s">
        <v>15</v>
      </c>
      <c r="G557" s="122" t="s">
        <v>16</v>
      </c>
      <c r="H557" s="122" t="s">
        <v>20</v>
      </c>
      <c r="I557" s="122" t="s">
        <v>49</v>
      </c>
      <c r="J557" s="122">
        <v>1</v>
      </c>
      <c r="K557" s="82" t="s">
        <v>22</v>
      </c>
      <c r="L557" s="125">
        <v>3</v>
      </c>
      <c r="M557" s="126">
        <v>699</v>
      </c>
      <c r="N557" s="127">
        <v>487</v>
      </c>
    </row>
    <row r="558" spans="1:14" ht="14.25" customHeight="1" x14ac:dyDescent="0.25">
      <c r="A558" s="95">
        <v>45761</v>
      </c>
      <c r="B558" s="96">
        <v>0.60624999999999996</v>
      </c>
      <c r="C558" s="78" t="str">
        <f>"Q" &amp; CHOOSE(MONTH(Sales!$A558), "1", "1", "1", "2", "2", "2", "3", "3", "3", "4", "4", "4") &amp; "_" &amp; YEAR(Sales!$A558)</f>
        <v>Q2_2025</v>
      </c>
      <c r="D558" s="99" t="s">
        <v>59</v>
      </c>
      <c r="E558" s="118" t="s">
        <v>14</v>
      </c>
      <c r="F558" s="82" t="s">
        <v>15</v>
      </c>
      <c r="G558" s="114" t="s">
        <v>87</v>
      </c>
      <c r="H558" s="114" t="s">
        <v>17</v>
      </c>
      <c r="I558" s="122" t="s">
        <v>88</v>
      </c>
      <c r="J558" s="114">
        <v>1</v>
      </c>
      <c r="K558" s="82" t="s">
        <v>22</v>
      </c>
      <c r="L558" s="119">
        <v>1</v>
      </c>
      <c r="M558" s="120">
        <v>935</v>
      </c>
      <c r="N558" s="121">
        <v>639</v>
      </c>
    </row>
    <row r="559" spans="1:14" ht="14.25" customHeight="1" x14ac:dyDescent="0.25">
      <c r="A559" s="95">
        <v>45761</v>
      </c>
      <c r="B559" s="96">
        <v>0.64097222222222228</v>
      </c>
      <c r="C559" s="78" t="str">
        <f>"Q" &amp; CHOOSE(MONTH(Sales!$A559), "1", "1", "1", "2", "2", "2", "3", "3", "3", "4", "4", "4") &amp; "_" &amp; YEAR(Sales!$A559)</f>
        <v>Q2_2025</v>
      </c>
      <c r="D559" s="99" t="s">
        <v>57</v>
      </c>
      <c r="E559" s="118" t="s">
        <v>14</v>
      </c>
      <c r="F559" s="82" t="s">
        <v>15</v>
      </c>
      <c r="G559" s="122" t="s">
        <v>24</v>
      </c>
      <c r="H559" s="122" t="s">
        <v>20</v>
      </c>
      <c r="I559" s="122" t="s">
        <v>25</v>
      </c>
      <c r="J559" s="122">
        <v>1</v>
      </c>
      <c r="K559" s="82" t="s">
        <v>22</v>
      </c>
      <c r="L559" s="125">
        <v>3</v>
      </c>
      <c r="M559" s="126">
        <v>344</v>
      </c>
      <c r="N559" s="127">
        <v>214</v>
      </c>
    </row>
    <row r="560" spans="1:14" ht="14.25" customHeight="1" x14ac:dyDescent="0.25">
      <c r="A560" s="95">
        <v>45761</v>
      </c>
      <c r="B560" s="96">
        <v>0.88749999999999996</v>
      </c>
      <c r="C560" s="78" t="str">
        <f>"Q" &amp; CHOOSE(MONTH(Sales!$A560), "1", "1", "1", "2", "2", "2", "3", "3", "3", "4", "4", "4") &amp; "_" &amp; YEAR(Sales!$A560)</f>
        <v>Q2_2025</v>
      </c>
      <c r="D560" s="99" t="s">
        <v>64</v>
      </c>
      <c r="E560" s="118" t="s">
        <v>14</v>
      </c>
      <c r="F560" s="82" t="s">
        <v>15</v>
      </c>
      <c r="G560" s="122" t="s">
        <v>16</v>
      </c>
      <c r="H560" s="122" t="s">
        <v>17</v>
      </c>
      <c r="I560" s="122" t="s">
        <v>27</v>
      </c>
      <c r="J560" s="122">
        <v>1</v>
      </c>
      <c r="K560" s="82" t="s">
        <v>22</v>
      </c>
      <c r="L560" s="125">
        <v>1</v>
      </c>
      <c r="M560" s="126">
        <v>299</v>
      </c>
      <c r="N560" s="127">
        <v>176</v>
      </c>
    </row>
    <row r="561" spans="1:14" ht="14.25" customHeight="1" x14ac:dyDescent="0.25">
      <c r="A561" s="95">
        <v>45761</v>
      </c>
      <c r="B561" s="96">
        <v>0.93263888888888891</v>
      </c>
      <c r="C561" s="78" t="str">
        <f>"Q" &amp; CHOOSE(MONTH(Sales!$A561), "1", "1", "1", "2", "2", "2", "3", "3", "3", "4", "4", "4") &amp; "_" &amp; YEAR(Sales!$A561)</f>
        <v>Q2_2025</v>
      </c>
      <c r="D561" s="99" t="s">
        <v>60</v>
      </c>
      <c r="E561" s="118" t="s">
        <v>14</v>
      </c>
      <c r="F561" s="82" t="s">
        <v>15</v>
      </c>
      <c r="G561" s="122" t="s">
        <v>93</v>
      </c>
      <c r="H561" s="122" t="s">
        <v>17</v>
      </c>
      <c r="I561" s="122" t="s">
        <v>94</v>
      </c>
      <c r="J561" s="122">
        <v>1</v>
      </c>
      <c r="K561" s="82" t="s">
        <v>22</v>
      </c>
      <c r="L561" s="125">
        <v>1</v>
      </c>
      <c r="M561" s="126">
        <v>249</v>
      </c>
      <c r="N561" s="127">
        <v>101</v>
      </c>
    </row>
    <row r="562" spans="1:14" ht="14.25" customHeight="1" x14ac:dyDescent="0.25">
      <c r="A562" s="95">
        <v>45761</v>
      </c>
      <c r="B562" s="96">
        <v>0.3611111111111111</v>
      </c>
      <c r="C562" s="78" t="str">
        <f>"Q" &amp; CHOOSE(MONTH(Sales!$A562), "1", "1", "1", "2", "2", "2", "3", "3", "3", "4", "4", "4") &amp; "_" &amp; YEAR(Sales!$A562)</f>
        <v>Q2_2025</v>
      </c>
      <c r="D562" s="99" t="s">
        <v>60</v>
      </c>
      <c r="E562" s="118" t="s">
        <v>14</v>
      </c>
      <c r="F562" s="82" t="s">
        <v>15</v>
      </c>
      <c r="G562" s="122" t="s">
        <v>93</v>
      </c>
      <c r="H562" s="122" t="s">
        <v>17</v>
      </c>
      <c r="I562" s="122" t="s">
        <v>94</v>
      </c>
      <c r="J562" s="122">
        <v>1</v>
      </c>
      <c r="K562" s="82" t="s">
        <v>22</v>
      </c>
      <c r="L562" s="125">
        <v>1</v>
      </c>
      <c r="M562" s="126">
        <v>249</v>
      </c>
      <c r="N562" s="127">
        <v>101</v>
      </c>
    </row>
    <row r="563" spans="1:14" ht="14.25" customHeight="1" x14ac:dyDescent="0.25">
      <c r="A563" s="95">
        <v>45762</v>
      </c>
      <c r="B563" s="96">
        <v>0.37708333333333333</v>
      </c>
      <c r="C563" s="78" t="str">
        <f>"Q" &amp; CHOOSE(MONTH(Sales!$A563), "1", "1", "1", "2", "2", "2", "3", "3", "3", "4", "4", "4") &amp; "_" &amp; YEAR(Sales!$A563)</f>
        <v>Q2_2025</v>
      </c>
      <c r="D563" s="99" t="s">
        <v>62</v>
      </c>
      <c r="E563" s="118" t="s">
        <v>14</v>
      </c>
      <c r="F563" s="82" t="s">
        <v>15</v>
      </c>
      <c r="G563" s="122" t="s">
        <v>117</v>
      </c>
      <c r="H563" s="122" t="s">
        <v>17</v>
      </c>
      <c r="I563" s="122" t="s">
        <v>245</v>
      </c>
      <c r="J563" s="122">
        <v>1</v>
      </c>
      <c r="K563" s="82" t="s">
        <v>22</v>
      </c>
      <c r="L563" s="125">
        <v>1</v>
      </c>
      <c r="M563" s="126">
        <v>229</v>
      </c>
      <c r="N563" s="127">
        <v>124</v>
      </c>
    </row>
    <row r="564" spans="1:14" ht="14.25" customHeight="1" x14ac:dyDescent="0.25">
      <c r="A564" s="95">
        <v>45762</v>
      </c>
      <c r="B564" s="96">
        <v>12</v>
      </c>
      <c r="C564" s="78" t="str">
        <f>"Q" &amp; CHOOSE(MONTH(Sales!$A564), "1", "1", "1", "2", "2", "2", "3", "3", "3", "4", "4", "4") &amp; "_" &amp; YEAR(Sales!$A564)</f>
        <v>Q2_2025</v>
      </c>
      <c r="D564" s="99" t="s">
        <v>13</v>
      </c>
      <c r="E564" s="124" t="s">
        <v>30</v>
      </c>
      <c r="F564" s="82" t="s">
        <v>15</v>
      </c>
      <c r="G564" s="122" t="s">
        <v>37</v>
      </c>
      <c r="H564" s="122" t="s">
        <v>17</v>
      </c>
      <c r="I564" s="122" t="s">
        <v>38</v>
      </c>
      <c r="J564" s="122">
        <v>1</v>
      </c>
      <c r="K564" s="82" t="s">
        <v>22</v>
      </c>
      <c r="L564" s="125">
        <v>1</v>
      </c>
      <c r="M564" s="126">
        <v>150</v>
      </c>
      <c r="N564" s="127">
        <v>150</v>
      </c>
    </row>
    <row r="565" spans="1:14" ht="14.25" customHeight="1" x14ac:dyDescent="0.25">
      <c r="A565" s="95">
        <v>45762</v>
      </c>
      <c r="B565" s="96">
        <v>12</v>
      </c>
      <c r="C565" s="78" t="str">
        <f>"Q" &amp; CHOOSE(MONTH(Sales!$A565), "1", "1", "1", "2", "2", "2", "3", "3", "3", "4", "4", "4") &amp; "_" &amp; YEAR(Sales!$A565)</f>
        <v>Q2_2025</v>
      </c>
      <c r="D565" s="99" t="s">
        <v>13</v>
      </c>
      <c r="E565" s="124" t="s">
        <v>30</v>
      </c>
      <c r="F565" s="82" t="s">
        <v>15</v>
      </c>
      <c r="G565" s="122" t="s">
        <v>37</v>
      </c>
      <c r="H565" s="122" t="s">
        <v>17</v>
      </c>
      <c r="I565" s="122" t="s">
        <v>38</v>
      </c>
      <c r="J565" s="122">
        <v>1</v>
      </c>
      <c r="K565" s="82" t="s">
        <v>22</v>
      </c>
      <c r="L565" s="125">
        <v>1</v>
      </c>
      <c r="M565" s="126">
        <v>150</v>
      </c>
      <c r="N565" s="127">
        <v>150</v>
      </c>
    </row>
    <row r="566" spans="1:14" ht="14.25" customHeight="1" x14ac:dyDescent="0.25">
      <c r="A566" s="95">
        <v>45762</v>
      </c>
      <c r="B566" s="96">
        <v>12</v>
      </c>
      <c r="C566" s="78" t="str">
        <f>"Q" &amp; CHOOSE(MONTH(Sales!$A566), "1", "1", "1", "2", "2", "2", "3", "3", "3", "4", "4", "4") &amp; "_" &amp; YEAR(Sales!$A566)</f>
        <v>Q2_2025</v>
      </c>
      <c r="D566" s="99" t="s">
        <v>13</v>
      </c>
      <c r="E566" s="124" t="s">
        <v>30</v>
      </c>
      <c r="F566" s="82" t="s">
        <v>15</v>
      </c>
      <c r="G566" s="122" t="s">
        <v>37</v>
      </c>
      <c r="H566" s="122" t="s">
        <v>17</v>
      </c>
      <c r="I566" s="122" t="s">
        <v>38</v>
      </c>
      <c r="J566" s="122">
        <v>1</v>
      </c>
      <c r="K566" s="82" t="s">
        <v>22</v>
      </c>
      <c r="L566" s="125">
        <v>1</v>
      </c>
      <c r="M566" s="126">
        <v>150</v>
      </c>
      <c r="N566" s="127">
        <v>150</v>
      </c>
    </row>
    <row r="567" spans="1:14" ht="14.25" customHeight="1" x14ac:dyDescent="0.25">
      <c r="A567" s="95">
        <v>45762</v>
      </c>
      <c r="B567" s="96">
        <v>12</v>
      </c>
      <c r="C567" s="78" t="str">
        <f>"Q" &amp; CHOOSE(MONTH(Sales!$A567), "1", "1", "1", "2", "2", "2", "3", "3", "3", "4", "4", "4") &amp; "_" &amp; YEAR(Sales!$A567)</f>
        <v>Q2_2025</v>
      </c>
      <c r="D567" s="99" t="s">
        <v>13</v>
      </c>
      <c r="E567" s="124" t="s">
        <v>30</v>
      </c>
      <c r="F567" s="82" t="s">
        <v>15</v>
      </c>
      <c r="G567" s="122" t="s">
        <v>37</v>
      </c>
      <c r="H567" s="122" t="s">
        <v>17</v>
      </c>
      <c r="I567" s="122" t="s">
        <v>38</v>
      </c>
      <c r="J567" s="122">
        <v>1</v>
      </c>
      <c r="K567" s="82" t="s">
        <v>19</v>
      </c>
      <c r="L567" s="125">
        <v>1</v>
      </c>
      <c r="M567" s="126">
        <v>150</v>
      </c>
      <c r="N567" s="127">
        <v>150</v>
      </c>
    </row>
    <row r="568" spans="1:14" ht="14.25" customHeight="1" x14ac:dyDescent="0.25">
      <c r="A568" s="95">
        <v>45762</v>
      </c>
      <c r="B568" s="141">
        <v>0.39652777777777776</v>
      </c>
      <c r="C568" s="78" t="str">
        <f>"Q" &amp; CHOOSE(MONTH(Sales!$A568), "1", "1", "1", "2", "2", "2", "3", "3", "3", "4", "4", "4") &amp; "_" &amp; YEAR(Sales!$A568)</f>
        <v>Q2_2025</v>
      </c>
      <c r="D568" s="99" t="s">
        <v>58</v>
      </c>
      <c r="E568" s="143" t="s">
        <v>14</v>
      </c>
      <c r="F568" s="82" t="s">
        <v>15</v>
      </c>
      <c r="G568" s="144" t="s">
        <v>93</v>
      </c>
      <c r="H568" s="122" t="s">
        <v>17</v>
      </c>
      <c r="I568" s="144" t="s">
        <v>94</v>
      </c>
      <c r="J568" s="144">
        <v>1</v>
      </c>
      <c r="K568" s="82" t="s">
        <v>19</v>
      </c>
      <c r="L568" s="145">
        <v>1</v>
      </c>
      <c r="M568" s="146">
        <v>249</v>
      </c>
      <c r="N568" s="147">
        <v>106</v>
      </c>
    </row>
    <row r="569" spans="1:14" ht="14.25" customHeight="1" x14ac:dyDescent="0.25">
      <c r="A569" s="140">
        <v>45762</v>
      </c>
      <c r="B569" s="141">
        <v>0.3888888888888889</v>
      </c>
      <c r="C569" s="78" t="str">
        <f>"Q" &amp; CHOOSE(MONTH(Sales!$A569), "1", "1", "1", "2", "2", "2", "3", "3", "3", "4", "4", "4") &amp; "_" &amp; YEAR(Sales!$A569)</f>
        <v>Q2_2025</v>
      </c>
      <c r="D569" s="142" t="s">
        <v>60</v>
      </c>
      <c r="E569" s="143" t="s">
        <v>14</v>
      </c>
      <c r="F569" s="82" t="s">
        <v>15</v>
      </c>
      <c r="G569" s="144" t="s">
        <v>16</v>
      </c>
      <c r="H569" s="144" t="s">
        <v>20</v>
      </c>
      <c r="I569" s="144" t="s">
        <v>31</v>
      </c>
      <c r="J569" s="144">
        <v>1</v>
      </c>
      <c r="K569" s="144" t="s">
        <v>22</v>
      </c>
      <c r="L569" s="145">
        <v>7</v>
      </c>
      <c r="M569" s="146">
        <v>1649</v>
      </c>
      <c r="N569" s="147">
        <v>1284</v>
      </c>
    </row>
    <row r="570" spans="1:14" ht="14.25" customHeight="1" x14ac:dyDescent="0.25">
      <c r="A570" s="140">
        <v>45762</v>
      </c>
      <c r="B570" s="141">
        <v>0.3888888888888889</v>
      </c>
      <c r="C570" s="78" t="str">
        <f>"Q" &amp; CHOOSE(MONTH(Sales!$A570), "1", "1", "1", "2", "2", "2", "3", "3", "3", "4", "4", "4") &amp; "_" &amp; YEAR(Sales!$A570)</f>
        <v>Q2_2025</v>
      </c>
      <c r="D570" s="142" t="s">
        <v>60</v>
      </c>
      <c r="E570" s="143" t="s">
        <v>14</v>
      </c>
      <c r="F570" s="82" t="s">
        <v>15</v>
      </c>
      <c r="G570" s="144" t="s">
        <v>24</v>
      </c>
      <c r="H570" s="144" t="s">
        <v>20</v>
      </c>
      <c r="I570" s="144" t="s">
        <v>52</v>
      </c>
      <c r="J570" s="144">
        <v>1</v>
      </c>
      <c r="K570" s="144" t="s">
        <v>22</v>
      </c>
      <c r="L570" s="145">
        <v>5</v>
      </c>
      <c r="M570" s="146">
        <v>0</v>
      </c>
      <c r="N570" s="147">
        <v>0</v>
      </c>
    </row>
    <row r="571" spans="1:14" ht="14.25" customHeight="1" x14ac:dyDescent="0.25">
      <c r="A571" s="140">
        <v>45762</v>
      </c>
      <c r="B571" s="141">
        <v>0.50694444444444442</v>
      </c>
      <c r="C571" s="78" t="str">
        <f>"Q" &amp; CHOOSE(MONTH(Sales!$A571), "1", "1", "1", "2", "2", "2", "3", "3", "3", "4", "4", "4") &amp; "_" &amp; YEAR(Sales!$A571)</f>
        <v>Q2_2025</v>
      </c>
      <c r="D571" s="142" t="s">
        <v>60</v>
      </c>
      <c r="E571" s="143" t="s">
        <v>14</v>
      </c>
      <c r="F571" s="82" t="s">
        <v>15</v>
      </c>
      <c r="G571" s="144" t="s">
        <v>16</v>
      </c>
      <c r="H571" s="122" t="s">
        <v>17</v>
      </c>
      <c r="I571" s="122" t="s">
        <v>23</v>
      </c>
      <c r="J571" s="144">
        <v>1</v>
      </c>
      <c r="K571" s="144" t="s">
        <v>22</v>
      </c>
      <c r="L571" s="145">
        <v>1</v>
      </c>
      <c r="M571" s="146">
        <v>299</v>
      </c>
      <c r="N571" s="147">
        <v>176</v>
      </c>
    </row>
    <row r="572" spans="1:14" ht="14.25" customHeight="1" x14ac:dyDescent="0.25">
      <c r="A572" s="95">
        <v>45762</v>
      </c>
      <c r="B572" s="96">
        <v>0.69652777777777775</v>
      </c>
      <c r="C572" s="78" t="str">
        <f>"Q" &amp; CHOOSE(MONTH(Sales!$A572), "1", "1", "1", "2", "2", "2", "3", "3", "3", "4", "4", "4") &amp; "_" &amp; YEAR(Sales!$A572)</f>
        <v>Q2_2025</v>
      </c>
      <c r="D572" s="99" t="s">
        <v>62</v>
      </c>
      <c r="E572" s="143" t="s">
        <v>14</v>
      </c>
      <c r="F572" s="82" t="s">
        <v>15</v>
      </c>
      <c r="G572" s="144" t="s">
        <v>16</v>
      </c>
      <c r="H572" s="122" t="s">
        <v>20</v>
      </c>
      <c r="I572" s="122" t="s">
        <v>49</v>
      </c>
      <c r="J572" s="122">
        <v>1</v>
      </c>
      <c r="K572" s="144" t="s">
        <v>22</v>
      </c>
      <c r="L572" s="125">
        <v>3</v>
      </c>
      <c r="M572" s="126">
        <v>694</v>
      </c>
      <c r="N572" s="127">
        <v>483</v>
      </c>
    </row>
    <row r="573" spans="1:14" ht="14.25" customHeight="1" x14ac:dyDescent="0.25">
      <c r="A573" s="95">
        <v>45762</v>
      </c>
      <c r="B573" s="96">
        <v>0.71527777777777779</v>
      </c>
      <c r="C573" s="78" t="str">
        <f>"Q" &amp; CHOOSE(MONTH(Sales!$A573), "1", "1", "1", "2", "2", "2", "3", "3", "3", "4", "4", "4") &amp; "_" &amp; YEAR(Sales!$A573)</f>
        <v>Q2_2025</v>
      </c>
      <c r="D573" s="99" t="s">
        <v>59</v>
      </c>
      <c r="E573" s="143" t="s">
        <v>14</v>
      </c>
      <c r="F573" s="82" t="s">
        <v>15</v>
      </c>
      <c r="G573" s="122" t="s">
        <v>93</v>
      </c>
      <c r="H573" s="122" t="s">
        <v>17</v>
      </c>
      <c r="I573" s="122" t="s">
        <v>94</v>
      </c>
      <c r="J573" s="122">
        <v>1</v>
      </c>
      <c r="K573" s="144" t="s">
        <v>22</v>
      </c>
      <c r="L573" s="125">
        <v>1</v>
      </c>
      <c r="M573" s="126">
        <v>269</v>
      </c>
      <c r="N573" s="127">
        <v>153</v>
      </c>
    </row>
    <row r="574" spans="1:14" ht="14.25" customHeight="1" x14ac:dyDescent="0.25">
      <c r="A574" s="95">
        <v>45762</v>
      </c>
      <c r="B574" s="96">
        <v>0.77500000000000002</v>
      </c>
      <c r="C574" s="78" t="str">
        <f>"Q" &amp; CHOOSE(MONTH(Sales!$A574), "1", "1", "1", "2", "2", "2", "3", "3", "3", "4", "4", "4") &amp; "_" &amp; YEAR(Sales!$A574)</f>
        <v>Q2_2025</v>
      </c>
      <c r="D574" s="99" t="s">
        <v>68</v>
      </c>
      <c r="E574" s="143" t="s">
        <v>14</v>
      </c>
      <c r="F574" s="82" t="s">
        <v>15</v>
      </c>
      <c r="G574" s="122" t="s">
        <v>32</v>
      </c>
      <c r="H574" s="122" t="s">
        <v>20</v>
      </c>
      <c r="I574" s="122" t="s">
        <v>98</v>
      </c>
      <c r="J574" s="122">
        <v>1</v>
      </c>
      <c r="K574" s="144" t="s">
        <v>22</v>
      </c>
      <c r="L574" s="125">
        <v>1</v>
      </c>
      <c r="M574" s="126">
        <v>319</v>
      </c>
      <c r="N574" s="127">
        <v>155</v>
      </c>
    </row>
    <row r="575" spans="1:14" ht="14.25" customHeight="1" x14ac:dyDescent="0.25">
      <c r="A575" s="95">
        <v>45762</v>
      </c>
      <c r="B575" s="96">
        <v>0.78680555555555554</v>
      </c>
      <c r="C575" s="78" t="str">
        <f>"Q" &amp; CHOOSE(MONTH(Sales!$A575), "1", "1", "1", "2", "2", "2", "3", "3", "3", "4", "4", "4") &amp; "_" &amp; YEAR(Sales!$A575)</f>
        <v>Q2_2025</v>
      </c>
      <c r="D575" s="99" t="s">
        <v>66</v>
      </c>
      <c r="E575" s="143" t="s">
        <v>14</v>
      </c>
      <c r="F575" s="82" t="s">
        <v>15</v>
      </c>
      <c r="G575" s="122" t="s">
        <v>24</v>
      </c>
      <c r="H575" s="122" t="s">
        <v>20</v>
      </c>
      <c r="I575" s="122" t="s">
        <v>25</v>
      </c>
      <c r="J575" s="122">
        <v>1</v>
      </c>
      <c r="K575" s="144" t="s">
        <v>22</v>
      </c>
      <c r="L575" s="125">
        <v>3</v>
      </c>
      <c r="M575" s="126">
        <v>349</v>
      </c>
      <c r="N575" s="127">
        <v>221</v>
      </c>
    </row>
    <row r="576" spans="1:14" ht="14.25" customHeight="1" x14ac:dyDescent="0.25">
      <c r="A576" s="95">
        <v>45762</v>
      </c>
      <c r="B576" s="96">
        <v>0.84236111111111112</v>
      </c>
      <c r="C576" s="78" t="str">
        <f>"Q" &amp; CHOOSE(MONTH(Sales!$A576), "1", "1", "1", "2", "2", "2", "3", "3", "3", "4", "4", "4") &amp; "_" &amp; YEAR(Sales!$A576)</f>
        <v>Q2_2025</v>
      </c>
      <c r="D576" s="99" t="s">
        <v>59</v>
      </c>
      <c r="E576" s="143" t="s">
        <v>14</v>
      </c>
      <c r="F576" s="82" t="s">
        <v>15</v>
      </c>
      <c r="G576" s="122" t="s">
        <v>16</v>
      </c>
      <c r="H576" s="122" t="s">
        <v>20</v>
      </c>
      <c r="I576" s="122" t="s">
        <v>49</v>
      </c>
      <c r="J576" s="122">
        <v>1</v>
      </c>
      <c r="K576" s="144" t="s">
        <v>22</v>
      </c>
      <c r="L576" s="125">
        <v>3</v>
      </c>
      <c r="M576" s="126">
        <v>699</v>
      </c>
      <c r="N576" s="127">
        <v>487</v>
      </c>
    </row>
    <row r="577" spans="1:14" ht="14.25" customHeight="1" x14ac:dyDescent="0.25">
      <c r="A577" s="95">
        <v>45762</v>
      </c>
      <c r="B577" s="96">
        <v>0.87986111111111109</v>
      </c>
      <c r="C577" s="78" t="str">
        <f>"Q" &amp; CHOOSE(MONTH(Sales!$A577), "1", "1", "1", "2", "2", "2", "3", "3", "3", "4", "4", "4") &amp; "_" &amp; YEAR(Sales!$A577)</f>
        <v>Q2_2025</v>
      </c>
      <c r="D577" s="99" t="s">
        <v>75</v>
      </c>
      <c r="E577" s="143" t="s">
        <v>14</v>
      </c>
      <c r="F577" s="82" t="s">
        <v>15</v>
      </c>
      <c r="G577" s="122" t="s">
        <v>16</v>
      </c>
      <c r="H577" s="122" t="s">
        <v>20</v>
      </c>
      <c r="I577" s="122" t="s">
        <v>49</v>
      </c>
      <c r="J577" s="122">
        <v>1</v>
      </c>
      <c r="K577" s="144" t="s">
        <v>22</v>
      </c>
      <c r="L577" s="125">
        <v>3</v>
      </c>
      <c r="M577" s="126">
        <v>699</v>
      </c>
      <c r="N577" s="127">
        <v>487</v>
      </c>
    </row>
    <row r="578" spans="1:14" ht="14.25" customHeight="1" x14ac:dyDescent="0.25">
      <c r="A578" s="95">
        <v>45762</v>
      </c>
      <c r="B578" s="96">
        <v>0.98124999999999996</v>
      </c>
      <c r="C578" s="78" t="str">
        <f>"Q" &amp; CHOOSE(MONTH(Sales!$A578), "1", "1", "1", "2", "2", "2", "3", "3", "3", "4", "4", "4") &amp; "_" &amp; YEAR(Sales!$A578)</f>
        <v>Q2_2025</v>
      </c>
      <c r="D578" s="99" t="s">
        <v>60</v>
      </c>
      <c r="E578" s="143" t="s">
        <v>14</v>
      </c>
      <c r="F578" s="82" t="s">
        <v>15</v>
      </c>
      <c r="G578" s="122" t="s">
        <v>102</v>
      </c>
      <c r="H578" s="122" t="s">
        <v>17</v>
      </c>
      <c r="I578" s="122" t="s">
        <v>240</v>
      </c>
      <c r="J578" s="122">
        <v>1</v>
      </c>
      <c r="K578" s="144" t="s">
        <v>22</v>
      </c>
      <c r="L578" s="125">
        <v>1</v>
      </c>
      <c r="M578" s="126">
        <v>494</v>
      </c>
      <c r="N578" s="127">
        <v>297</v>
      </c>
    </row>
    <row r="579" spans="1:14" ht="14.25" customHeight="1" x14ac:dyDescent="0.25">
      <c r="A579" s="95">
        <v>45763</v>
      </c>
      <c r="B579" s="96">
        <v>1.4583333333333334E-2</v>
      </c>
      <c r="C579" s="78" t="str">
        <f>"Q" &amp; CHOOSE(MONTH(Sales!$A579), "1", "1", "1", "2", "2", "2", "3", "3", "3", "4", "4", "4") &amp; "_" &amp; YEAR(Sales!$A579)</f>
        <v>Q2_2025</v>
      </c>
      <c r="D579" s="99" t="s">
        <v>69</v>
      </c>
      <c r="E579" s="143" t="s">
        <v>14</v>
      </c>
      <c r="F579" s="82" t="s">
        <v>15</v>
      </c>
      <c r="G579" s="122" t="s">
        <v>16</v>
      </c>
      <c r="H579" s="122" t="s">
        <v>20</v>
      </c>
      <c r="I579" s="122" t="s">
        <v>49</v>
      </c>
      <c r="J579" s="122">
        <v>1</v>
      </c>
      <c r="K579" s="144" t="s">
        <v>22</v>
      </c>
      <c r="L579" s="125">
        <v>3</v>
      </c>
      <c r="M579" s="126">
        <v>699</v>
      </c>
      <c r="N579" s="127">
        <v>487</v>
      </c>
    </row>
    <row r="580" spans="1:14" ht="14.25" customHeight="1" x14ac:dyDescent="0.25">
      <c r="A580" s="140">
        <v>45763</v>
      </c>
      <c r="B580" s="141">
        <v>3.4722222222222224E-2</v>
      </c>
      <c r="C580" s="78" t="str">
        <f>"Q" &amp; CHOOSE(MONTH(Sales!$A580), "1", "1", "1", "2", "2", "2", "3", "3", "3", "4", "4", "4") &amp; "_" &amp; YEAR(Sales!$A580)</f>
        <v>Q2_2025</v>
      </c>
      <c r="D580" s="142" t="s">
        <v>66</v>
      </c>
      <c r="E580" s="143" t="s">
        <v>14</v>
      </c>
      <c r="F580" s="82" t="s">
        <v>15</v>
      </c>
      <c r="G580" s="144" t="s">
        <v>117</v>
      </c>
      <c r="H580" s="144" t="s">
        <v>17</v>
      </c>
      <c r="I580" s="144" t="s">
        <v>245</v>
      </c>
      <c r="J580" s="144">
        <v>1</v>
      </c>
      <c r="K580" s="144" t="s">
        <v>22</v>
      </c>
      <c r="L580" s="145">
        <v>1</v>
      </c>
      <c r="M580" s="146">
        <v>229</v>
      </c>
      <c r="N580" s="147">
        <v>131</v>
      </c>
    </row>
    <row r="581" spans="1:14" ht="14.25" customHeight="1" x14ac:dyDescent="0.25">
      <c r="A581" s="140">
        <v>45763</v>
      </c>
      <c r="B581" s="141">
        <v>0.41944444444444445</v>
      </c>
      <c r="C581" s="78" t="str">
        <f>"Q" &amp; CHOOSE(MONTH(Sales!$A581), "1", "1", "1", "2", "2", "2", "3", "3", "3", "4", "4", "4") &amp; "_" &amp; YEAR(Sales!$A581)</f>
        <v>Q2_2025</v>
      </c>
      <c r="D581" s="142" t="s">
        <v>71</v>
      </c>
      <c r="E581" s="143" t="s">
        <v>14</v>
      </c>
      <c r="F581" s="82" t="s">
        <v>15</v>
      </c>
      <c r="G581" s="144" t="s">
        <v>24</v>
      </c>
      <c r="H581" s="144" t="s">
        <v>20</v>
      </c>
      <c r="I581" s="144" t="s">
        <v>25</v>
      </c>
      <c r="J581" s="144">
        <v>1</v>
      </c>
      <c r="K581" s="144" t="s">
        <v>22</v>
      </c>
      <c r="L581" s="145">
        <v>3</v>
      </c>
      <c r="M581" s="146">
        <v>349</v>
      </c>
      <c r="N581" s="147">
        <v>221</v>
      </c>
    </row>
    <row r="582" spans="1:14" ht="14.25" customHeight="1" x14ac:dyDescent="0.25">
      <c r="A582" s="140">
        <v>45763</v>
      </c>
      <c r="B582" s="141">
        <v>0.64652777777777781</v>
      </c>
      <c r="C582" s="78" t="str">
        <f>"Q" &amp; CHOOSE(MONTH(Sales!$A582), "1", "1", "1", "2", "2", "2", "3", "3", "3", "4", "4", "4") &amp; "_" &amp; YEAR(Sales!$A582)</f>
        <v>Q2_2025</v>
      </c>
      <c r="D582" s="142" t="s">
        <v>60</v>
      </c>
      <c r="E582" s="143" t="s">
        <v>14</v>
      </c>
      <c r="F582" s="82" t="s">
        <v>15</v>
      </c>
      <c r="G582" s="144" t="s">
        <v>102</v>
      </c>
      <c r="H582" s="144" t="s">
        <v>17</v>
      </c>
      <c r="I582" s="144" t="s">
        <v>240</v>
      </c>
      <c r="J582" s="144">
        <v>1</v>
      </c>
      <c r="K582" s="144" t="s">
        <v>22</v>
      </c>
      <c r="L582" s="145">
        <v>1</v>
      </c>
      <c r="M582" s="146">
        <v>499</v>
      </c>
      <c r="N582" s="147">
        <v>309</v>
      </c>
    </row>
    <row r="583" spans="1:14" ht="14.25" customHeight="1" x14ac:dyDescent="0.25">
      <c r="A583" s="140">
        <v>45764</v>
      </c>
      <c r="B583" s="141">
        <v>8.4722222222222227E-2</v>
      </c>
      <c r="C583" s="78" t="str">
        <f>"Q" &amp; CHOOSE(MONTH(Sales!$A583), "1", "1", "1", "2", "2", "2", "3", "3", "3", "4", "4", "4") &amp; "_" &amp; YEAR(Sales!$A583)</f>
        <v>Q2_2025</v>
      </c>
      <c r="D583" s="142" t="s">
        <v>58</v>
      </c>
      <c r="E583" s="143" t="s">
        <v>14</v>
      </c>
      <c r="F583" s="82" t="s">
        <v>15</v>
      </c>
      <c r="G583" s="114" t="s">
        <v>87</v>
      </c>
      <c r="H583" s="114" t="s">
        <v>17</v>
      </c>
      <c r="I583" s="122" t="s">
        <v>88</v>
      </c>
      <c r="J583" s="114">
        <v>1</v>
      </c>
      <c r="K583" s="82" t="s">
        <v>22</v>
      </c>
      <c r="L583" s="119">
        <v>1</v>
      </c>
      <c r="M583" s="120">
        <v>869</v>
      </c>
      <c r="N583" s="121">
        <v>570</v>
      </c>
    </row>
    <row r="584" spans="1:14" ht="14.25" customHeight="1" x14ac:dyDescent="0.25">
      <c r="A584" s="140">
        <v>45764</v>
      </c>
      <c r="B584" s="141">
        <v>0.49513888888888891</v>
      </c>
      <c r="C584" s="78" t="str">
        <f>"Q" &amp; CHOOSE(MONTH(Sales!$A584), "1", "1", "1", "2", "2", "2", "3", "3", "3", "4", "4", "4") &amp; "_" &amp; YEAR(Sales!$A584)</f>
        <v>Q2_2025</v>
      </c>
      <c r="D584" s="142" t="s">
        <v>58</v>
      </c>
      <c r="E584" s="143" t="s">
        <v>14</v>
      </c>
      <c r="F584" s="82" t="s">
        <v>15</v>
      </c>
      <c r="G584" s="144" t="s">
        <v>24</v>
      </c>
      <c r="H584" s="144" t="s">
        <v>20</v>
      </c>
      <c r="I584" s="144" t="s">
        <v>96</v>
      </c>
      <c r="J584" s="144">
        <v>1</v>
      </c>
      <c r="K584" s="82" t="s">
        <v>19</v>
      </c>
      <c r="L584" s="145">
        <v>2</v>
      </c>
      <c r="M584" s="146">
        <v>264</v>
      </c>
      <c r="N584" s="147">
        <v>144</v>
      </c>
    </row>
    <row r="585" spans="1:14" ht="14.25" customHeight="1" x14ac:dyDescent="0.25">
      <c r="A585" s="140">
        <v>45764</v>
      </c>
      <c r="B585" s="141">
        <v>0.56180555555555556</v>
      </c>
      <c r="C585" s="78" t="str">
        <f>"Q" &amp; CHOOSE(MONTH(Sales!$A585), "1", "1", "1", "2", "2", "2", "3", "3", "3", "4", "4", "4") &amp; "_" &amp; YEAR(Sales!$A585)</f>
        <v>Q2_2025</v>
      </c>
      <c r="D585" s="142" t="s">
        <v>58</v>
      </c>
      <c r="E585" s="143" t="s">
        <v>14</v>
      </c>
      <c r="F585" s="82" t="s">
        <v>15</v>
      </c>
      <c r="G585" s="144" t="s">
        <v>24</v>
      </c>
      <c r="H585" s="144" t="s">
        <v>20</v>
      </c>
      <c r="I585" s="144" t="s">
        <v>25</v>
      </c>
      <c r="J585" s="144">
        <v>1</v>
      </c>
      <c r="K585" s="144" t="s">
        <v>22</v>
      </c>
      <c r="L585" s="145">
        <v>3</v>
      </c>
      <c r="M585" s="146">
        <v>349</v>
      </c>
      <c r="N585" s="147">
        <v>221</v>
      </c>
    </row>
    <row r="586" spans="1:14" ht="14.25" customHeight="1" x14ac:dyDescent="0.25">
      <c r="A586" s="140">
        <v>45764</v>
      </c>
      <c r="B586" s="141">
        <v>0.63749999999999996</v>
      </c>
      <c r="C586" s="78" t="str">
        <f>"Q" &amp; CHOOSE(MONTH(Sales!$A586), "1", "1", "1", "2", "2", "2", "3", "3", "3", "4", "4", "4") &amp; "_" &amp; YEAR(Sales!$A586)</f>
        <v>Q2_2025</v>
      </c>
      <c r="D586" s="142" t="s">
        <v>58</v>
      </c>
      <c r="E586" s="143" t="s">
        <v>14</v>
      </c>
      <c r="F586" s="82" t="s">
        <v>15</v>
      </c>
      <c r="G586" s="144" t="s">
        <v>24</v>
      </c>
      <c r="H586" s="144" t="s">
        <v>20</v>
      </c>
      <c r="I586" s="144" t="s">
        <v>96</v>
      </c>
      <c r="J586" s="144">
        <v>1</v>
      </c>
      <c r="K586" s="82" t="s">
        <v>19</v>
      </c>
      <c r="L586" s="145">
        <v>2</v>
      </c>
      <c r="M586" s="146">
        <v>264</v>
      </c>
      <c r="N586" s="147">
        <v>144</v>
      </c>
    </row>
    <row r="587" spans="1:14" ht="14.25" customHeight="1" x14ac:dyDescent="0.25">
      <c r="A587" s="140">
        <v>45764</v>
      </c>
      <c r="B587" s="141">
        <v>0.69652777777777775</v>
      </c>
      <c r="C587" s="78" t="str">
        <f>"Q" &amp; CHOOSE(MONTH(Sales!$A587), "1", "1", "1", "2", "2", "2", "3", "3", "3", "4", "4", "4") &amp; "_" &amp; YEAR(Sales!$A587)</f>
        <v>Q2_2025</v>
      </c>
      <c r="D587" s="142" t="s">
        <v>59</v>
      </c>
      <c r="E587" s="143" t="s">
        <v>14</v>
      </c>
      <c r="F587" s="82" t="s">
        <v>15</v>
      </c>
      <c r="G587" s="144" t="s">
        <v>264</v>
      </c>
      <c r="H587" s="144" t="s">
        <v>20</v>
      </c>
      <c r="I587" s="144" t="s">
        <v>265</v>
      </c>
      <c r="J587" s="144">
        <v>1</v>
      </c>
      <c r="K587" s="82" t="s">
        <v>22</v>
      </c>
      <c r="L587" s="145">
        <v>2</v>
      </c>
      <c r="M587" s="146">
        <v>1499</v>
      </c>
      <c r="N587" s="147">
        <v>1047</v>
      </c>
    </row>
    <row r="588" spans="1:14" ht="14.25" customHeight="1" x14ac:dyDescent="0.25">
      <c r="A588" s="140">
        <v>45764</v>
      </c>
      <c r="B588" s="141">
        <v>0.9</v>
      </c>
      <c r="C588" s="78" t="str">
        <f>"Q" &amp; CHOOSE(MONTH(Sales!$A588), "1", "1", "1", "2", "2", "2", "3", "3", "3", "4", "4", "4") &amp; "_" &amp; YEAR(Sales!$A588)</f>
        <v>Q2_2025</v>
      </c>
      <c r="D588" s="142" t="s">
        <v>60</v>
      </c>
      <c r="E588" s="143" t="s">
        <v>14</v>
      </c>
      <c r="F588" s="82" t="s">
        <v>15</v>
      </c>
      <c r="G588" s="114" t="s">
        <v>87</v>
      </c>
      <c r="H588" s="114" t="s">
        <v>17</v>
      </c>
      <c r="I588" s="122" t="s">
        <v>88</v>
      </c>
      <c r="J588" s="114">
        <v>1</v>
      </c>
      <c r="K588" s="82" t="s">
        <v>22</v>
      </c>
      <c r="L588" s="119">
        <v>1</v>
      </c>
      <c r="M588" s="120">
        <v>869</v>
      </c>
      <c r="N588" s="121">
        <v>570</v>
      </c>
    </row>
    <row r="589" spans="1:14" ht="14.25" customHeight="1" x14ac:dyDescent="0.25">
      <c r="A589" s="140">
        <v>45764</v>
      </c>
      <c r="B589" s="141">
        <v>0.93680555555555556</v>
      </c>
      <c r="C589" s="78" t="str">
        <f>"Q" &amp; CHOOSE(MONTH(Sales!$A589), "1", "1", "1", "2", "2", "2", "3", "3", "3", "4", "4", "4") &amp; "_" &amp; YEAR(Sales!$A589)</f>
        <v>Q2_2025</v>
      </c>
      <c r="D589" s="142" t="s">
        <v>58</v>
      </c>
      <c r="E589" s="143" t="s">
        <v>14</v>
      </c>
      <c r="F589" s="82" t="s">
        <v>15</v>
      </c>
      <c r="G589" s="144" t="s">
        <v>93</v>
      </c>
      <c r="H589" s="122" t="s">
        <v>17</v>
      </c>
      <c r="I589" s="144" t="s">
        <v>94</v>
      </c>
      <c r="J589" s="144">
        <v>1</v>
      </c>
      <c r="K589" s="82" t="s">
        <v>19</v>
      </c>
      <c r="L589" s="145">
        <v>1</v>
      </c>
      <c r="M589" s="146">
        <v>249</v>
      </c>
      <c r="N589" s="147">
        <v>106</v>
      </c>
    </row>
    <row r="590" spans="1:14" ht="14.25" customHeight="1" x14ac:dyDescent="0.25">
      <c r="A590" s="140">
        <v>45764</v>
      </c>
      <c r="B590" s="141">
        <v>0.93958333333333333</v>
      </c>
      <c r="C590" s="78" t="str">
        <f>"Q" &amp; CHOOSE(MONTH(Sales!$A590), "1", "1", "1", "2", "2", "2", "3", "3", "3", "4", "4", "4") &amp; "_" &amp; YEAR(Sales!$A590)</f>
        <v>Q2_2025</v>
      </c>
      <c r="D590" s="142" t="s">
        <v>68</v>
      </c>
      <c r="E590" s="143" t="s">
        <v>14</v>
      </c>
      <c r="F590" s="82" t="s">
        <v>15</v>
      </c>
      <c r="G590" s="114" t="s">
        <v>87</v>
      </c>
      <c r="H590" s="114" t="s">
        <v>17</v>
      </c>
      <c r="I590" s="122" t="s">
        <v>88</v>
      </c>
      <c r="J590" s="114">
        <v>1</v>
      </c>
      <c r="K590" s="82" t="s">
        <v>22</v>
      </c>
      <c r="L590" s="119">
        <v>1</v>
      </c>
      <c r="M590" s="120">
        <v>869</v>
      </c>
      <c r="N590" s="121">
        <v>570</v>
      </c>
    </row>
    <row r="591" spans="1:14" ht="14.25" customHeight="1" x14ac:dyDescent="0.25">
      <c r="A591" s="140">
        <v>45765</v>
      </c>
      <c r="B591" s="141">
        <v>0.66319444444444442</v>
      </c>
      <c r="C591" s="78" t="str">
        <f>"Q" &amp; CHOOSE(MONTH(Sales!$A591), "1", "1", "1", "2", "2", "2", "3", "3", "3", "4", "4", "4") &amp; "_" &amp; YEAR(Sales!$A591)</f>
        <v>Q2_2025</v>
      </c>
      <c r="D591" s="142" t="s">
        <v>60</v>
      </c>
      <c r="E591" s="143" t="s">
        <v>14</v>
      </c>
      <c r="F591" s="82" t="s">
        <v>15</v>
      </c>
      <c r="G591" s="144" t="s">
        <v>102</v>
      </c>
      <c r="H591" s="144" t="s">
        <v>17</v>
      </c>
      <c r="I591" s="144" t="s">
        <v>240</v>
      </c>
      <c r="J591" s="144">
        <v>1</v>
      </c>
      <c r="K591" s="144" t="s">
        <v>22</v>
      </c>
      <c r="L591" s="145">
        <v>1</v>
      </c>
      <c r="M591" s="146">
        <v>499</v>
      </c>
      <c r="N591" s="147">
        <v>309</v>
      </c>
    </row>
    <row r="592" spans="1:14" ht="14.25" customHeight="1" x14ac:dyDescent="0.25">
      <c r="A592" s="140">
        <v>45765</v>
      </c>
      <c r="B592" s="141">
        <v>0.77152777777777781</v>
      </c>
      <c r="C592" s="78" t="str">
        <f>"Q" &amp; CHOOSE(MONTH(Sales!$A592), "1", "1", "1", "2", "2", "2", "3", "3", "3", "4", "4", "4") &amp; "_" &amp; YEAR(Sales!$A592)</f>
        <v>Q2_2025</v>
      </c>
      <c r="D592" s="142" t="s">
        <v>58</v>
      </c>
      <c r="E592" s="143" t="s">
        <v>14</v>
      </c>
      <c r="F592" s="82" t="s">
        <v>15</v>
      </c>
      <c r="G592" s="144" t="s">
        <v>93</v>
      </c>
      <c r="H592" s="144" t="s">
        <v>17</v>
      </c>
      <c r="I592" s="144" t="s">
        <v>94</v>
      </c>
      <c r="J592" s="144">
        <v>1</v>
      </c>
      <c r="K592" s="144" t="s">
        <v>22</v>
      </c>
      <c r="L592" s="145">
        <v>1</v>
      </c>
      <c r="M592" s="146">
        <v>268</v>
      </c>
      <c r="N592" s="147">
        <v>153</v>
      </c>
    </row>
    <row r="593" spans="1:14" ht="14.25" customHeight="1" x14ac:dyDescent="0.25">
      <c r="A593" s="140">
        <v>45765</v>
      </c>
      <c r="B593" s="141">
        <v>0.86111111111111116</v>
      </c>
      <c r="C593" s="78" t="str">
        <f>"Q" &amp; CHOOSE(MONTH(Sales!$A593), "1", "1", "1", "2", "2", "2", "3", "3", "3", "4", "4", "4") &amp; "_" &amp; YEAR(Sales!$A593)</f>
        <v>Q2_2025</v>
      </c>
      <c r="D593" s="142" t="s">
        <v>64</v>
      </c>
      <c r="E593" s="143" t="s">
        <v>14</v>
      </c>
      <c r="F593" s="82" t="s">
        <v>15</v>
      </c>
      <c r="G593" s="144" t="s">
        <v>24</v>
      </c>
      <c r="H593" s="144" t="s">
        <v>20</v>
      </c>
      <c r="I593" s="144" t="s">
        <v>25</v>
      </c>
      <c r="J593" s="144">
        <v>1</v>
      </c>
      <c r="K593" s="144" t="s">
        <v>22</v>
      </c>
      <c r="L593" s="145">
        <v>3</v>
      </c>
      <c r="M593" s="146">
        <v>349</v>
      </c>
      <c r="N593" s="147">
        <v>221</v>
      </c>
    </row>
    <row r="594" spans="1:14" ht="14.25" customHeight="1" x14ac:dyDescent="0.25">
      <c r="A594" s="140">
        <v>45765</v>
      </c>
      <c r="B594" s="141">
        <v>0.8881944444444444</v>
      </c>
      <c r="C594" s="78" t="str">
        <f>"Q" &amp; CHOOSE(MONTH(Sales!$A594), "1", "1", "1", "2", "2", "2", "3", "3", "3", "4", "4", "4") &amp; "_" &amp; YEAR(Sales!$A594)</f>
        <v>Q2_2025</v>
      </c>
      <c r="D594" s="142" t="s">
        <v>68</v>
      </c>
      <c r="E594" s="143" t="s">
        <v>14</v>
      </c>
      <c r="F594" s="82" t="s">
        <v>15</v>
      </c>
      <c r="G594" s="144" t="s">
        <v>102</v>
      </c>
      <c r="H594" s="144" t="s">
        <v>17</v>
      </c>
      <c r="I594" s="144" t="s">
        <v>240</v>
      </c>
      <c r="J594" s="144">
        <v>1</v>
      </c>
      <c r="K594" s="144" t="s">
        <v>22</v>
      </c>
      <c r="L594" s="145">
        <v>1</v>
      </c>
      <c r="M594" s="146">
        <v>499</v>
      </c>
      <c r="N594" s="147">
        <v>309</v>
      </c>
    </row>
    <row r="595" spans="1:14" ht="14.25" customHeight="1" x14ac:dyDescent="0.25">
      <c r="A595" s="140">
        <v>45765</v>
      </c>
      <c r="B595" s="141">
        <v>0.89097222222222228</v>
      </c>
      <c r="C595" s="78" t="str">
        <f>"Q" &amp; CHOOSE(MONTH(Sales!$A595), "1", "1", "1", "2", "2", "2", "3", "3", "3", "4", "4", "4") &amp; "_" &amp; YEAR(Sales!$A595)</f>
        <v>Q2_2025</v>
      </c>
      <c r="D595" s="142" t="s">
        <v>58</v>
      </c>
      <c r="E595" s="143" t="s">
        <v>14</v>
      </c>
      <c r="F595" s="82" t="s">
        <v>15</v>
      </c>
      <c r="G595" s="144" t="s">
        <v>102</v>
      </c>
      <c r="H595" s="144" t="s">
        <v>17</v>
      </c>
      <c r="I595" s="144" t="s">
        <v>240</v>
      </c>
      <c r="J595" s="144">
        <v>1</v>
      </c>
      <c r="K595" s="144" t="s">
        <v>22</v>
      </c>
      <c r="L595" s="145">
        <v>1</v>
      </c>
      <c r="M595" s="146">
        <v>499</v>
      </c>
      <c r="N595" s="147">
        <v>309</v>
      </c>
    </row>
    <row r="596" spans="1:14" ht="14.25" customHeight="1" x14ac:dyDescent="0.25">
      <c r="A596" s="140">
        <v>45765</v>
      </c>
      <c r="B596" s="141">
        <v>0.8930555555555556</v>
      </c>
      <c r="C596" s="78" t="str">
        <f>"Q" &amp; CHOOSE(MONTH(Sales!$A596), "1", "1", "1", "2", "2", "2", "3", "3", "3", "4", "4", "4") &amp; "_" &amp; YEAR(Sales!$A596)</f>
        <v>Q2_2025</v>
      </c>
      <c r="D596" s="142" t="s">
        <v>58</v>
      </c>
      <c r="E596" s="143" t="s">
        <v>14</v>
      </c>
      <c r="F596" s="82" t="s">
        <v>15</v>
      </c>
      <c r="G596" s="144" t="s">
        <v>24</v>
      </c>
      <c r="H596" s="144" t="s">
        <v>20</v>
      </c>
      <c r="I596" s="144" t="s">
        <v>25</v>
      </c>
      <c r="J596" s="144">
        <v>1</v>
      </c>
      <c r="K596" s="144" t="s">
        <v>22</v>
      </c>
      <c r="L596" s="145">
        <v>3</v>
      </c>
      <c r="M596" s="146">
        <v>349</v>
      </c>
      <c r="N596" s="147">
        <v>221</v>
      </c>
    </row>
    <row r="597" spans="1:14" ht="14.25" customHeight="1" x14ac:dyDescent="0.25">
      <c r="A597" s="140">
        <v>45766</v>
      </c>
      <c r="B597" s="141">
        <v>0.50902777777777775</v>
      </c>
      <c r="C597" s="78" t="str">
        <f>"Q" &amp; CHOOSE(MONTH(Sales!$A597), "1", "1", "1", "2", "2", "2", "3", "3", "3", "4", "4", "4") &amp; "_" &amp; YEAR(Sales!$A597)</f>
        <v>Q2_2025</v>
      </c>
      <c r="D597" s="142" t="s">
        <v>58</v>
      </c>
      <c r="E597" s="143" t="s">
        <v>14</v>
      </c>
      <c r="F597" s="82" t="s">
        <v>15</v>
      </c>
      <c r="G597" s="144" t="s">
        <v>24</v>
      </c>
      <c r="H597" s="144" t="s">
        <v>20</v>
      </c>
      <c r="I597" s="144" t="s">
        <v>96</v>
      </c>
      <c r="J597" s="144">
        <v>1</v>
      </c>
      <c r="K597" s="82" t="s">
        <v>19</v>
      </c>
      <c r="L597" s="145">
        <v>2</v>
      </c>
      <c r="M597" s="146">
        <v>264</v>
      </c>
      <c r="N597" s="147">
        <v>144</v>
      </c>
    </row>
    <row r="598" spans="1:14" ht="14.25" customHeight="1" x14ac:dyDescent="0.25">
      <c r="A598" s="140">
        <v>45766</v>
      </c>
      <c r="B598" s="141">
        <v>0.66736111111111107</v>
      </c>
      <c r="C598" s="78" t="str">
        <f>"Q" &amp; CHOOSE(MONTH(Sales!$A598), "1", "1", "1", "2", "2", "2", "3", "3", "3", "4", "4", "4") &amp; "_" &amp; YEAR(Sales!$A598)</f>
        <v>Q2_2025</v>
      </c>
      <c r="D598" s="142" t="s">
        <v>60</v>
      </c>
      <c r="E598" s="143" t="s">
        <v>14</v>
      </c>
      <c r="F598" s="82" t="s">
        <v>15</v>
      </c>
      <c r="G598" s="114" t="s">
        <v>87</v>
      </c>
      <c r="H598" s="114" t="s">
        <v>17</v>
      </c>
      <c r="I598" s="122" t="s">
        <v>88</v>
      </c>
      <c r="J598" s="114">
        <v>1</v>
      </c>
      <c r="K598" s="82" t="s">
        <v>22</v>
      </c>
      <c r="L598" s="119">
        <v>1</v>
      </c>
      <c r="M598" s="120">
        <v>869</v>
      </c>
      <c r="N598" s="121">
        <v>570</v>
      </c>
    </row>
    <row r="599" spans="1:14" ht="14.25" customHeight="1" x14ac:dyDescent="0.25">
      <c r="A599" s="140">
        <v>45766</v>
      </c>
      <c r="B599" s="141">
        <v>0.84305555555555556</v>
      </c>
      <c r="C599" s="78" t="str">
        <f>"Q" &amp; CHOOSE(MONTH(Sales!$A599), "1", "1", "1", "2", "2", "2", "3", "3", "3", "4", "4", "4") &amp; "_" &amp; YEAR(Sales!$A599)</f>
        <v>Q2_2025</v>
      </c>
      <c r="D599" s="142" t="s">
        <v>58</v>
      </c>
      <c r="E599" s="143" t="s">
        <v>14</v>
      </c>
      <c r="F599" s="82" t="s">
        <v>15</v>
      </c>
      <c r="G599" s="144" t="s">
        <v>16</v>
      </c>
      <c r="H599" s="144" t="s">
        <v>20</v>
      </c>
      <c r="I599" s="122" t="s">
        <v>49</v>
      </c>
      <c r="J599" s="122">
        <v>1</v>
      </c>
      <c r="K599" s="144" t="s">
        <v>22</v>
      </c>
      <c r="L599" s="125">
        <v>3</v>
      </c>
      <c r="M599" s="126">
        <v>699</v>
      </c>
      <c r="N599" s="127">
        <v>487</v>
      </c>
    </row>
    <row r="600" spans="1:14" ht="14.25" customHeight="1" x14ac:dyDescent="0.25">
      <c r="A600" s="140">
        <v>45767</v>
      </c>
      <c r="B600" s="141">
        <v>0.29791666666666666</v>
      </c>
      <c r="C600" s="78" t="str">
        <f>"Q" &amp; CHOOSE(MONTH(Sales!$A600), "1", "1", "1", "2", "2", "2", "3", "3", "3", "4", "4", "4") &amp; "_" &amp; YEAR(Sales!$A600)</f>
        <v>Q2_2025</v>
      </c>
      <c r="D600" s="142" t="s">
        <v>60</v>
      </c>
      <c r="E600" s="143" t="s">
        <v>14</v>
      </c>
      <c r="F600" s="82" t="s">
        <v>15</v>
      </c>
      <c r="G600" s="144" t="s">
        <v>102</v>
      </c>
      <c r="H600" s="144" t="s">
        <v>17</v>
      </c>
      <c r="I600" s="144" t="s">
        <v>240</v>
      </c>
      <c r="J600" s="144">
        <v>1</v>
      </c>
      <c r="K600" s="144" t="s">
        <v>22</v>
      </c>
      <c r="L600" s="145">
        <v>1</v>
      </c>
      <c r="M600" s="146">
        <v>499</v>
      </c>
      <c r="N600" s="147">
        <v>309</v>
      </c>
    </row>
    <row r="601" spans="1:14" ht="14.25" customHeight="1" x14ac:dyDescent="0.25">
      <c r="A601" s="140">
        <v>45767</v>
      </c>
      <c r="B601" s="141">
        <v>0.32222222222222224</v>
      </c>
      <c r="C601" s="78" t="str">
        <f>"Q" &amp; CHOOSE(MONTH(Sales!$A601), "1", "1", "1", "2", "2", "2", "3", "3", "3", "4", "4", "4") &amp; "_" &amp; YEAR(Sales!$A601)</f>
        <v>Q2_2025</v>
      </c>
      <c r="D601" s="142" t="s">
        <v>68</v>
      </c>
      <c r="E601" s="143" t="s">
        <v>14</v>
      </c>
      <c r="F601" s="82" t="s">
        <v>15</v>
      </c>
      <c r="G601" s="114" t="s">
        <v>87</v>
      </c>
      <c r="H601" s="114" t="s">
        <v>17</v>
      </c>
      <c r="I601" s="122" t="s">
        <v>88</v>
      </c>
      <c r="J601" s="114">
        <v>1</v>
      </c>
      <c r="K601" s="82" t="s">
        <v>22</v>
      </c>
      <c r="L601" s="119">
        <v>1</v>
      </c>
      <c r="M601" s="120">
        <v>869</v>
      </c>
      <c r="N601" s="121">
        <v>570</v>
      </c>
    </row>
    <row r="602" spans="1:14" ht="14.25" customHeight="1" x14ac:dyDescent="0.25">
      <c r="A602" s="140">
        <v>45767</v>
      </c>
      <c r="B602" s="141">
        <v>0.33680555555555558</v>
      </c>
      <c r="C602" s="78" t="str">
        <f>"Q" &amp; CHOOSE(MONTH(Sales!$A602), "1", "1", "1", "2", "2", "2", "3", "3", "3", "4", "4", "4") &amp; "_" &amp; YEAR(Sales!$A602)</f>
        <v>Q2_2025</v>
      </c>
      <c r="D602" s="142" t="s">
        <v>60</v>
      </c>
      <c r="E602" s="143" t="s">
        <v>14</v>
      </c>
      <c r="F602" s="82" t="s">
        <v>15</v>
      </c>
      <c r="G602" s="114" t="s">
        <v>87</v>
      </c>
      <c r="H602" s="114" t="s">
        <v>17</v>
      </c>
      <c r="I602" s="122" t="s">
        <v>88</v>
      </c>
      <c r="J602" s="114">
        <v>1</v>
      </c>
      <c r="K602" s="82" t="s">
        <v>22</v>
      </c>
      <c r="L602" s="119">
        <v>1</v>
      </c>
      <c r="M602" s="120">
        <v>869</v>
      </c>
      <c r="N602" s="121">
        <v>570</v>
      </c>
    </row>
    <row r="603" spans="1:14" ht="14.25" customHeight="1" x14ac:dyDescent="0.25">
      <c r="A603" s="140">
        <v>45767</v>
      </c>
      <c r="B603" s="141">
        <v>0.43819444444444444</v>
      </c>
      <c r="C603" s="78" t="str">
        <f>"Q" &amp; CHOOSE(MONTH(Sales!$A603), "1", "1", "1", "2", "2", "2", "3", "3", "3", "4", "4", "4") &amp; "_" &amp; YEAR(Sales!$A603)</f>
        <v>Q2_2025</v>
      </c>
      <c r="D603" s="142" t="s">
        <v>60</v>
      </c>
      <c r="E603" s="143" t="s">
        <v>14</v>
      </c>
      <c r="F603" s="82" t="s">
        <v>15</v>
      </c>
      <c r="G603" s="114" t="s">
        <v>87</v>
      </c>
      <c r="H603" s="114" t="s">
        <v>17</v>
      </c>
      <c r="I603" s="122" t="s">
        <v>88</v>
      </c>
      <c r="J603" s="114">
        <v>1</v>
      </c>
      <c r="K603" s="82" t="s">
        <v>22</v>
      </c>
      <c r="L603" s="119">
        <v>1</v>
      </c>
      <c r="M603" s="120">
        <v>869</v>
      </c>
      <c r="N603" s="121">
        <v>570</v>
      </c>
    </row>
    <row r="604" spans="1:14" ht="14.25" customHeight="1" x14ac:dyDescent="0.25">
      <c r="A604" s="140">
        <v>45767</v>
      </c>
      <c r="B604" s="141">
        <v>0.49305555555555558</v>
      </c>
      <c r="C604" s="78" t="str">
        <f>"Q" &amp; CHOOSE(MONTH(Sales!$A604), "1", "1", "1", "2", "2", "2", "3", "3", "3", "4", "4", "4") &amp; "_" &amp; YEAR(Sales!$A604)</f>
        <v>Q2_2025</v>
      </c>
      <c r="D604" s="142" t="s">
        <v>58</v>
      </c>
      <c r="E604" s="143" t="s">
        <v>14</v>
      </c>
      <c r="F604" s="82" t="s">
        <v>15</v>
      </c>
      <c r="G604" s="144" t="s">
        <v>16</v>
      </c>
      <c r="H604" s="144" t="s">
        <v>20</v>
      </c>
      <c r="I604" s="122" t="s">
        <v>44</v>
      </c>
      <c r="J604" s="114">
        <v>1</v>
      </c>
      <c r="K604" s="82" t="s">
        <v>22</v>
      </c>
      <c r="L604" s="145">
        <v>5</v>
      </c>
      <c r="M604" s="146">
        <v>999</v>
      </c>
      <c r="N604" s="147">
        <v>750</v>
      </c>
    </row>
    <row r="605" spans="1:14" ht="14.25" customHeight="1" x14ac:dyDescent="0.25">
      <c r="A605" s="95">
        <v>45767</v>
      </c>
      <c r="B605" s="141">
        <v>0.81874999999999998</v>
      </c>
      <c r="C605" s="78" t="str">
        <f>"Q" &amp; CHOOSE(MONTH(Sales!$A605), "1", "1", "1", "2", "2", "2", "3", "3", "3", "4", "4", "4") &amp; "_" &amp; YEAR(Sales!$A605)</f>
        <v>Q2_2025</v>
      </c>
      <c r="D605" s="142" t="s">
        <v>58</v>
      </c>
      <c r="E605" s="143" t="s">
        <v>14</v>
      </c>
      <c r="F605" s="82" t="s">
        <v>15</v>
      </c>
      <c r="G605" s="122" t="s">
        <v>24</v>
      </c>
      <c r="H605" s="144" t="s">
        <v>20</v>
      </c>
      <c r="I605" s="122" t="s">
        <v>52</v>
      </c>
      <c r="J605" s="122">
        <v>1</v>
      </c>
      <c r="K605" s="82" t="s">
        <v>22</v>
      </c>
      <c r="L605" s="125">
        <v>5</v>
      </c>
      <c r="M605" s="126">
        <v>498</v>
      </c>
      <c r="N605" s="127">
        <v>359</v>
      </c>
    </row>
    <row r="606" spans="1:14" ht="14.25" customHeight="1" x14ac:dyDescent="0.25">
      <c r="A606" s="95">
        <v>45768</v>
      </c>
      <c r="B606" s="96">
        <v>9.3055555555555558E-2</v>
      </c>
      <c r="C606" s="78" t="str">
        <f>"Q" &amp; CHOOSE(MONTH(Sales!$A606), "1", "1", "1", "2", "2", "2", "3", "3", "3", "4", "4", "4") &amp; "_" &amp; YEAR(Sales!$A606)</f>
        <v>Q2_2025</v>
      </c>
      <c r="D606" s="99" t="s">
        <v>58</v>
      </c>
      <c r="E606" s="143" t="s">
        <v>14</v>
      </c>
      <c r="F606" s="82" t="s">
        <v>15</v>
      </c>
      <c r="G606" s="122" t="s">
        <v>24</v>
      </c>
      <c r="H606" s="144" t="s">
        <v>20</v>
      </c>
      <c r="I606" s="122" t="s">
        <v>52</v>
      </c>
      <c r="J606" s="122">
        <v>1</v>
      </c>
      <c r="K606" s="82" t="s">
        <v>22</v>
      </c>
      <c r="L606" s="125">
        <v>5</v>
      </c>
      <c r="M606" s="126">
        <v>498</v>
      </c>
      <c r="N606" s="127">
        <v>359</v>
      </c>
    </row>
    <row r="607" spans="1:14" ht="14.25" customHeight="1" x14ac:dyDescent="0.25">
      <c r="A607" s="95">
        <v>45768</v>
      </c>
      <c r="B607" s="96">
        <v>0.35972222222222222</v>
      </c>
      <c r="C607" s="78" t="str">
        <f>"Q" &amp; CHOOSE(MONTH(Sales!$A607), "1", "1", "1", "2", "2", "2", "3", "3", "3", "4", "4", "4") &amp; "_" &amp; YEAR(Sales!$A607)</f>
        <v>Q2_2025</v>
      </c>
      <c r="D607" s="99" t="s">
        <v>60</v>
      </c>
      <c r="E607" s="143" t="s">
        <v>14</v>
      </c>
      <c r="F607" s="82" t="s">
        <v>15</v>
      </c>
      <c r="G607" s="114" t="s">
        <v>87</v>
      </c>
      <c r="H607" s="114" t="s">
        <v>17</v>
      </c>
      <c r="I607" s="122" t="s">
        <v>88</v>
      </c>
      <c r="J607" s="114">
        <v>1</v>
      </c>
      <c r="K607" s="82" t="s">
        <v>22</v>
      </c>
      <c r="L607" s="119">
        <v>1</v>
      </c>
      <c r="M607" s="120">
        <v>869</v>
      </c>
      <c r="N607" s="121">
        <v>570</v>
      </c>
    </row>
    <row r="608" spans="1:14" ht="14.25" customHeight="1" x14ac:dyDescent="0.25">
      <c r="A608" s="95">
        <v>45768</v>
      </c>
      <c r="B608" s="96">
        <v>0.40902777777777777</v>
      </c>
      <c r="C608" s="78" t="str">
        <f>"Q" &amp; CHOOSE(MONTH(Sales!$A608), "1", "1", "1", "2", "2", "2", "3", "3", "3", "4", "4", "4") &amp; "_" &amp; YEAR(Sales!$A608)</f>
        <v>Q2_2025</v>
      </c>
      <c r="D608" s="99" t="s">
        <v>60</v>
      </c>
      <c r="E608" s="143" t="s">
        <v>14</v>
      </c>
      <c r="F608" s="82" t="s">
        <v>15</v>
      </c>
      <c r="G608" s="114" t="s">
        <v>87</v>
      </c>
      <c r="H608" s="114" t="s">
        <v>17</v>
      </c>
      <c r="I608" s="122" t="s">
        <v>88</v>
      </c>
      <c r="J608" s="114">
        <v>1</v>
      </c>
      <c r="K608" s="82" t="s">
        <v>22</v>
      </c>
      <c r="L608" s="119">
        <v>1</v>
      </c>
      <c r="M608" s="120">
        <v>869</v>
      </c>
      <c r="N608" s="121">
        <v>570</v>
      </c>
    </row>
    <row r="609" spans="1:14" ht="14.25" customHeight="1" x14ac:dyDescent="0.25">
      <c r="A609" s="95">
        <v>45768</v>
      </c>
      <c r="B609" s="96">
        <v>0.42569444444444443</v>
      </c>
      <c r="C609" s="78" t="str">
        <f>"Q" &amp; CHOOSE(MONTH(Sales!$A609), "1", "1", "1", "2", "2", "2", "3", "3", "3", "4", "4", "4") &amp; "_" &amp; YEAR(Sales!$A609)</f>
        <v>Q2_2025</v>
      </c>
      <c r="D609" s="99" t="s">
        <v>58</v>
      </c>
      <c r="E609" s="143" t="s">
        <v>14</v>
      </c>
      <c r="F609" s="82" t="s">
        <v>15</v>
      </c>
      <c r="G609" s="144" t="s">
        <v>102</v>
      </c>
      <c r="H609" s="144" t="s">
        <v>17</v>
      </c>
      <c r="I609" s="144" t="s">
        <v>240</v>
      </c>
      <c r="J609" s="144">
        <v>1</v>
      </c>
      <c r="K609" s="144" t="s">
        <v>22</v>
      </c>
      <c r="L609" s="145">
        <v>1</v>
      </c>
      <c r="M609" s="146">
        <v>499</v>
      </c>
      <c r="N609" s="147">
        <v>309</v>
      </c>
    </row>
    <row r="610" spans="1:14" ht="14.25" customHeight="1" x14ac:dyDescent="0.25">
      <c r="A610" s="95">
        <v>45768</v>
      </c>
      <c r="B610" s="96">
        <v>0.53194444444444444</v>
      </c>
      <c r="C610" s="78" t="str">
        <f>"Q" &amp; CHOOSE(MONTH(Sales!$A610), "1", "1", "1", "2", "2", "2", "3", "3", "3", "4", "4", "4") &amp; "_" &amp; YEAR(Sales!$A610)</f>
        <v>Q2_2025</v>
      </c>
      <c r="D610" s="99" t="s">
        <v>60</v>
      </c>
      <c r="E610" s="143" t="s">
        <v>14</v>
      </c>
      <c r="F610" s="82" t="s">
        <v>15</v>
      </c>
      <c r="G610" s="144" t="s">
        <v>102</v>
      </c>
      <c r="H610" s="144" t="s">
        <v>17</v>
      </c>
      <c r="I610" s="144" t="s">
        <v>240</v>
      </c>
      <c r="J610" s="144">
        <v>1</v>
      </c>
      <c r="K610" s="144" t="s">
        <v>22</v>
      </c>
      <c r="L610" s="145">
        <v>1</v>
      </c>
      <c r="M610" s="146">
        <v>499</v>
      </c>
      <c r="N610" s="147">
        <v>309</v>
      </c>
    </row>
    <row r="611" spans="1:14" ht="14.25" customHeight="1" x14ac:dyDescent="0.25">
      <c r="A611" s="95">
        <v>45768</v>
      </c>
      <c r="B611" s="96">
        <v>0.54374999999999996</v>
      </c>
      <c r="C611" s="78" t="str">
        <f>"Q" &amp; CHOOSE(MONTH(Sales!$A611), "1", "1", "1", "2", "2", "2", "3", "3", "3", "4", "4", "4") &amp; "_" &amp; YEAR(Sales!$A611)</f>
        <v>Q2_2025</v>
      </c>
      <c r="D611" s="99" t="s">
        <v>62</v>
      </c>
      <c r="E611" s="143" t="s">
        <v>14</v>
      </c>
      <c r="F611" s="82" t="s">
        <v>15</v>
      </c>
      <c r="G611" s="144" t="s">
        <v>102</v>
      </c>
      <c r="H611" s="144" t="s">
        <v>17</v>
      </c>
      <c r="I611" s="144" t="s">
        <v>240</v>
      </c>
      <c r="J611" s="144">
        <v>1</v>
      </c>
      <c r="K611" s="144" t="s">
        <v>22</v>
      </c>
      <c r="L611" s="145">
        <v>1</v>
      </c>
      <c r="M611" s="146">
        <v>499</v>
      </c>
      <c r="N611" s="147">
        <v>309</v>
      </c>
    </row>
    <row r="612" spans="1:14" ht="14.25" customHeight="1" x14ac:dyDescent="0.25">
      <c r="A612" s="95">
        <v>45768</v>
      </c>
      <c r="B612" s="96">
        <v>0.55902777777777779</v>
      </c>
      <c r="C612" s="78" t="str">
        <f>"Q" &amp; CHOOSE(MONTH(Sales!$A612), "1", "1", "1", "2", "2", "2", "3", "3", "3", "4", "4", "4") &amp; "_" &amp; YEAR(Sales!$A612)</f>
        <v>Q2_2025</v>
      </c>
      <c r="D612" s="99" t="s">
        <v>58</v>
      </c>
      <c r="E612" s="143" t="s">
        <v>14</v>
      </c>
      <c r="F612" s="82" t="s">
        <v>15</v>
      </c>
      <c r="G612" s="122" t="s">
        <v>264</v>
      </c>
      <c r="H612" s="122" t="s">
        <v>20</v>
      </c>
      <c r="I612" s="122" t="s">
        <v>265</v>
      </c>
      <c r="J612" s="122">
        <v>1</v>
      </c>
      <c r="K612" s="144" t="s">
        <v>22</v>
      </c>
      <c r="L612" s="125">
        <v>2</v>
      </c>
      <c r="M612" s="126">
        <v>1459</v>
      </c>
      <c r="N612" s="127">
        <v>1000</v>
      </c>
    </row>
    <row r="613" spans="1:14" ht="14.25" customHeight="1" x14ac:dyDescent="0.25">
      <c r="A613" s="95">
        <v>45768</v>
      </c>
      <c r="B613" s="96">
        <v>0.6381944444444444</v>
      </c>
      <c r="C613" s="78" t="str">
        <f>"Q" &amp; CHOOSE(MONTH(Sales!$A613), "1", "1", "1", "2", "2", "2", "3", "3", "3", "4", "4", "4") &amp; "_" &amp; YEAR(Sales!$A613)</f>
        <v>Q2_2025</v>
      </c>
      <c r="D613" s="99" t="s">
        <v>60</v>
      </c>
      <c r="E613" s="143" t="s">
        <v>14</v>
      </c>
      <c r="F613" s="82" t="s">
        <v>15</v>
      </c>
      <c r="G613" s="122" t="s">
        <v>16</v>
      </c>
      <c r="H613" s="122" t="s">
        <v>20</v>
      </c>
      <c r="I613" s="122" t="s">
        <v>31</v>
      </c>
      <c r="J613" s="122">
        <v>1</v>
      </c>
      <c r="K613" s="144" t="s">
        <v>22</v>
      </c>
      <c r="L613" s="125">
        <v>7</v>
      </c>
      <c r="M613" s="126">
        <v>1499</v>
      </c>
      <c r="N613" s="127">
        <v>1153</v>
      </c>
    </row>
    <row r="614" spans="1:14" ht="14.25" customHeight="1" x14ac:dyDescent="0.25">
      <c r="A614" s="95">
        <v>45768</v>
      </c>
      <c r="B614" s="96">
        <v>0.6381944444444444</v>
      </c>
      <c r="C614" s="78" t="str">
        <f>"Q" &amp; CHOOSE(MONTH(Sales!$A614), "1", "1", "1", "2", "2", "2", "3", "3", "3", "4", "4", "4") &amp; "_" &amp; YEAR(Sales!$A614)</f>
        <v>Q2_2025</v>
      </c>
      <c r="D614" s="99" t="s">
        <v>60</v>
      </c>
      <c r="E614" s="143" t="s">
        <v>14</v>
      </c>
      <c r="F614" s="82" t="s">
        <v>15</v>
      </c>
      <c r="G614" s="122" t="s">
        <v>24</v>
      </c>
      <c r="H614" s="122" t="s">
        <v>20</v>
      </c>
      <c r="I614" s="122" t="s">
        <v>96</v>
      </c>
      <c r="J614" s="122">
        <v>1</v>
      </c>
      <c r="K614" s="144" t="s">
        <v>48</v>
      </c>
      <c r="L614" s="125">
        <v>2</v>
      </c>
      <c r="M614" s="126">
        <v>0</v>
      </c>
      <c r="N614" s="127">
        <v>0</v>
      </c>
    </row>
    <row r="615" spans="1:14" ht="14.25" customHeight="1" x14ac:dyDescent="0.25">
      <c r="A615" s="95">
        <v>45768</v>
      </c>
      <c r="B615" s="96">
        <v>0.6694444444444444</v>
      </c>
      <c r="C615" s="78" t="str">
        <f>"Q" &amp; CHOOSE(MONTH(Sales!$A615), "1", "1", "1", "2", "2", "2", "3", "3", "3", "4", "4", "4") &amp; "_" &amp; YEAR(Sales!$A615)</f>
        <v>Q2_2025</v>
      </c>
      <c r="D615" s="99" t="s">
        <v>58</v>
      </c>
      <c r="E615" s="143" t="s">
        <v>14</v>
      </c>
      <c r="F615" s="82" t="s">
        <v>15</v>
      </c>
      <c r="G615" s="122" t="s">
        <v>35</v>
      </c>
      <c r="H615" s="122" t="s">
        <v>20</v>
      </c>
      <c r="I615" s="122" t="s">
        <v>65</v>
      </c>
      <c r="J615" s="122">
        <v>1</v>
      </c>
      <c r="K615" s="122" t="s">
        <v>22</v>
      </c>
      <c r="L615" s="125">
        <v>3</v>
      </c>
      <c r="M615" s="126">
        <v>344</v>
      </c>
      <c r="N615" s="127">
        <v>216</v>
      </c>
    </row>
    <row r="616" spans="1:14" ht="14.25" customHeight="1" x14ac:dyDescent="0.25">
      <c r="A616" s="95">
        <v>45768</v>
      </c>
      <c r="B616" s="96">
        <v>0.70208333333333328</v>
      </c>
      <c r="C616" s="78" t="str">
        <f>"Q" &amp; CHOOSE(MONTH(Sales!$A616), "1", "1", "1", "2", "2", "2", "3", "3", "3", "4", "4", "4") &amp; "_" &amp; YEAR(Sales!$A616)</f>
        <v>Q2_2025</v>
      </c>
      <c r="D616" s="99" t="s">
        <v>75</v>
      </c>
      <c r="E616" s="143" t="s">
        <v>14</v>
      </c>
      <c r="F616" s="82" t="s">
        <v>15</v>
      </c>
      <c r="G616" s="144" t="s">
        <v>24</v>
      </c>
      <c r="H616" s="144" t="s">
        <v>20</v>
      </c>
      <c r="I616" s="144" t="s">
        <v>25</v>
      </c>
      <c r="J616" s="144">
        <v>1</v>
      </c>
      <c r="K616" s="144" t="s">
        <v>22</v>
      </c>
      <c r="L616" s="145">
        <v>3</v>
      </c>
      <c r="M616" s="146">
        <v>349</v>
      </c>
      <c r="N616" s="147">
        <v>221</v>
      </c>
    </row>
    <row r="617" spans="1:14" ht="14.25" customHeight="1" x14ac:dyDescent="0.25">
      <c r="A617" s="95">
        <v>45768</v>
      </c>
      <c r="B617" s="96">
        <v>0.78541666666666665</v>
      </c>
      <c r="C617" s="78" t="str">
        <f>"Q" &amp; CHOOSE(MONTH(Sales!$A617), "1", "1", "1", "2", "2", "2", "3", "3", "3", "4", "4", "4") &amp; "_" &amp; YEAR(Sales!$A617)</f>
        <v>Q2_2025</v>
      </c>
      <c r="D617" s="99" t="s">
        <v>60</v>
      </c>
      <c r="E617" s="143" t="s">
        <v>14</v>
      </c>
      <c r="F617" s="82" t="s">
        <v>15</v>
      </c>
      <c r="G617" s="144" t="s">
        <v>24</v>
      </c>
      <c r="H617" s="144" t="s">
        <v>20</v>
      </c>
      <c r="I617" s="144" t="s">
        <v>96</v>
      </c>
      <c r="J617" s="144">
        <v>1</v>
      </c>
      <c r="K617" s="82" t="s">
        <v>19</v>
      </c>
      <c r="L617" s="145">
        <v>2</v>
      </c>
      <c r="M617" s="146">
        <v>264</v>
      </c>
      <c r="N617" s="147">
        <v>144</v>
      </c>
    </row>
    <row r="618" spans="1:14" ht="14.25" customHeight="1" x14ac:dyDescent="0.25">
      <c r="A618" s="95">
        <v>45768</v>
      </c>
      <c r="B618" s="96">
        <v>0.80347222222222225</v>
      </c>
      <c r="C618" s="78" t="str">
        <f>"Q" &amp; CHOOSE(MONTH(Sales!$A618), "1", "1", "1", "2", "2", "2", "3", "3", "3", "4", "4", "4") &amp; "_" &amp; YEAR(Sales!$A618)</f>
        <v>Q2_2025</v>
      </c>
      <c r="D618" s="99" t="s">
        <v>68</v>
      </c>
      <c r="E618" s="143" t="s">
        <v>14</v>
      </c>
      <c r="F618" s="82" t="s">
        <v>15</v>
      </c>
      <c r="G618" s="144" t="s">
        <v>24</v>
      </c>
      <c r="H618" s="144" t="s">
        <v>20</v>
      </c>
      <c r="I618" s="144" t="s">
        <v>25</v>
      </c>
      <c r="J618" s="144">
        <v>1</v>
      </c>
      <c r="K618" s="144" t="s">
        <v>22</v>
      </c>
      <c r="L618" s="145">
        <v>3</v>
      </c>
      <c r="M618" s="146">
        <v>349</v>
      </c>
      <c r="N618" s="147">
        <v>221</v>
      </c>
    </row>
    <row r="619" spans="1:14" ht="14.25" customHeight="1" x14ac:dyDescent="0.25">
      <c r="A619" s="95">
        <v>45766</v>
      </c>
      <c r="B619" s="96">
        <v>0.80347222222222225</v>
      </c>
      <c r="C619" s="78" t="str">
        <f>"Q" &amp; CHOOSE(MONTH(Sales!$A619), "1", "1", "1", "2", "2", "2", "3", "3", "3", "4", "4", "4") &amp; "_" &amp; YEAR(Sales!$A619)</f>
        <v>Q2_2025</v>
      </c>
      <c r="D619" s="99" t="s">
        <v>13</v>
      </c>
      <c r="E619" s="124" t="s">
        <v>30</v>
      </c>
      <c r="F619" s="82" t="s">
        <v>15</v>
      </c>
      <c r="G619" s="114" t="s">
        <v>87</v>
      </c>
      <c r="H619" s="114" t="s">
        <v>17</v>
      </c>
      <c r="I619" s="122" t="s">
        <v>88</v>
      </c>
      <c r="J619" s="114">
        <v>1</v>
      </c>
      <c r="K619" s="82" t="s">
        <v>22</v>
      </c>
      <c r="L619" s="119">
        <v>1</v>
      </c>
      <c r="M619" s="120">
        <v>794</v>
      </c>
      <c r="N619" s="121">
        <v>672</v>
      </c>
    </row>
    <row r="620" spans="1:14" ht="14.25" customHeight="1" x14ac:dyDescent="0.25">
      <c r="A620" s="140">
        <v>45769</v>
      </c>
      <c r="B620" s="141">
        <v>12</v>
      </c>
      <c r="C620" s="78" t="str">
        <f>"Q" &amp; CHOOSE(MONTH(Sales!$A620), "1", "1", "1", "2", "2", "2", "3", "3", "3", "4", "4", "4") &amp; "_" &amp; YEAR(Sales!$A620)</f>
        <v>Q2_2025</v>
      </c>
      <c r="D620" s="99" t="s">
        <v>13</v>
      </c>
      <c r="E620" s="124" t="s">
        <v>30</v>
      </c>
      <c r="F620" s="82" t="s">
        <v>15</v>
      </c>
      <c r="G620" s="114" t="s">
        <v>87</v>
      </c>
      <c r="H620" s="114" t="s">
        <v>17</v>
      </c>
      <c r="I620" s="122" t="s">
        <v>88</v>
      </c>
      <c r="J620" s="114">
        <v>1</v>
      </c>
      <c r="K620" s="82" t="s">
        <v>22</v>
      </c>
      <c r="L620" s="119">
        <v>1</v>
      </c>
      <c r="M620" s="120">
        <v>879</v>
      </c>
      <c r="N620" s="121">
        <v>679</v>
      </c>
    </row>
    <row r="621" spans="1:14" ht="14.25" customHeight="1" x14ac:dyDescent="0.25">
      <c r="A621" s="140">
        <v>45770</v>
      </c>
      <c r="B621" s="141">
        <v>12</v>
      </c>
      <c r="C621" s="78" t="str">
        <f>"Q" &amp; CHOOSE(MONTH(Sales!$A621), "1", "1", "1", "2", "2", "2", "3", "3", "3", "4", "4", "4") &amp; "_" &amp; YEAR(Sales!$A621)</f>
        <v>Q2_2025</v>
      </c>
      <c r="D621" s="99" t="s">
        <v>13</v>
      </c>
      <c r="E621" s="124" t="s">
        <v>30</v>
      </c>
      <c r="F621" s="82" t="s">
        <v>15</v>
      </c>
      <c r="G621" s="114" t="s">
        <v>87</v>
      </c>
      <c r="H621" s="114" t="s">
        <v>17</v>
      </c>
      <c r="I621" s="122" t="s">
        <v>88</v>
      </c>
      <c r="J621" s="114">
        <v>1</v>
      </c>
      <c r="K621" s="82" t="s">
        <v>22</v>
      </c>
      <c r="L621" s="119">
        <v>1</v>
      </c>
      <c r="M621" s="120">
        <v>879</v>
      </c>
      <c r="N621" s="121">
        <v>679</v>
      </c>
    </row>
    <row r="622" spans="1:14" ht="14.25" customHeight="1" x14ac:dyDescent="0.25">
      <c r="A622" s="140">
        <v>45770</v>
      </c>
      <c r="B622" s="141">
        <v>12</v>
      </c>
      <c r="C622" s="78" t="str">
        <f>"Q" &amp; CHOOSE(MONTH(Sales!$A622), "1", "1", "1", "2", "2", "2", "3", "3", "3", "4", "4", "4") &amp; "_" &amp; YEAR(Sales!$A622)</f>
        <v>Q2_2025</v>
      </c>
      <c r="D622" s="99" t="s">
        <v>63</v>
      </c>
      <c r="E622" s="143" t="s">
        <v>14</v>
      </c>
      <c r="F622" s="82" t="s">
        <v>15</v>
      </c>
      <c r="G622" s="144" t="s">
        <v>24</v>
      </c>
      <c r="H622" s="144" t="s">
        <v>20</v>
      </c>
      <c r="I622" s="144" t="s">
        <v>25</v>
      </c>
      <c r="J622" s="144">
        <v>1</v>
      </c>
      <c r="K622" s="144" t="s">
        <v>22</v>
      </c>
      <c r="L622" s="145">
        <v>3</v>
      </c>
      <c r="M622" s="146">
        <v>349</v>
      </c>
      <c r="N622" s="147">
        <v>221</v>
      </c>
    </row>
    <row r="623" spans="1:14" ht="14.25" customHeight="1" x14ac:dyDescent="0.25">
      <c r="A623" s="140">
        <v>45769</v>
      </c>
      <c r="B623" s="141">
        <v>0.47847222222222224</v>
      </c>
      <c r="C623" s="78" t="str">
        <f>"Q" &amp; CHOOSE(MONTH(Sales!$A623), "1", "1", "1", "2", "2", "2", "3", "3", "3", "4", "4", "4") &amp; "_" &amp; YEAR(Sales!$A623)</f>
        <v>Q2_2025</v>
      </c>
      <c r="D623" s="142" t="s">
        <v>68</v>
      </c>
      <c r="E623" s="143" t="s">
        <v>14</v>
      </c>
      <c r="F623" s="82" t="s">
        <v>15</v>
      </c>
      <c r="G623" s="114" t="s">
        <v>87</v>
      </c>
      <c r="H623" s="114" t="s">
        <v>17</v>
      </c>
      <c r="I623" s="122" t="s">
        <v>88</v>
      </c>
      <c r="J623" s="114">
        <v>1</v>
      </c>
      <c r="K623" s="82" t="s">
        <v>22</v>
      </c>
      <c r="L623" s="119">
        <v>1</v>
      </c>
      <c r="M623" s="120">
        <v>879</v>
      </c>
      <c r="N623" s="121">
        <v>679</v>
      </c>
    </row>
    <row r="624" spans="1:14" ht="14.25" customHeight="1" x14ac:dyDescent="0.25">
      <c r="A624" s="140">
        <v>45769</v>
      </c>
      <c r="B624" s="141">
        <v>0.63194444444444442</v>
      </c>
      <c r="C624" s="78" t="str">
        <f>"Q" &amp; CHOOSE(MONTH(Sales!$A624), "1", "1", "1", "2", "2", "2", "3", "3", "3", "4", "4", "4") &amp; "_" &amp; YEAR(Sales!$A624)</f>
        <v>Q2_2025</v>
      </c>
      <c r="D624" s="142" t="s">
        <v>62</v>
      </c>
      <c r="E624" s="143" t="s">
        <v>14</v>
      </c>
      <c r="F624" s="82" t="s">
        <v>15</v>
      </c>
      <c r="G624" s="144" t="s">
        <v>24</v>
      </c>
      <c r="H624" s="144" t="s">
        <v>20</v>
      </c>
      <c r="I624" s="144" t="s">
        <v>96</v>
      </c>
      <c r="J624" s="144">
        <v>1</v>
      </c>
      <c r="K624" s="82" t="s">
        <v>19</v>
      </c>
      <c r="L624" s="145">
        <v>2</v>
      </c>
      <c r="M624" s="146">
        <v>264</v>
      </c>
      <c r="N624" s="147">
        <v>144</v>
      </c>
    </row>
    <row r="625" spans="1:14" ht="14.25" customHeight="1" x14ac:dyDescent="0.25">
      <c r="A625" s="140">
        <v>45769</v>
      </c>
      <c r="B625" s="141">
        <v>0.64722222222222225</v>
      </c>
      <c r="C625" s="78" t="str">
        <f>"Q" &amp; CHOOSE(MONTH(Sales!$A625), "1", "1", "1", "2", "2", "2", "3", "3", "3", "4", "4", "4") &amp; "_" &amp; YEAR(Sales!$A625)</f>
        <v>Q2_2025</v>
      </c>
      <c r="D625" s="142" t="s">
        <v>75</v>
      </c>
      <c r="E625" s="143" t="s">
        <v>14</v>
      </c>
      <c r="F625" s="82" t="s">
        <v>15</v>
      </c>
      <c r="G625" s="144" t="s">
        <v>24</v>
      </c>
      <c r="H625" s="144" t="s">
        <v>20</v>
      </c>
      <c r="I625" s="144" t="s">
        <v>25</v>
      </c>
      <c r="J625" s="144">
        <v>1</v>
      </c>
      <c r="K625" s="144" t="s">
        <v>22</v>
      </c>
      <c r="L625" s="145">
        <v>3</v>
      </c>
      <c r="M625" s="146">
        <v>349</v>
      </c>
      <c r="N625" s="147">
        <v>221</v>
      </c>
    </row>
    <row r="626" spans="1:14" ht="14.25" customHeight="1" x14ac:dyDescent="0.25">
      <c r="A626" s="140">
        <v>45769</v>
      </c>
      <c r="B626" s="141">
        <v>0.74444444444444446</v>
      </c>
      <c r="C626" s="78" t="str">
        <f>"Q" &amp; CHOOSE(MONTH(Sales!$A626), "1", "1", "1", "2", "2", "2", "3", "3", "3", "4", "4", "4") &amp; "_" &amp; YEAR(Sales!$A626)</f>
        <v>Q2_2025</v>
      </c>
      <c r="D626" s="142" t="s">
        <v>58</v>
      </c>
      <c r="E626" s="143" t="s">
        <v>14</v>
      </c>
      <c r="F626" s="82" t="s">
        <v>15</v>
      </c>
      <c r="G626" s="144" t="s">
        <v>93</v>
      </c>
      <c r="H626" s="144" t="s">
        <v>17</v>
      </c>
      <c r="I626" s="144" t="s">
        <v>94</v>
      </c>
      <c r="J626" s="144">
        <v>1</v>
      </c>
      <c r="K626" s="144" t="s">
        <v>22</v>
      </c>
      <c r="L626" s="145">
        <v>1</v>
      </c>
      <c r="M626" s="146">
        <v>268</v>
      </c>
      <c r="N626" s="147">
        <v>153</v>
      </c>
    </row>
    <row r="627" spans="1:14" ht="14.25" customHeight="1" x14ac:dyDescent="0.25">
      <c r="A627" s="140">
        <v>45769</v>
      </c>
      <c r="B627" s="141">
        <v>0.84375</v>
      </c>
      <c r="C627" s="78" t="str">
        <f>"Q" &amp; CHOOSE(MONTH(Sales!$A627), "1", "1", "1", "2", "2", "2", "3", "3", "3", "4", "4", "4") &amp; "_" &amp; YEAR(Sales!$A627)</f>
        <v>Q2_2025</v>
      </c>
      <c r="D627" s="142" t="s">
        <v>58</v>
      </c>
      <c r="E627" s="143" t="s">
        <v>14</v>
      </c>
      <c r="F627" s="82" t="s">
        <v>15</v>
      </c>
      <c r="G627" s="114" t="s">
        <v>87</v>
      </c>
      <c r="H627" s="114" t="s">
        <v>17</v>
      </c>
      <c r="I627" s="122" t="s">
        <v>88</v>
      </c>
      <c r="J627" s="114">
        <v>1</v>
      </c>
      <c r="K627" s="82" t="s">
        <v>22</v>
      </c>
      <c r="L627" s="119">
        <v>1</v>
      </c>
      <c r="M627" s="120">
        <v>879</v>
      </c>
      <c r="N627" s="121">
        <v>679</v>
      </c>
    </row>
    <row r="628" spans="1:14" ht="14.25" customHeight="1" x14ac:dyDescent="0.25">
      <c r="A628" s="140">
        <v>45769</v>
      </c>
      <c r="B628" s="141">
        <v>0.90694444444444444</v>
      </c>
      <c r="C628" s="78" t="str">
        <f>"Q" &amp; CHOOSE(MONTH(Sales!$A628), "1", "1", "1", "2", "2", "2", "3", "3", "3", "4", "4", "4") &amp; "_" &amp; YEAR(Sales!$A628)</f>
        <v>Q2_2025</v>
      </c>
      <c r="D628" s="142" t="s">
        <v>60</v>
      </c>
      <c r="E628" s="143" t="s">
        <v>14</v>
      </c>
      <c r="F628" s="82" t="s">
        <v>15</v>
      </c>
      <c r="G628" s="144" t="s">
        <v>16</v>
      </c>
      <c r="H628" s="144" t="s">
        <v>20</v>
      </c>
      <c r="I628" s="122" t="s">
        <v>49</v>
      </c>
      <c r="J628" s="122">
        <v>1</v>
      </c>
      <c r="K628" s="144" t="s">
        <v>22</v>
      </c>
      <c r="L628" s="125">
        <v>3</v>
      </c>
      <c r="M628" s="126">
        <v>699</v>
      </c>
      <c r="N628" s="127">
        <v>487</v>
      </c>
    </row>
    <row r="629" spans="1:14" ht="14.25" customHeight="1" x14ac:dyDescent="0.25">
      <c r="A629" s="140">
        <v>45769</v>
      </c>
      <c r="B629" s="141">
        <v>0.96875</v>
      </c>
      <c r="C629" s="78" t="str">
        <f>"Q" &amp; CHOOSE(MONTH(Sales!$A629), "1", "1", "1", "2", "2", "2", "3", "3", "3", "4", "4", "4") &amp; "_" &amp; YEAR(Sales!$A629)</f>
        <v>Q2_2025</v>
      </c>
      <c r="D629" s="142" t="s">
        <v>59</v>
      </c>
      <c r="E629" s="143" t="s">
        <v>14</v>
      </c>
      <c r="F629" s="82" t="s">
        <v>15</v>
      </c>
      <c r="G629" s="144" t="s">
        <v>93</v>
      </c>
      <c r="H629" s="144" t="s">
        <v>17</v>
      </c>
      <c r="I629" s="144" t="s">
        <v>94</v>
      </c>
      <c r="J629" s="144">
        <v>1</v>
      </c>
      <c r="K629" s="144" t="s">
        <v>22</v>
      </c>
      <c r="L629" s="145">
        <v>1</v>
      </c>
      <c r="M629" s="146">
        <v>268</v>
      </c>
      <c r="N629" s="147">
        <v>153</v>
      </c>
    </row>
    <row r="630" spans="1:14" ht="14.25" customHeight="1" x14ac:dyDescent="0.25">
      <c r="A630" s="140">
        <v>45770</v>
      </c>
      <c r="B630" s="141">
        <v>0.46527777777777779</v>
      </c>
      <c r="C630" s="78" t="str">
        <f>"Q" &amp; CHOOSE(MONTH(Sales!$A630), "1", "1", "1", "2", "2", "2", "3", "3", "3", "4", "4", "4") &amp; "_" &amp; YEAR(Sales!$A630)</f>
        <v>Q2_2025</v>
      </c>
      <c r="D630" s="142" t="s">
        <v>58</v>
      </c>
      <c r="E630" s="143" t="s">
        <v>14</v>
      </c>
      <c r="F630" s="82" t="s">
        <v>15</v>
      </c>
      <c r="G630" s="144" t="s">
        <v>114</v>
      </c>
      <c r="H630" s="144" t="s">
        <v>20</v>
      </c>
      <c r="I630" s="144" t="s">
        <v>280</v>
      </c>
      <c r="J630" s="144">
        <v>1</v>
      </c>
      <c r="K630" s="144" t="s">
        <v>22</v>
      </c>
      <c r="L630" s="145">
        <v>7</v>
      </c>
      <c r="M630" s="146">
        <v>388</v>
      </c>
      <c r="N630" s="147">
        <v>246</v>
      </c>
    </row>
    <row r="631" spans="1:14" ht="14.25" customHeight="1" x14ac:dyDescent="0.25">
      <c r="A631" s="140">
        <v>45770</v>
      </c>
      <c r="B631" s="141">
        <v>0.48680555555555555</v>
      </c>
      <c r="C631" s="78" t="str">
        <f>"Q" &amp; CHOOSE(MONTH(Sales!$A631), "1", "1", "1", "2", "2", "2", "3", "3", "3", "4", "4", "4") &amp; "_" &amp; YEAR(Sales!$A631)</f>
        <v>Q2_2025</v>
      </c>
      <c r="D631" s="142" t="s">
        <v>95</v>
      </c>
      <c r="E631" s="143" t="s">
        <v>14</v>
      </c>
      <c r="F631" s="82" t="s">
        <v>15</v>
      </c>
      <c r="G631" s="144" t="s">
        <v>117</v>
      </c>
      <c r="H631" s="144" t="s">
        <v>17</v>
      </c>
      <c r="I631" s="144" t="s">
        <v>239</v>
      </c>
      <c r="J631" s="144">
        <v>1</v>
      </c>
      <c r="K631" s="144" t="s">
        <v>22</v>
      </c>
      <c r="L631" s="145">
        <v>1</v>
      </c>
      <c r="M631" s="146">
        <v>229</v>
      </c>
      <c r="N631" s="147">
        <v>114</v>
      </c>
    </row>
    <row r="632" spans="1:14" ht="14.25" customHeight="1" x14ac:dyDescent="0.25">
      <c r="A632" s="140">
        <v>45770</v>
      </c>
      <c r="B632" s="141">
        <v>0.54583333333333328</v>
      </c>
      <c r="C632" s="78" t="str">
        <f>"Q" &amp; CHOOSE(MONTH(Sales!$A632), "1", "1", "1", "2", "2", "2", "3", "3", "3", "4", "4", "4") &amp; "_" &amp; YEAR(Sales!$A632)</f>
        <v>Q2_2025</v>
      </c>
      <c r="D632" s="142" t="s">
        <v>60</v>
      </c>
      <c r="E632" s="143" t="s">
        <v>14</v>
      </c>
      <c r="F632" s="82" t="s">
        <v>15</v>
      </c>
      <c r="G632" s="144" t="s">
        <v>93</v>
      </c>
      <c r="H632" s="144" t="s">
        <v>17</v>
      </c>
      <c r="I632" s="144" t="s">
        <v>94</v>
      </c>
      <c r="J632" s="144">
        <v>1</v>
      </c>
      <c r="K632" s="144" t="s">
        <v>22</v>
      </c>
      <c r="L632" s="145">
        <v>1</v>
      </c>
      <c r="M632" s="146">
        <v>268</v>
      </c>
      <c r="N632" s="147">
        <v>153</v>
      </c>
    </row>
    <row r="633" spans="1:14" ht="14.25" customHeight="1" x14ac:dyDescent="0.25">
      <c r="A633" s="140">
        <v>45770</v>
      </c>
      <c r="B633" s="141">
        <v>0.69722222222222219</v>
      </c>
      <c r="C633" s="78" t="str">
        <f>"Q" &amp; CHOOSE(MONTH(Sales!$A633), "1", "1", "1", "2", "2", "2", "3", "3", "3", "4", "4", "4") &amp; "_" &amp; YEAR(Sales!$A633)</f>
        <v>Q2_2025</v>
      </c>
      <c r="D633" s="142" t="s">
        <v>76</v>
      </c>
      <c r="E633" s="143" t="s">
        <v>14</v>
      </c>
      <c r="F633" s="82" t="s">
        <v>15</v>
      </c>
      <c r="G633" s="144" t="s">
        <v>24</v>
      </c>
      <c r="H633" s="144" t="s">
        <v>20</v>
      </c>
      <c r="I633" s="144" t="s">
        <v>25</v>
      </c>
      <c r="J633" s="144">
        <v>1</v>
      </c>
      <c r="K633" s="144" t="s">
        <v>22</v>
      </c>
      <c r="L633" s="145">
        <v>3</v>
      </c>
      <c r="M633" s="146">
        <v>339</v>
      </c>
      <c r="N633" s="147">
        <v>211</v>
      </c>
    </row>
    <row r="634" spans="1:14" ht="14.25" customHeight="1" x14ac:dyDescent="0.25">
      <c r="A634" s="140">
        <v>45770</v>
      </c>
      <c r="B634" s="141">
        <v>0.7055555555555556</v>
      </c>
      <c r="C634" s="78" t="str">
        <f>"Q" &amp; CHOOSE(MONTH(Sales!$A634), "1", "1", "1", "2", "2", "2", "3", "3", "3", "4", "4", "4") &amp; "_" &amp; YEAR(Sales!$A634)</f>
        <v>Q2_2025</v>
      </c>
      <c r="D634" s="142" t="s">
        <v>60</v>
      </c>
      <c r="E634" s="143" t="s">
        <v>14</v>
      </c>
      <c r="F634" s="82" t="s">
        <v>15</v>
      </c>
      <c r="G634" s="144" t="s">
        <v>93</v>
      </c>
      <c r="H634" s="144" t="s">
        <v>17</v>
      </c>
      <c r="I634" s="144" t="s">
        <v>94</v>
      </c>
      <c r="J634" s="144">
        <v>1</v>
      </c>
      <c r="K634" s="144" t="s">
        <v>22</v>
      </c>
      <c r="L634" s="145">
        <v>1</v>
      </c>
      <c r="M634" s="146">
        <v>268</v>
      </c>
      <c r="N634" s="147">
        <v>153</v>
      </c>
    </row>
    <row r="635" spans="1:14" ht="14.25" customHeight="1" x14ac:dyDescent="0.25">
      <c r="A635" s="140">
        <v>45770</v>
      </c>
      <c r="B635" s="141">
        <v>0.9194444444444444</v>
      </c>
      <c r="C635" s="78" t="str">
        <f>"Q" &amp; CHOOSE(MONTH(Sales!$A635), "1", "1", "1", "2", "2", "2", "3", "3", "3", "4", "4", "4") &amp; "_" &amp; YEAR(Sales!$A635)</f>
        <v>Q2_2025</v>
      </c>
      <c r="D635" s="142" t="s">
        <v>60</v>
      </c>
      <c r="E635" s="143" t="s">
        <v>14</v>
      </c>
      <c r="F635" s="82" t="s">
        <v>15</v>
      </c>
      <c r="G635" s="144" t="s">
        <v>102</v>
      </c>
      <c r="H635" s="144" t="s">
        <v>17</v>
      </c>
      <c r="I635" s="144" t="s">
        <v>240</v>
      </c>
      <c r="J635" s="144">
        <v>1</v>
      </c>
      <c r="K635" s="144" t="s">
        <v>84</v>
      </c>
      <c r="L635" s="145">
        <v>1</v>
      </c>
      <c r="M635" s="146">
        <v>0</v>
      </c>
      <c r="N635" s="147">
        <v>0</v>
      </c>
    </row>
    <row r="636" spans="1:14" ht="14.25" customHeight="1" x14ac:dyDescent="0.25">
      <c r="A636" s="140">
        <v>45771</v>
      </c>
      <c r="B636" s="141">
        <v>2.7777777777777776E-2</v>
      </c>
      <c r="C636" s="78" t="str">
        <f>"Q" &amp; CHOOSE(MONTH(Sales!$A636), "1", "1", "1", "2", "2", "2", "3", "3", "3", "4", "4", "4") &amp; "_" &amp; YEAR(Sales!$A636)</f>
        <v>Q2_2025</v>
      </c>
      <c r="D636" s="142" t="s">
        <v>58</v>
      </c>
      <c r="E636" s="143" t="s">
        <v>14</v>
      </c>
      <c r="F636" s="82" t="s">
        <v>15</v>
      </c>
      <c r="G636" s="144" t="s">
        <v>24</v>
      </c>
      <c r="H636" s="144" t="s">
        <v>20</v>
      </c>
      <c r="I636" s="144" t="s">
        <v>52</v>
      </c>
      <c r="J636" s="144">
        <v>1</v>
      </c>
      <c r="K636" s="144" t="s">
        <v>22</v>
      </c>
      <c r="L636" s="145">
        <v>5</v>
      </c>
      <c r="M636" s="146">
        <v>495</v>
      </c>
      <c r="N636" s="147">
        <v>356</v>
      </c>
    </row>
    <row r="637" spans="1:14" ht="14.25" customHeight="1" x14ac:dyDescent="0.25">
      <c r="A637" s="140">
        <v>45770</v>
      </c>
      <c r="B637" s="141">
        <v>2.7777777777777776E-2</v>
      </c>
      <c r="C637" s="78" t="str">
        <f>"Q" &amp; CHOOSE(MONTH(Sales!$A637), "1", "1", "1", "2", "2", "2", "3", "3", "3", "4", "4", "4") &amp; "_" &amp; YEAR(Sales!$A637)</f>
        <v>Q2_2025</v>
      </c>
      <c r="D637" s="142" t="s">
        <v>13</v>
      </c>
      <c r="E637" s="143" t="s">
        <v>30</v>
      </c>
      <c r="F637" s="82" t="s">
        <v>15</v>
      </c>
      <c r="G637" s="144" t="s">
        <v>37</v>
      </c>
      <c r="H637" s="144" t="s">
        <v>17</v>
      </c>
      <c r="I637" s="144" t="s">
        <v>38</v>
      </c>
      <c r="J637" s="144">
        <v>1</v>
      </c>
      <c r="K637" s="144" t="s">
        <v>22</v>
      </c>
      <c r="L637" s="145">
        <v>1</v>
      </c>
      <c r="M637" s="146">
        <v>177</v>
      </c>
      <c r="N637" s="147">
        <v>168</v>
      </c>
    </row>
    <row r="638" spans="1:14" ht="14.25" customHeight="1" x14ac:dyDescent="0.25">
      <c r="A638" s="140">
        <v>45771</v>
      </c>
      <c r="B638" s="141">
        <v>0.29722222222222222</v>
      </c>
      <c r="C638" s="78" t="str">
        <f>"Q" &amp; CHOOSE(MONTH(Sales!$A638), "1", "1", "1", "2", "2", "2", "3", "3", "3", "4", "4", "4") &amp; "_" &amp; YEAR(Sales!$A638)</f>
        <v>Q2_2025</v>
      </c>
      <c r="D638" s="142" t="s">
        <v>68</v>
      </c>
      <c r="E638" s="143" t="s">
        <v>14</v>
      </c>
      <c r="F638" s="82" t="s">
        <v>15</v>
      </c>
      <c r="G638" s="144" t="s">
        <v>93</v>
      </c>
      <c r="H638" s="144" t="s">
        <v>17</v>
      </c>
      <c r="I638" s="144" t="s">
        <v>94</v>
      </c>
      <c r="J638" s="144">
        <v>1</v>
      </c>
      <c r="K638" s="144" t="s">
        <v>22</v>
      </c>
      <c r="L638" s="145">
        <v>1</v>
      </c>
      <c r="M638" s="146">
        <v>268</v>
      </c>
      <c r="N638" s="147">
        <v>153</v>
      </c>
    </row>
    <row r="639" spans="1:14" ht="14.25" customHeight="1" x14ac:dyDescent="0.25">
      <c r="A639" s="140">
        <v>45771</v>
      </c>
      <c r="B639" s="141">
        <v>0.39097222222222222</v>
      </c>
      <c r="C639" s="78" t="str">
        <f>"Q" &amp; CHOOSE(MONTH(Sales!$A639), "1", "1", "1", "2", "2", "2", "3", "3", "3", "4", "4", "4") &amp; "_" &amp; YEAR(Sales!$A639)</f>
        <v>Q2_2025</v>
      </c>
      <c r="D639" s="142" t="s">
        <v>66</v>
      </c>
      <c r="E639" s="143" t="s">
        <v>14</v>
      </c>
      <c r="F639" s="82" t="s">
        <v>15</v>
      </c>
      <c r="G639" s="144" t="s">
        <v>102</v>
      </c>
      <c r="H639" s="144" t="s">
        <v>17</v>
      </c>
      <c r="I639" s="144" t="s">
        <v>240</v>
      </c>
      <c r="J639" s="144">
        <v>1</v>
      </c>
      <c r="K639" s="144" t="s">
        <v>22</v>
      </c>
      <c r="L639" s="145">
        <v>1</v>
      </c>
      <c r="M639" s="146">
        <v>499</v>
      </c>
      <c r="N639" s="147">
        <v>309</v>
      </c>
    </row>
    <row r="640" spans="1:14" ht="14.25" customHeight="1" x14ac:dyDescent="0.25">
      <c r="A640" s="140">
        <v>45771</v>
      </c>
      <c r="B640" s="141">
        <v>0.44236111111111109</v>
      </c>
      <c r="C640" s="78" t="str">
        <f>"Q" &amp; CHOOSE(MONTH(Sales!$A640), "1", "1", "1", "2", "2", "2", "3", "3", "3", "4", "4", "4") &amp; "_" &amp; YEAR(Sales!$A640)</f>
        <v>Q2_2025</v>
      </c>
      <c r="D640" s="142" t="s">
        <v>69</v>
      </c>
      <c r="E640" s="143" t="s">
        <v>14</v>
      </c>
      <c r="F640" s="82" t="s">
        <v>15</v>
      </c>
      <c r="G640" s="144" t="s">
        <v>24</v>
      </c>
      <c r="H640" s="144" t="s">
        <v>20</v>
      </c>
      <c r="I640" s="144" t="s">
        <v>25</v>
      </c>
      <c r="J640" s="144">
        <v>1</v>
      </c>
      <c r="K640" s="144" t="s">
        <v>22</v>
      </c>
      <c r="L640" s="145">
        <v>3</v>
      </c>
      <c r="M640" s="146">
        <v>339</v>
      </c>
      <c r="N640" s="147">
        <v>211</v>
      </c>
    </row>
    <row r="641" spans="1:14" ht="14.25" customHeight="1" x14ac:dyDescent="0.25">
      <c r="A641" s="140">
        <v>45771</v>
      </c>
      <c r="B641" s="141">
        <v>0.51111111111111107</v>
      </c>
      <c r="C641" s="78" t="str">
        <f>"Q" &amp; CHOOSE(MONTH(Sales!$A641), "1", "1", "1", "2", "2", "2", "3", "3", "3", "4", "4", "4") &amp; "_" &amp; YEAR(Sales!$A641)</f>
        <v>Q2_2025</v>
      </c>
      <c r="D641" s="142" t="s">
        <v>68</v>
      </c>
      <c r="E641" s="143" t="s">
        <v>14</v>
      </c>
      <c r="F641" s="82" t="s">
        <v>15</v>
      </c>
      <c r="G641" s="114" t="s">
        <v>87</v>
      </c>
      <c r="H641" s="114" t="s">
        <v>17</v>
      </c>
      <c r="I641" s="122" t="s">
        <v>88</v>
      </c>
      <c r="J641" s="114">
        <v>1</v>
      </c>
      <c r="K641" s="82" t="s">
        <v>22</v>
      </c>
      <c r="L641" s="119">
        <v>1</v>
      </c>
      <c r="M641" s="120">
        <v>879</v>
      </c>
      <c r="N641" s="121">
        <v>679</v>
      </c>
    </row>
    <row r="642" spans="1:14" ht="14.25" customHeight="1" x14ac:dyDescent="0.25">
      <c r="A642" s="140">
        <v>45771</v>
      </c>
      <c r="B642" s="141">
        <v>0.55069444444444449</v>
      </c>
      <c r="C642" s="78" t="str">
        <f>"Q" &amp; CHOOSE(MONTH(Sales!$A642), "1", "1", "1", "2", "2", "2", "3", "3", "3", "4", "4", "4") &amp; "_" &amp; YEAR(Sales!$A642)</f>
        <v>Q2_2025</v>
      </c>
      <c r="D642" s="142" t="s">
        <v>58</v>
      </c>
      <c r="E642" s="143" t="s">
        <v>14</v>
      </c>
      <c r="F642" s="82" t="s">
        <v>15</v>
      </c>
      <c r="G642" s="114" t="s">
        <v>87</v>
      </c>
      <c r="H642" s="114" t="s">
        <v>17</v>
      </c>
      <c r="I642" s="122" t="s">
        <v>88</v>
      </c>
      <c r="J642" s="114">
        <v>1</v>
      </c>
      <c r="K642" s="82" t="s">
        <v>22</v>
      </c>
      <c r="L642" s="119">
        <v>1</v>
      </c>
      <c r="M642" s="120">
        <v>879</v>
      </c>
      <c r="N642" s="121">
        <v>679</v>
      </c>
    </row>
    <row r="643" spans="1:14" ht="14.25" customHeight="1" x14ac:dyDescent="0.25">
      <c r="A643" s="140">
        <v>45771</v>
      </c>
      <c r="B643" s="141">
        <v>0.65555555555555556</v>
      </c>
      <c r="C643" s="78" t="str">
        <f>"Q" &amp; CHOOSE(MONTH(Sales!$A643), "1", "1", "1", "2", "2", "2", "3", "3", "3", "4", "4", "4") &amp; "_" &amp; YEAR(Sales!$A643)</f>
        <v>Q2_2025</v>
      </c>
      <c r="D643" s="142" t="s">
        <v>58</v>
      </c>
      <c r="E643" s="143" t="s">
        <v>14</v>
      </c>
      <c r="F643" s="82" t="s">
        <v>15</v>
      </c>
      <c r="G643" s="144" t="s">
        <v>93</v>
      </c>
      <c r="H643" s="144" t="s">
        <v>17</v>
      </c>
      <c r="I643" s="144" t="s">
        <v>94</v>
      </c>
      <c r="J643" s="144">
        <v>1</v>
      </c>
      <c r="K643" s="144" t="s">
        <v>22</v>
      </c>
      <c r="L643" s="145">
        <v>1</v>
      </c>
      <c r="M643" s="146">
        <v>268</v>
      </c>
      <c r="N643" s="147">
        <v>153</v>
      </c>
    </row>
    <row r="644" spans="1:14" ht="14.25" customHeight="1" x14ac:dyDescent="0.25">
      <c r="A644" s="140">
        <v>45771</v>
      </c>
      <c r="B644" s="141">
        <v>0.92569444444444449</v>
      </c>
      <c r="C644" s="78" t="str">
        <f>"Q" &amp; CHOOSE(MONTH(Sales!$A644), "1", "1", "1", "2", "2", "2", "3", "3", "3", "4", "4", "4") &amp; "_" &amp; YEAR(Sales!$A644)</f>
        <v>Q2_2025</v>
      </c>
      <c r="D644" s="142" t="s">
        <v>58</v>
      </c>
      <c r="E644" s="143" t="s">
        <v>14</v>
      </c>
      <c r="F644" s="82" t="s">
        <v>15</v>
      </c>
      <c r="G644" s="144" t="s">
        <v>281</v>
      </c>
      <c r="H644" s="144" t="s">
        <v>20</v>
      </c>
      <c r="I644" s="144" t="s">
        <v>282</v>
      </c>
      <c r="J644" s="144">
        <v>1</v>
      </c>
      <c r="K644" s="144" t="s">
        <v>22</v>
      </c>
      <c r="L644" s="145">
        <v>2</v>
      </c>
      <c r="M644" s="146">
        <v>598</v>
      </c>
      <c r="N644" s="147">
        <v>399</v>
      </c>
    </row>
    <row r="645" spans="1:14" ht="14.25" customHeight="1" x14ac:dyDescent="0.25">
      <c r="A645" s="140">
        <v>45772</v>
      </c>
      <c r="B645" s="141">
        <v>1.8749999999999999E-2</v>
      </c>
      <c r="C645" s="78" t="str">
        <f>"Q" &amp; CHOOSE(MONTH(Sales!$A645), "1", "1", "1", "2", "2", "2", "3", "3", "3", "4", "4", "4") &amp; "_" &amp; YEAR(Sales!$A645)</f>
        <v>Q2_2025</v>
      </c>
      <c r="D645" s="142" t="s">
        <v>64</v>
      </c>
      <c r="E645" s="143" t="s">
        <v>14</v>
      </c>
      <c r="F645" s="82" t="s">
        <v>15</v>
      </c>
      <c r="G645" s="144" t="s">
        <v>102</v>
      </c>
      <c r="H645" s="144" t="s">
        <v>17</v>
      </c>
      <c r="I645" s="144" t="s">
        <v>240</v>
      </c>
      <c r="J645" s="144">
        <v>1</v>
      </c>
      <c r="K645" s="144" t="s">
        <v>22</v>
      </c>
      <c r="L645" s="145">
        <v>1</v>
      </c>
      <c r="M645" s="146">
        <v>499</v>
      </c>
      <c r="N645" s="147">
        <v>309</v>
      </c>
    </row>
    <row r="646" spans="1:14" ht="14.25" customHeight="1" x14ac:dyDescent="0.25">
      <c r="A646" s="140">
        <v>45772</v>
      </c>
      <c r="B646" s="141">
        <v>0.38611111111111113</v>
      </c>
      <c r="C646" s="78" t="str">
        <f>"Q" &amp; CHOOSE(MONTH(Sales!$A646), "1", "1", "1", "2", "2", "2", "3", "3", "3", "4", "4", "4") &amp; "_" &amp; YEAR(Sales!$A646)</f>
        <v>Q2_2025</v>
      </c>
      <c r="D646" s="99" t="s">
        <v>58</v>
      </c>
      <c r="E646" s="124" t="s">
        <v>14</v>
      </c>
      <c r="F646" s="82" t="s">
        <v>15</v>
      </c>
      <c r="G646" s="144" t="s">
        <v>285</v>
      </c>
      <c r="H646" s="144" t="s">
        <v>17</v>
      </c>
      <c r="I646" s="144" t="s">
        <v>284</v>
      </c>
      <c r="J646" s="144">
        <v>1</v>
      </c>
      <c r="K646" s="144" t="s">
        <v>22</v>
      </c>
      <c r="L646" s="145">
        <v>1</v>
      </c>
      <c r="M646" s="146">
        <v>1185</v>
      </c>
      <c r="N646" s="147">
        <v>877</v>
      </c>
    </row>
    <row r="647" spans="1:14" ht="14.25" customHeight="1" x14ac:dyDescent="0.25">
      <c r="A647" s="95">
        <v>45772</v>
      </c>
      <c r="B647" s="96">
        <v>0.4152777777777778</v>
      </c>
      <c r="C647" s="78" t="str">
        <f>"Q" &amp; CHOOSE(MONTH(Sales!$A647), "1", "1", "1", "2", "2", "2", "3", "3", "3", "4", "4", "4") &amp; "_" &amp; YEAR(Sales!$A647)</f>
        <v>Q2_2025</v>
      </c>
      <c r="D647" s="99" t="s">
        <v>69</v>
      </c>
      <c r="E647" s="124" t="s">
        <v>14</v>
      </c>
      <c r="F647" s="82" t="s">
        <v>15</v>
      </c>
      <c r="G647" s="122" t="s">
        <v>16</v>
      </c>
      <c r="H647" s="122" t="s">
        <v>20</v>
      </c>
      <c r="I647" s="122" t="s">
        <v>49</v>
      </c>
      <c r="J647" s="122">
        <v>1</v>
      </c>
      <c r="K647" s="144" t="s">
        <v>22</v>
      </c>
      <c r="L647" s="125">
        <v>3</v>
      </c>
      <c r="M647" s="126">
        <v>699</v>
      </c>
      <c r="N647" s="127">
        <v>487</v>
      </c>
    </row>
    <row r="648" spans="1:14" ht="14.25" customHeight="1" x14ac:dyDescent="0.25">
      <c r="A648" s="140">
        <v>45772</v>
      </c>
      <c r="B648" s="141">
        <v>0.47569444444444442</v>
      </c>
      <c r="C648" s="78" t="str">
        <f>"Q" &amp; CHOOSE(MONTH(Sales!$A648), "1", "1", "1", "2", "2", "2", "3", "3", "3", "4", "4", "4") &amp; "_" &amp; YEAR(Sales!$A648)</f>
        <v>Q2_2025</v>
      </c>
      <c r="D648" s="142" t="s">
        <v>60</v>
      </c>
      <c r="E648" s="124" t="s">
        <v>14</v>
      </c>
      <c r="F648" s="82" t="s">
        <v>15</v>
      </c>
      <c r="G648" s="144" t="s">
        <v>287</v>
      </c>
      <c r="H648" s="122" t="s">
        <v>20</v>
      </c>
      <c r="I648" s="144" t="s">
        <v>284</v>
      </c>
      <c r="J648" s="144">
        <v>1</v>
      </c>
      <c r="K648" s="144" t="s">
        <v>22</v>
      </c>
      <c r="L648" s="145">
        <v>4</v>
      </c>
      <c r="M648" s="146">
        <v>1399</v>
      </c>
      <c r="N648" s="147">
        <v>980</v>
      </c>
    </row>
    <row r="649" spans="1:14" ht="14.25" customHeight="1" x14ac:dyDescent="0.25">
      <c r="A649" s="140">
        <v>45772</v>
      </c>
      <c r="B649" s="141">
        <v>0.48055555555555557</v>
      </c>
      <c r="C649" s="78" t="str">
        <f>"Q" &amp; CHOOSE(MONTH(Sales!$A649), "1", "1", "1", "2", "2", "2", "3", "3", "3", "4", "4", "4") &amp; "_" &amp; YEAR(Sales!$A649)</f>
        <v>Q2_2025</v>
      </c>
      <c r="D649" s="142" t="s">
        <v>85</v>
      </c>
      <c r="E649" s="124" t="s">
        <v>14</v>
      </c>
      <c r="F649" s="82" t="s">
        <v>15</v>
      </c>
      <c r="G649" s="144" t="s">
        <v>24</v>
      </c>
      <c r="H649" s="144" t="s">
        <v>20</v>
      </c>
      <c r="I649" s="144" t="s">
        <v>52</v>
      </c>
      <c r="J649" s="144">
        <v>1</v>
      </c>
      <c r="K649" s="144" t="s">
        <v>22</v>
      </c>
      <c r="L649" s="145">
        <v>5</v>
      </c>
      <c r="M649" s="146">
        <v>490</v>
      </c>
      <c r="N649" s="147">
        <v>350</v>
      </c>
    </row>
    <row r="650" spans="1:14" ht="14.25" customHeight="1" x14ac:dyDescent="0.25">
      <c r="A650" s="140">
        <v>45772</v>
      </c>
      <c r="B650" s="141">
        <v>0.51527777777777772</v>
      </c>
      <c r="C650" s="78" t="str">
        <f>"Q" &amp; CHOOSE(MONTH(Sales!$A650), "1", "1", "1", "2", "2", "2", "3", "3", "3", "4", "4", "4") &amp; "_" &amp; YEAR(Sales!$A650)</f>
        <v>Q2_2025</v>
      </c>
      <c r="D650" s="142" t="s">
        <v>68</v>
      </c>
      <c r="E650" s="124" t="s">
        <v>14</v>
      </c>
      <c r="F650" s="82" t="s">
        <v>15</v>
      </c>
      <c r="G650" s="144" t="s">
        <v>24</v>
      </c>
      <c r="H650" s="144" t="s">
        <v>20</v>
      </c>
      <c r="I650" s="144" t="s">
        <v>52</v>
      </c>
      <c r="J650" s="144">
        <v>1</v>
      </c>
      <c r="K650" s="144" t="s">
        <v>22</v>
      </c>
      <c r="L650" s="145">
        <v>5</v>
      </c>
      <c r="M650" s="146">
        <v>490</v>
      </c>
      <c r="N650" s="147">
        <v>350</v>
      </c>
    </row>
    <row r="651" spans="1:14" ht="14.25" customHeight="1" x14ac:dyDescent="0.25">
      <c r="A651" s="140">
        <v>45772</v>
      </c>
      <c r="B651" s="141">
        <v>0.5756944444444444</v>
      </c>
      <c r="C651" s="78" t="str">
        <f>"Q" &amp; CHOOSE(MONTH(Sales!$A651), "1", "1", "1", "2", "2", "2", "3", "3", "3", "4", "4", "4") &amp; "_" &amp; YEAR(Sales!$A651)</f>
        <v>Q2_2025</v>
      </c>
      <c r="D651" s="142" t="s">
        <v>62</v>
      </c>
      <c r="E651" s="143" t="s">
        <v>14</v>
      </c>
      <c r="F651" s="82" t="s">
        <v>15</v>
      </c>
      <c r="G651" s="144" t="s">
        <v>35</v>
      </c>
      <c r="H651" s="144" t="s">
        <v>20</v>
      </c>
      <c r="I651" s="144" t="s">
        <v>70</v>
      </c>
      <c r="J651" s="144">
        <v>1</v>
      </c>
      <c r="K651" s="144" t="s">
        <v>22</v>
      </c>
      <c r="L651" s="145">
        <v>3</v>
      </c>
      <c r="M651" s="146">
        <v>349</v>
      </c>
      <c r="N651" s="147">
        <v>211</v>
      </c>
    </row>
    <row r="652" spans="1:14" ht="14.25" customHeight="1" x14ac:dyDescent="0.25">
      <c r="A652" s="140">
        <v>45772</v>
      </c>
      <c r="B652" s="141">
        <v>0.63749999999999996</v>
      </c>
      <c r="C652" s="78" t="str">
        <f>"Q" &amp; CHOOSE(MONTH(Sales!$A652), "1", "1", "1", "2", "2", "2", "3", "3", "3", "4", "4", "4") &amp; "_" &amp; YEAR(Sales!$A652)</f>
        <v>Q2_2025</v>
      </c>
      <c r="D652" s="142" t="s">
        <v>68</v>
      </c>
      <c r="E652" s="143" t="s">
        <v>14</v>
      </c>
      <c r="F652" s="82" t="s">
        <v>15</v>
      </c>
      <c r="G652" s="144" t="s">
        <v>264</v>
      </c>
      <c r="H652" s="144" t="s">
        <v>20</v>
      </c>
      <c r="I652" s="144" t="s">
        <v>265</v>
      </c>
      <c r="J652" s="144">
        <v>1</v>
      </c>
      <c r="K652" s="144" t="s">
        <v>22</v>
      </c>
      <c r="L652" s="145">
        <v>2</v>
      </c>
      <c r="M652" s="146">
        <v>1459</v>
      </c>
      <c r="N652" s="147">
        <v>1000</v>
      </c>
    </row>
    <row r="653" spans="1:14" ht="14.25" customHeight="1" x14ac:dyDescent="0.25">
      <c r="A653" s="140">
        <v>45772</v>
      </c>
      <c r="B653" s="141">
        <v>0.63749999999999996</v>
      </c>
      <c r="C653" s="78" t="str">
        <f>"Q" &amp; CHOOSE(MONTH(Sales!$A653), "1", "1", "1", "2", "2", "2", "3", "3", "3", "4", "4", "4") &amp; "_" &amp; YEAR(Sales!$A653)</f>
        <v>Q2_2025</v>
      </c>
      <c r="D653" s="142" t="s">
        <v>13</v>
      </c>
      <c r="E653" s="143" t="s">
        <v>30</v>
      </c>
      <c r="F653" s="82" t="s">
        <v>15</v>
      </c>
      <c r="G653" s="144" t="s">
        <v>37</v>
      </c>
      <c r="H653" s="144" t="s">
        <v>17</v>
      </c>
      <c r="I653" s="144" t="s">
        <v>38</v>
      </c>
      <c r="J653" s="144">
        <v>1</v>
      </c>
      <c r="K653" s="144" t="s">
        <v>22</v>
      </c>
      <c r="L653" s="145">
        <v>1</v>
      </c>
      <c r="M653" s="146">
        <v>177</v>
      </c>
      <c r="N653" s="147">
        <v>168</v>
      </c>
    </row>
    <row r="654" spans="1:14" ht="14.25" customHeight="1" x14ac:dyDescent="0.25">
      <c r="A654" s="140">
        <v>45773</v>
      </c>
      <c r="B654" s="141">
        <v>4.8611111111111112E-3</v>
      </c>
      <c r="C654" s="78" t="str">
        <f>"Q" &amp; CHOOSE(MONTH(Sales!$A654), "1", "1", "1", "2", "2", "2", "3", "3", "3", "4", "4", "4") &amp; "_" &amp; YEAR(Sales!$A654)</f>
        <v>Q2_2025</v>
      </c>
      <c r="D654" s="142" t="s">
        <v>60</v>
      </c>
      <c r="E654" s="156" t="s">
        <v>14</v>
      </c>
      <c r="F654" s="82" t="s">
        <v>15</v>
      </c>
      <c r="G654" s="158" t="s">
        <v>24</v>
      </c>
      <c r="H654" s="157" t="s">
        <v>20</v>
      </c>
      <c r="I654" s="144" t="s">
        <v>52</v>
      </c>
      <c r="J654" s="144">
        <v>1</v>
      </c>
      <c r="K654" s="144" t="s">
        <v>22</v>
      </c>
      <c r="L654" s="145">
        <v>5</v>
      </c>
      <c r="M654" s="146">
        <v>490</v>
      </c>
      <c r="N654" s="147">
        <v>350</v>
      </c>
    </row>
    <row r="655" spans="1:14" ht="14.25" customHeight="1" x14ac:dyDescent="0.25">
      <c r="A655" s="140">
        <v>45773</v>
      </c>
      <c r="B655" s="141">
        <v>0.28541666666666665</v>
      </c>
      <c r="C655" s="78" t="str">
        <f>"Q" &amp; CHOOSE(MONTH(Sales!$A655), "1", "1", "1", "2", "2", "2", "3", "3", "3", "4", "4", "4") &amp; "_" &amp; YEAR(Sales!$A655)</f>
        <v>Q2_2025</v>
      </c>
      <c r="D655" s="142" t="s">
        <v>58</v>
      </c>
      <c r="E655" s="156" t="s">
        <v>14</v>
      </c>
      <c r="F655" s="82" t="s">
        <v>15</v>
      </c>
      <c r="G655" s="158" t="s">
        <v>24</v>
      </c>
      <c r="H655" s="157" t="s">
        <v>20</v>
      </c>
      <c r="I655" s="144" t="s">
        <v>25</v>
      </c>
      <c r="J655" s="144">
        <v>1</v>
      </c>
      <c r="K655" s="144" t="s">
        <v>22</v>
      </c>
      <c r="L655" s="145">
        <v>3</v>
      </c>
      <c r="M655" s="146">
        <v>339</v>
      </c>
      <c r="N655" s="147">
        <v>211</v>
      </c>
    </row>
    <row r="656" spans="1:14" ht="14.25" customHeight="1" x14ac:dyDescent="0.25">
      <c r="A656" s="140">
        <v>45773</v>
      </c>
      <c r="B656" s="141">
        <v>0.63472222222222219</v>
      </c>
      <c r="C656" s="78" t="str">
        <f>"Q" &amp; CHOOSE(MONTH(Sales!$A656), "1", "1", "1", "2", "2", "2", "3", "3", "3", "4", "4", "4") &amp; "_" &amp; YEAR(Sales!$A656)</f>
        <v>Q2_2025</v>
      </c>
      <c r="D656" s="99" t="s">
        <v>66</v>
      </c>
      <c r="E656" s="156" t="s">
        <v>14</v>
      </c>
      <c r="F656" s="82" t="s">
        <v>15</v>
      </c>
      <c r="G656" s="144" t="s">
        <v>102</v>
      </c>
      <c r="H656" s="88" t="s">
        <v>17</v>
      </c>
      <c r="I656" s="122" t="s">
        <v>240</v>
      </c>
      <c r="J656" s="144">
        <v>1</v>
      </c>
      <c r="K656" s="144" t="s">
        <v>22</v>
      </c>
      <c r="L656" s="145">
        <v>1</v>
      </c>
      <c r="M656" s="146">
        <v>495</v>
      </c>
      <c r="N656" s="147">
        <v>305</v>
      </c>
    </row>
    <row r="657" spans="1:14" ht="14.25" customHeight="1" x14ac:dyDescent="0.25">
      <c r="A657" s="95">
        <v>45773</v>
      </c>
      <c r="B657" s="96">
        <v>0.66111111111111109</v>
      </c>
      <c r="C657" s="78" t="str">
        <f>"Q" &amp; CHOOSE(MONTH(Sales!$A657), "1", "1", "1", "2", "2", "2", "3", "3", "3", "4", "4", "4") &amp; "_" &amp; YEAR(Sales!$A657)</f>
        <v>Q2_2025</v>
      </c>
      <c r="D657" s="99" t="s">
        <v>60</v>
      </c>
      <c r="E657" s="156" t="s">
        <v>14</v>
      </c>
      <c r="F657" s="82" t="s">
        <v>15</v>
      </c>
      <c r="G657" s="122" t="s">
        <v>93</v>
      </c>
      <c r="H657" s="88" t="s">
        <v>17</v>
      </c>
      <c r="I657" s="122" t="s">
        <v>94</v>
      </c>
      <c r="J657" s="122">
        <v>1</v>
      </c>
      <c r="K657" s="144" t="s">
        <v>22</v>
      </c>
      <c r="L657" s="125">
        <v>1</v>
      </c>
      <c r="M657" s="126">
        <v>254</v>
      </c>
      <c r="N657" s="127">
        <v>103</v>
      </c>
    </row>
    <row r="658" spans="1:14" ht="14.25" customHeight="1" x14ac:dyDescent="0.25">
      <c r="A658" s="95">
        <v>45773</v>
      </c>
      <c r="B658" s="96">
        <v>0.69305555555555554</v>
      </c>
      <c r="C658" s="78" t="str">
        <f>"Q" &amp; CHOOSE(MONTH(Sales!$A658), "1", "1", "1", "2", "2", "2", "3", "3", "3", "4", "4", "4") &amp; "_" &amp; YEAR(Sales!$A658)</f>
        <v>Q2_2025</v>
      </c>
      <c r="D658" s="99" t="s">
        <v>59</v>
      </c>
      <c r="E658" s="156" t="s">
        <v>14</v>
      </c>
      <c r="F658" s="82" t="s">
        <v>15</v>
      </c>
      <c r="G658" s="122" t="s">
        <v>87</v>
      </c>
      <c r="H658" s="88" t="s">
        <v>17</v>
      </c>
      <c r="I658" s="122" t="s">
        <v>88</v>
      </c>
      <c r="J658" s="114">
        <v>1</v>
      </c>
      <c r="K658" s="82" t="s">
        <v>22</v>
      </c>
      <c r="L658" s="119">
        <v>1</v>
      </c>
      <c r="M658" s="120">
        <v>879</v>
      </c>
      <c r="N658" s="121">
        <v>679</v>
      </c>
    </row>
    <row r="659" spans="1:14" ht="14.25" customHeight="1" x14ac:dyDescent="0.25">
      <c r="A659" s="95">
        <v>45773</v>
      </c>
      <c r="B659" s="96">
        <v>0.96805555555555556</v>
      </c>
      <c r="C659" s="78" t="str">
        <f>"Q" &amp; CHOOSE(MONTH(Sales!$A659), "1", "1", "1", "2", "2", "2", "3", "3", "3", "4", "4", "4") &amp; "_" &amp; YEAR(Sales!$A659)</f>
        <v>Q2_2025</v>
      </c>
      <c r="D659" s="99" t="s">
        <v>68</v>
      </c>
      <c r="E659" s="156" t="s">
        <v>14</v>
      </c>
      <c r="F659" s="82" t="s">
        <v>15</v>
      </c>
      <c r="G659" s="144" t="s">
        <v>102</v>
      </c>
      <c r="H659" s="88" t="s">
        <v>17</v>
      </c>
      <c r="I659" s="122" t="s">
        <v>240</v>
      </c>
      <c r="J659" s="144">
        <v>1</v>
      </c>
      <c r="K659" s="144" t="s">
        <v>22</v>
      </c>
      <c r="L659" s="145">
        <v>1</v>
      </c>
      <c r="M659" s="146">
        <v>495</v>
      </c>
      <c r="N659" s="147">
        <v>305</v>
      </c>
    </row>
    <row r="660" spans="1:14" ht="14.25" customHeight="1" x14ac:dyDescent="0.25">
      <c r="A660" s="95">
        <v>45773</v>
      </c>
      <c r="B660" s="96">
        <v>0.97638888888888886</v>
      </c>
      <c r="C660" s="78" t="str">
        <f>"Q" &amp; CHOOSE(MONTH(Sales!$A660), "1", "1", "1", "2", "2", "2", "3", "3", "3", "4", "4", "4") &amp; "_" &amp; YEAR(Sales!$A660)</f>
        <v>Q2_2025</v>
      </c>
      <c r="D660" s="99" t="s">
        <v>68</v>
      </c>
      <c r="E660" s="156" t="s">
        <v>14</v>
      </c>
      <c r="F660" s="82" t="s">
        <v>15</v>
      </c>
      <c r="G660" s="144" t="s">
        <v>102</v>
      </c>
      <c r="H660" s="88" t="s">
        <v>17</v>
      </c>
      <c r="I660" s="122" t="s">
        <v>240</v>
      </c>
      <c r="J660" s="144">
        <v>1</v>
      </c>
      <c r="K660" s="144" t="s">
        <v>22</v>
      </c>
      <c r="L660" s="145">
        <v>1</v>
      </c>
      <c r="M660" s="146">
        <v>495</v>
      </c>
      <c r="N660" s="147">
        <v>305</v>
      </c>
    </row>
    <row r="661" spans="1:14" ht="14.25" customHeight="1" x14ac:dyDescent="0.25">
      <c r="A661" s="95">
        <v>45774</v>
      </c>
      <c r="B661" s="96">
        <v>7.2222222222222215E-2</v>
      </c>
      <c r="C661" s="78" t="str">
        <f>"Q" &amp; CHOOSE(MONTH(Sales!$A661), "1", "1", "1", "2", "2", "2", "3", "3", "3", "4", "4", "4") &amp; "_" &amp; YEAR(Sales!$A661)</f>
        <v>Q2_2025</v>
      </c>
      <c r="D661" s="99" t="s">
        <v>62</v>
      </c>
      <c r="E661" s="156" t="s">
        <v>14</v>
      </c>
      <c r="F661" s="82" t="s">
        <v>15</v>
      </c>
      <c r="G661" s="122" t="s">
        <v>117</v>
      </c>
      <c r="H661" s="88" t="s">
        <v>17</v>
      </c>
      <c r="I661" s="122" t="s">
        <v>245</v>
      </c>
      <c r="J661" s="122">
        <v>1</v>
      </c>
      <c r="K661" s="144" t="s">
        <v>22</v>
      </c>
      <c r="L661" s="125">
        <v>1</v>
      </c>
      <c r="M661" s="126">
        <v>229</v>
      </c>
      <c r="N661" s="127">
        <v>131</v>
      </c>
    </row>
    <row r="662" spans="1:14" ht="14.25" customHeight="1" x14ac:dyDescent="0.25">
      <c r="A662" s="95">
        <v>45774</v>
      </c>
      <c r="B662" s="96">
        <v>0.21666666666666667</v>
      </c>
      <c r="C662" s="78" t="str">
        <f>"Q" &amp; CHOOSE(MONTH(Sales!$A662), "1", "1", "1", "2", "2", "2", "3", "3", "3", "4", "4", "4") &amp; "_" &amp; YEAR(Sales!$A662)</f>
        <v>Q2_2025</v>
      </c>
      <c r="D662" s="99" t="s">
        <v>60</v>
      </c>
      <c r="E662" s="156" t="s">
        <v>14</v>
      </c>
      <c r="F662" s="82" t="s">
        <v>15</v>
      </c>
      <c r="G662" s="114" t="s">
        <v>87</v>
      </c>
      <c r="H662" s="114" t="s">
        <v>17</v>
      </c>
      <c r="I662" s="122" t="s">
        <v>88</v>
      </c>
      <c r="J662" s="114">
        <v>1</v>
      </c>
      <c r="K662" s="82" t="s">
        <v>22</v>
      </c>
      <c r="L662" s="119">
        <v>1</v>
      </c>
      <c r="M662" s="120">
        <v>879</v>
      </c>
      <c r="N662" s="121">
        <v>679</v>
      </c>
    </row>
    <row r="663" spans="1:14" ht="14.25" customHeight="1" x14ac:dyDescent="0.25">
      <c r="A663" s="95">
        <v>45774</v>
      </c>
      <c r="B663" s="96">
        <v>0.4909722222222222</v>
      </c>
      <c r="C663" s="78" t="str">
        <f>"Q" &amp; CHOOSE(MONTH(Sales!$A663), "1", "1", "1", "2", "2", "2", "3", "3", "3", "4", "4", "4") &amp; "_" &amp; YEAR(Sales!$A663)</f>
        <v>Q2_2025</v>
      </c>
      <c r="D663" s="99" t="s">
        <v>63</v>
      </c>
      <c r="E663" s="156" t="s">
        <v>14</v>
      </c>
      <c r="F663" s="82" t="s">
        <v>15</v>
      </c>
      <c r="G663" s="122" t="s">
        <v>117</v>
      </c>
      <c r="H663" s="88" t="s">
        <v>17</v>
      </c>
      <c r="I663" s="122" t="s">
        <v>245</v>
      </c>
      <c r="J663" s="122">
        <v>1</v>
      </c>
      <c r="K663" s="144" t="s">
        <v>22</v>
      </c>
      <c r="L663" s="125">
        <v>1</v>
      </c>
      <c r="M663" s="126">
        <v>229</v>
      </c>
      <c r="N663" s="127">
        <v>131</v>
      </c>
    </row>
    <row r="664" spans="1:14" ht="14.25" customHeight="1" x14ac:dyDescent="0.25">
      <c r="A664" s="95">
        <v>45774</v>
      </c>
      <c r="B664" s="96">
        <v>0.65625</v>
      </c>
      <c r="C664" s="78" t="str">
        <f>"Q" &amp; CHOOSE(MONTH(Sales!$A664), "1", "1", "1", "2", "2", "2", "3", "3", "3", "4", "4", "4") &amp; "_" &amp; YEAR(Sales!$A664)</f>
        <v>Q2_2025</v>
      </c>
      <c r="D664" s="99" t="s">
        <v>56</v>
      </c>
      <c r="E664" s="156" t="s">
        <v>14</v>
      </c>
      <c r="F664" s="82" t="s">
        <v>15</v>
      </c>
      <c r="G664" s="122" t="s">
        <v>24</v>
      </c>
      <c r="H664" s="88" t="s">
        <v>20</v>
      </c>
      <c r="I664" s="122" t="s">
        <v>52</v>
      </c>
      <c r="J664" s="122">
        <v>1</v>
      </c>
      <c r="K664" s="144" t="s">
        <v>22</v>
      </c>
      <c r="L664" s="125">
        <v>5</v>
      </c>
      <c r="M664" s="126">
        <v>495</v>
      </c>
      <c r="N664" s="127">
        <v>309</v>
      </c>
    </row>
    <row r="665" spans="1:14" ht="14.25" customHeight="1" x14ac:dyDescent="0.25">
      <c r="A665" s="95">
        <v>45774</v>
      </c>
      <c r="B665" s="96">
        <v>0.77986111111111112</v>
      </c>
      <c r="C665" s="78" t="str">
        <f>"Q" &amp; CHOOSE(MONTH(Sales!$A665), "1", "1", "1", "2", "2", "2", "3", "3", "3", "4", "4", "4") &amp; "_" &amp; YEAR(Sales!$A665)</f>
        <v>Q2_2025</v>
      </c>
      <c r="D665" s="99" t="s">
        <v>60</v>
      </c>
      <c r="E665" s="156" t="s">
        <v>14</v>
      </c>
      <c r="F665" s="82" t="s">
        <v>15</v>
      </c>
      <c r="G665" s="114" t="s">
        <v>87</v>
      </c>
      <c r="H665" s="114" t="s">
        <v>17</v>
      </c>
      <c r="I665" s="122" t="s">
        <v>88</v>
      </c>
      <c r="J665" s="114">
        <v>1</v>
      </c>
      <c r="K665" s="82" t="s">
        <v>22</v>
      </c>
      <c r="L665" s="119">
        <v>1</v>
      </c>
      <c r="M665" s="120">
        <v>879</v>
      </c>
      <c r="N665" s="121">
        <v>679</v>
      </c>
    </row>
    <row r="666" spans="1:14" ht="14.25" customHeight="1" x14ac:dyDescent="0.25">
      <c r="A666" s="95">
        <v>45774</v>
      </c>
      <c r="B666" s="96">
        <v>0.8569444444444444</v>
      </c>
      <c r="C666" s="78" t="str">
        <f>"Q" &amp; CHOOSE(MONTH(Sales!$A666), "1", "1", "1", "2", "2", "2", "3", "3", "3", "4", "4", "4") &amp; "_" &amp; YEAR(Sales!$A666)</f>
        <v>Q2_2025</v>
      </c>
      <c r="D666" s="99" t="s">
        <v>63</v>
      </c>
      <c r="E666" s="156" t="s">
        <v>14</v>
      </c>
      <c r="F666" s="82" t="s">
        <v>15</v>
      </c>
      <c r="G666" s="92" t="s">
        <v>288</v>
      </c>
      <c r="H666" s="88" t="s">
        <v>17</v>
      </c>
      <c r="I666" s="88" t="s">
        <v>289</v>
      </c>
      <c r="J666" s="88">
        <v>1</v>
      </c>
      <c r="K666" s="82" t="s">
        <v>22</v>
      </c>
      <c r="L666" s="88">
        <v>1</v>
      </c>
      <c r="M666" s="97">
        <v>449</v>
      </c>
      <c r="N666" s="98">
        <v>250</v>
      </c>
    </row>
    <row r="667" spans="1:14" ht="14.25" customHeight="1" x14ac:dyDescent="0.25">
      <c r="A667" s="95">
        <v>45774</v>
      </c>
      <c r="B667" s="96">
        <v>0.86250000000000004</v>
      </c>
      <c r="C667" s="78" t="str">
        <f>"Q" &amp; CHOOSE(MONTH(Sales!$A667), "1", "1", "1", "2", "2", "2", "3", "3", "3", "4", "4", "4") &amp; "_" &amp; YEAR(Sales!$A667)</f>
        <v>Q2_2025</v>
      </c>
      <c r="D667" s="99" t="s">
        <v>60</v>
      </c>
      <c r="E667" s="156" t="s">
        <v>14</v>
      </c>
      <c r="F667" s="82" t="s">
        <v>15</v>
      </c>
      <c r="G667" s="114" t="s">
        <v>87</v>
      </c>
      <c r="H667" s="114" t="s">
        <v>17</v>
      </c>
      <c r="I667" s="122" t="s">
        <v>88</v>
      </c>
      <c r="J667" s="114">
        <v>1</v>
      </c>
      <c r="K667" s="82" t="s">
        <v>22</v>
      </c>
      <c r="L667" s="119">
        <v>1</v>
      </c>
      <c r="M667" s="120">
        <v>879</v>
      </c>
      <c r="N667" s="121">
        <v>679</v>
      </c>
    </row>
    <row r="668" spans="1:14" ht="14.25" customHeight="1" x14ac:dyDescent="0.25">
      <c r="A668" s="95">
        <v>45774</v>
      </c>
      <c r="B668" s="96">
        <v>0.88888888888888884</v>
      </c>
      <c r="C668" s="78" t="str">
        <f>"Q" &amp; CHOOSE(MONTH(Sales!$A668), "1", "1", "1", "2", "2", "2", "3", "3", "3", "4", "4", "4") &amp; "_" &amp; YEAR(Sales!$A668)</f>
        <v>Q2_2025</v>
      </c>
      <c r="D668" s="99" t="s">
        <v>59</v>
      </c>
      <c r="E668" s="156" t="s">
        <v>14</v>
      </c>
      <c r="F668" s="82" t="s">
        <v>15</v>
      </c>
      <c r="G668" s="122" t="s">
        <v>24</v>
      </c>
      <c r="H668" s="122" t="s">
        <v>20</v>
      </c>
      <c r="I668" s="122" t="s">
        <v>25</v>
      </c>
      <c r="J668" s="122">
        <v>1</v>
      </c>
      <c r="K668" s="82" t="s">
        <v>22</v>
      </c>
      <c r="L668" s="125">
        <v>3</v>
      </c>
      <c r="M668" s="126">
        <v>339</v>
      </c>
      <c r="N668" s="127">
        <v>211</v>
      </c>
    </row>
    <row r="669" spans="1:14" ht="14.25" customHeight="1" x14ac:dyDescent="0.25">
      <c r="A669" s="95">
        <v>45774</v>
      </c>
      <c r="B669" s="96">
        <v>0.90902777777777777</v>
      </c>
      <c r="C669" s="78" t="str">
        <f>"Q" &amp; CHOOSE(MONTH(Sales!$A669), "1", "1", "1", "2", "2", "2", "3", "3", "3", "4", "4", "4") &amp; "_" &amp; YEAR(Sales!$A669)</f>
        <v>Q2_2025</v>
      </c>
      <c r="D669" s="99" t="s">
        <v>60</v>
      </c>
      <c r="E669" s="156" t="s">
        <v>14</v>
      </c>
      <c r="F669" s="82" t="s">
        <v>15</v>
      </c>
      <c r="G669" s="144" t="s">
        <v>287</v>
      </c>
      <c r="H669" s="122" t="s">
        <v>20</v>
      </c>
      <c r="I669" s="144" t="s">
        <v>284</v>
      </c>
      <c r="J669" s="144">
        <v>1</v>
      </c>
      <c r="K669" s="144" t="s">
        <v>22</v>
      </c>
      <c r="L669" s="145">
        <v>4</v>
      </c>
      <c r="M669" s="146">
        <v>1399</v>
      </c>
      <c r="N669" s="147">
        <v>980</v>
      </c>
    </row>
    <row r="670" spans="1:14" ht="14.25" customHeight="1" x14ac:dyDescent="0.25">
      <c r="A670" s="95">
        <v>45774</v>
      </c>
      <c r="B670" s="96">
        <v>0.94166666666666665</v>
      </c>
      <c r="C670" s="78" t="str">
        <f>"Q" &amp; CHOOSE(MONTH(Sales!$A670), "1", "1", "1", "2", "2", "2", "3", "3", "3", "4", "4", "4") &amp; "_" &amp; YEAR(Sales!$A670)</f>
        <v>Q2_2025</v>
      </c>
      <c r="D670" s="99" t="s">
        <v>58</v>
      </c>
      <c r="E670" s="156" t="s">
        <v>14</v>
      </c>
      <c r="F670" s="82" t="s">
        <v>15</v>
      </c>
      <c r="G670" s="114" t="s">
        <v>87</v>
      </c>
      <c r="H670" s="114" t="s">
        <v>17</v>
      </c>
      <c r="I670" s="122" t="s">
        <v>88</v>
      </c>
      <c r="J670" s="114">
        <v>1</v>
      </c>
      <c r="K670" s="82" t="s">
        <v>22</v>
      </c>
      <c r="L670" s="119">
        <v>1</v>
      </c>
      <c r="M670" s="120">
        <v>879</v>
      </c>
      <c r="N670" s="121">
        <v>679</v>
      </c>
    </row>
    <row r="671" spans="1:14" ht="14.25" customHeight="1" x14ac:dyDescent="0.25">
      <c r="A671" s="95">
        <v>45773</v>
      </c>
      <c r="B671" s="96">
        <v>45776</v>
      </c>
      <c r="C671" s="78" t="str">
        <f>"Q" &amp; CHOOSE(MONTH(Sales!$A671), "1", "1", "1", "2", "2", "2", "3", "3", "3", "4", "4", "4") &amp; "_" &amp; YEAR(Sales!$A671)</f>
        <v>Q2_2025</v>
      </c>
      <c r="D671" s="99" t="s">
        <v>58</v>
      </c>
      <c r="E671" s="160" t="s">
        <v>30</v>
      </c>
      <c r="F671" s="82" t="s">
        <v>15</v>
      </c>
      <c r="G671" s="122" t="s">
        <v>290</v>
      </c>
      <c r="H671" s="122" t="s">
        <v>17</v>
      </c>
      <c r="I671" s="122" t="s">
        <v>291</v>
      </c>
      <c r="J671" s="122">
        <v>1</v>
      </c>
      <c r="K671" s="82" t="s">
        <v>22</v>
      </c>
      <c r="L671" s="125">
        <v>1</v>
      </c>
      <c r="M671" s="126">
        <v>161</v>
      </c>
      <c r="N671" s="127">
        <v>153</v>
      </c>
    </row>
    <row r="672" spans="1:14" ht="14.25" customHeight="1" x14ac:dyDescent="0.25">
      <c r="A672" s="95">
        <v>45775</v>
      </c>
      <c r="B672" s="141">
        <v>1.9444444444444445E-2</v>
      </c>
      <c r="C672" s="78" t="str">
        <f>"Q" &amp; CHOOSE(MONTH(Sales!$A672), "1", "1", "1", "2", "2", "2", "3", "3", "3", "4", "4", "4") &amp; "_" &amp; YEAR(Sales!$A672)</f>
        <v>Q2_2025</v>
      </c>
      <c r="D672" s="142" t="s">
        <v>60</v>
      </c>
      <c r="E672" s="156" t="s">
        <v>14</v>
      </c>
      <c r="F672" s="82" t="s">
        <v>15</v>
      </c>
      <c r="G672" s="122" t="s">
        <v>93</v>
      </c>
      <c r="H672" s="88" t="s">
        <v>17</v>
      </c>
      <c r="I672" s="122" t="s">
        <v>94</v>
      </c>
      <c r="J672" s="122">
        <v>1</v>
      </c>
      <c r="K672" s="144" t="s">
        <v>22</v>
      </c>
      <c r="L672" s="125">
        <v>1</v>
      </c>
      <c r="M672" s="126">
        <v>254</v>
      </c>
      <c r="N672" s="127">
        <v>103</v>
      </c>
    </row>
    <row r="673" spans="1:14" ht="14.25" customHeight="1" x14ac:dyDescent="0.25">
      <c r="A673" s="140">
        <v>45775</v>
      </c>
      <c r="B673" s="141">
        <v>0.31736111111111109</v>
      </c>
      <c r="C673" s="78" t="str">
        <f>"Q" &amp; CHOOSE(MONTH(Sales!$A673), "1", "1", "1", "2", "2", "2", "3", "3", "3", "4", "4", "4") &amp; "_" &amp; YEAR(Sales!$A673)</f>
        <v>Q2_2025</v>
      </c>
      <c r="D673" s="142" t="s">
        <v>58</v>
      </c>
      <c r="E673" s="156" t="s">
        <v>14</v>
      </c>
      <c r="F673" s="82" t="s">
        <v>15</v>
      </c>
      <c r="G673" s="114" t="s">
        <v>87</v>
      </c>
      <c r="H673" s="114" t="s">
        <v>17</v>
      </c>
      <c r="I673" s="122" t="s">
        <v>88</v>
      </c>
      <c r="J673" s="114">
        <v>1</v>
      </c>
      <c r="K673" s="82" t="s">
        <v>22</v>
      </c>
      <c r="L673" s="119">
        <v>1</v>
      </c>
      <c r="M673" s="120">
        <v>879</v>
      </c>
      <c r="N673" s="121">
        <v>679</v>
      </c>
    </row>
    <row r="674" spans="1:14" ht="14.25" customHeight="1" x14ac:dyDescent="0.25">
      <c r="A674" s="140">
        <v>45775</v>
      </c>
      <c r="B674" s="141">
        <v>0.37638888888888888</v>
      </c>
      <c r="C674" s="78" t="str">
        <f>"Q" &amp; CHOOSE(MONTH(Sales!$A674), "1", "1", "1", "2", "2", "2", "3", "3", "3", "4", "4", "4") &amp; "_" &amp; YEAR(Sales!$A674)</f>
        <v>Q2_2025</v>
      </c>
      <c r="D674" s="142" t="s">
        <v>59</v>
      </c>
      <c r="E674" s="156" t="s">
        <v>14</v>
      </c>
      <c r="F674" s="82" t="s">
        <v>15</v>
      </c>
      <c r="G674" s="144" t="s">
        <v>102</v>
      </c>
      <c r="H674" s="88" t="s">
        <v>17</v>
      </c>
      <c r="I674" s="122" t="s">
        <v>240</v>
      </c>
      <c r="J674" s="144">
        <v>1</v>
      </c>
      <c r="K674" s="144" t="s">
        <v>22</v>
      </c>
      <c r="L674" s="145">
        <v>1</v>
      </c>
      <c r="M674" s="146">
        <v>495</v>
      </c>
      <c r="N674" s="147">
        <v>305</v>
      </c>
    </row>
    <row r="675" spans="1:14" ht="14.25" customHeight="1" x14ac:dyDescent="0.25">
      <c r="A675" s="140">
        <v>45775</v>
      </c>
      <c r="B675" s="141">
        <v>0.51527777777777772</v>
      </c>
      <c r="C675" s="78" t="str">
        <f>"Q" &amp; CHOOSE(MONTH(Sales!$A675), "1", "1", "1", "2", "2", "2", "3", "3", "3", "4", "4", "4") &amp; "_" &amp; YEAR(Sales!$A675)</f>
        <v>Q2_2025</v>
      </c>
      <c r="D675" s="142" t="s">
        <v>68</v>
      </c>
      <c r="E675" s="156" t="s">
        <v>14</v>
      </c>
      <c r="F675" s="82" t="s">
        <v>15</v>
      </c>
      <c r="G675" s="144" t="s">
        <v>16</v>
      </c>
      <c r="H675" s="157" t="s">
        <v>20</v>
      </c>
      <c r="I675" s="144" t="s">
        <v>49</v>
      </c>
      <c r="J675" s="144">
        <v>1</v>
      </c>
      <c r="K675" s="144" t="s">
        <v>22</v>
      </c>
      <c r="L675" s="145">
        <v>3</v>
      </c>
      <c r="M675" s="146">
        <v>699</v>
      </c>
      <c r="N675" s="147">
        <v>487</v>
      </c>
    </row>
    <row r="676" spans="1:14" ht="14.25" customHeight="1" x14ac:dyDescent="0.25">
      <c r="A676" s="140">
        <v>45775</v>
      </c>
      <c r="B676" s="141">
        <v>0.58819444444444446</v>
      </c>
      <c r="C676" s="78" t="str">
        <f>"Q" &amp; CHOOSE(MONTH(Sales!$A676), "1", "1", "1", "2", "2", "2", "3", "3", "3", "4", "4", "4") &amp; "_" &amp; YEAR(Sales!$A676)</f>
        <v>Q2_2025</v>
      </c>
      <c r="D676" s="142" t="s">
        <v>60</v>
      </c>
      <c r="E676" s="156" t="s">
        <v>14</v>
      </c>
      <c r="F676" s="82" t="s">
        <v>15</v>
      </c>
      <c r="G676" s="114" t="s">
        <v>87</v>
      </c>
      <c r="H676" s="114" t="s">
        <v>17</v>
      </c>
      <c r="I676" s="122" t="s">
        <v>88</v>
      </c>
      <c r="J676" s="114">
        <v>1</v>
      </c>
      <c r="K676" s="82" t="s">
        <v>22</v>
      </c>
      <c r="L676" s="119">
        <v>1</v>
      </c>
      <c r="M676" s="120">
        <v>879</v>
      </c>
      <c r="N676" s="121">
        <v>679</v>
      </c>
    </row>
    <row r="677" spans="1:14" ht="14.25" customHeight="1" x14ac:dyDescent="0.25">
      <c r="A677" s="140">
        <v>45775</v>
      </c>
      <c r="B677" s="141">
        <v>0.58958333333333335</v>
      </c>
      <c r="C677" s="78" t="str">
        <f>"Q" &amp; CHOOSE(MONTH(Sales!$A677), "1", "1", "1", "2", "2", "2", "3", "3", "3", "4", "4", "4") &amp; "_" &amp; YEAR(Sales!$A677)</f>
        <v>Q2_2025</v>
      </c>
      <c r="D677" s="142" t="s">
        <v>60</v>
      </c>
      <c r="E677" s="156" t="s">
        <v>14</v>
      </c>
      <c r="F677" s="82" t="s">
        <v>15</v>
      </c>
      <c r="G677" s="144" t="s">
        <v>24</v>
      </c>
      <c r="H677" s="144" t="s">
        <v>20</v>
      </c>
      <c r="I677" s="144" t="s">
        <v>25</v>
      </c>
      <c r="J677" s="144">
        <v>1</v>
      </c>
      <c r="K677" s="82" t="s">
        <v>22</v>
      </c>
      <c r="L677" s="145">
        <v>3</v>
      </c>
      <c r="M677" s="146">
        <v>349</v>
      </c>
      <c r="N677" s="121">
        <v>221</v>
      </c>
    </row>
    <row r="678" spans="1:14" ht="14.25" customHeight="1" x14ac:dyDescent="0.25">
      <c r="A678" s="140">
        <v>45775</v>
      </c>
      <c r="B678" s="141">
        <v>0.7055555555555556</v>
      </c>
      <c r="C678" s="78" t="str">
        <f>"Q" &amp; CHOOSE(MONTH(Sales!$A678), "1", "1", "1", "2", "2", "2", "3", "3", "3", "4", "4", "4") &amp; "_" &amp; YEAR(Sales!$A678)</f>
        <v>Q2_2025</v>
      </c>
      <c r="D678" s="142" t="s">
        <v>58</v>
      </c>
      <c r="E678" s="156" t="s">
        <v>14</v>
      </c>
      <c r="F678" s="82" t="s">
        <v>15</v>
      </c>
      <c r="G678" s="144" t="s">
        <v>24</v>
      </c>
      <c r="H678" s="144" t="s">
        <v>20</v>
      </c>
      <c r="I678" s="122" t="s">
        <v>52</v>
      </c>
      <c r="J678" s="122">
        <v>1</v>
      </c>
      <c r="K678" s="144" t="s">
        <v>22</v>
      </c>
      <c r="L678" s="125">
        <v>5</v>
      </c>
      <c r="M678" s="126">
        <v>495</v>
      </c>
      <c r="N678" s="127">
        <v>309</v>
      </c>
    </row>
    <row r="679" spans="1:14" ht="14.25" customHeight="1" x14ac:dyDescent="0.25">
      <c r="A679" s="140">
        <v>45775</v>
      </c>
      <c r="B679" s="141">
        <v>0.85555555555555551</v>
      </c>
      <c r="C679" s="78" t="str">
        <f>"Q" &amp; CHOOSE(MONTH(Sales!$A679), "1", "1", "1", "2", "2", "2", "3", "3", "3", "4", "4", "4") &amp; "_" &amp; YEAR(Sales!$A679)</f>
        <v>Q2_2025</v>
      </c>
      <c r="D679" s="142" t="s">
        <v>66</v>
      </c>
      <c r="E679" s="156" t="s">
        <v>14</v>
      </c>
      <c r="F679" s="82" t="s">
        <v>15</v>
      </c>
      <c r="G679" s="144" t="s">
        <v>117</v>
      </c>
      <c r="H679" s="144" t="s">
        <v>17</v>
      </c>
      <c r="I679" s="144" t="s">
        <v>292</v>
      </c>
      <c r="J679" s="144">
        <v>1</v>
      </c>
      <c r="K679" s="144" t="s">
        <v>22</v>
      </c>
      <c r="L679" s="145">
        <v>1</v>
      </c>
      <c r="M679" s="146">
        <v>229</v>
      </c>
      <c r="N679" s="127">
        <v>131</v>
      </c>
    </row>
    <row r="680" spans="1:14" ht="14.25" customHeight="1" x14ac:dyDescent="0.25">
      <c r="A680" s="140">
        <v>45775</v>
      </c>
      <c r="B680" s="141">
        <v>0.94791666666666663</v>
      </c>
      <c r="C680" s="78" t="str">
        <f>"Q" &amp; CHOOSE(MONTH(Sales!$A680), "1", "1", "1", "2", "2", "2", "3", "3", "3", "4", "4", "4") &amp; "_" &amp; YEAR(Sales!$A680)</f>
        <v>Q2_2025</v>
      </c>
      <c r="D680" s="142" t="s">
        <v>60</v>
      </c>
      <c r="E680" s="156" t="s">
        <v>14</v>
      </c>
      <c r="F680" s="82" t="s">
        <v>15</v>
      </c>
      <c r="G680" s="114" t="s">
        <v>87</v>
      </c>
      <c r="H680" s="114" t="s">
        <v>17</v>
      </c>
      <c r="I680" s="122" t="s">
        <v>88</v>
      </c>
      <c r="J680" s="114">
        <v>1</v>
      </c>
      <c r="K680" s="82" t="s">
        <v>22</v>
      </c>
      <c r="L680" s="119">
        <v>1</v>
      </c>
      <c r="M680" s="120">
        <v>879</v>
      </c>
      <c r="N680" s="121">
        <v>679</v>
      </c>
    </row>
    <row r="681" spans="1:14" ht="14.25" customHeight="1" x14ac:dyDescent="0.25">
      <c r="A681" s="140">
        <v>45776</v>
      </c>
      <c r="B681" s="141">
        <v>3.125E-2</v>
      </c>
      <c r="C681" s="78" t="str">
        <f>"Q" &amp; CHOOSE(MONTH(Sales!$A681), "1", "1", "1", "2", "2", "2", "3", "3", "3", "4", "4", "4") &amp; "_" &amp; YEAR(Sales!$A681)</f>
        <v>Q2_2025</v>
      </c>
      <c r="D681" s="142" t="s">
        <v>60</v>
      </c>
      <c r="E681" s="156" t="s">
        <v>14</v>
      </c>
      <c r="F681" s="82" t="s">
        <v>15</v>
      </c>
      <c r="G681" s="114" t="s">
        <v>87</v>
      </c>
      <c r="H681" s="114" t="s">
        <v>17</v>
      </c>
      <c r="I681" s="122" t="s">
        <v>88</v>
      </c>
      <c r="J681" s="114">
        <v>1</v>
      </c>
      <c r="K681" s="82" t="s">
        <v>22</v>
      </c>
      <c r="L681" s="119">
        <v>1</v>
      </c>
      <c r="M681" s="120">
        <v>879</v>
      </c>
      <c r="N681" s="121">
        <v>679</v>
      </c>
    </row>
    <row r="682" spans="1:14" ht="14.25" customHeight="1" x14ac:dyDescent="0.25">
      <c r="A682" s="140">
        <v>45776</v>
      </c>
      <c r="B682" s="141">
        <v>0.39583333333333331</v>
      </c>
      <c r="C682" s="78" t="str">
        <f>"Q" &amp; CHOOSE(MONTH(Sales!$A682), "1", "1", "1", "2", "2", "2", "3", "3", "3", "4", "4", "4") &amp; "_" &amp; YEAR(Sales!$A682)</f>
        <v>Q2_2025</v>
      </c>
      <c r="D682" s="142" t="s">
        <v>58</v>
      </c>
      <c r="E682" s="156" t="s">
        <v>14</v>
      </c>
      <c r="F682" s="82" t="s">
        <v>15</v>
      </c>
      <c r="G682" s="144" t="s">
        <v>16</v>
      </c>
      <c r="H682" s="144" t="s">
        <v>20</v>
      </c>
      <c r="I682" s="144" t="s">
        <v>44</v>
      </c>
      <c r="J682" s="144">
        <v>1</v>
      </c>
      <c r="K682" s="82" t="s">
        <v>22</v>
      </c>
      <c r="L682" s="145">
        <v>5</v>
      </c>
      <c r="M682" s="146">
        <v>998</v>
      </c>
      <c r="N682" s="147">
        <v>749</v>
      </c>
    </row>
    <row r="683" spans="1:14" ht="14.25" customHeight="1" x14ac:dyDescent="0.25">
      <c r="A683" s="140">
        <v>45776</v>
      </c>
      <c r="B683" s="141">
        <v>0.43611111111111112</v>
      </c>
      <c r="C683" s="78" t="str">
        <f>"Q" &amp; CHOOSE(MONTH(Sales!$A683), "1", "1", "1", "2", "2", "2", "3", "3", "3", "4", "4", "4") &amp; "_" &amp; YEAR(Sales!$A683)</f>
        <v>Q2_2025</v>
      </c>
      <c r="D683" s="142" t="s">
        <v>60</v>
      </c>
      <c r="E683" s="156" t="s">
        <v>14</v>
      </c>
      <c r="F683" s="82" t="s">
        <v>15</v>
      </c>
      <c r="G683" s="114" t="s">
        <v>87</v>
      </c>
      <c r="H683" s="114" t="s">
        <v>17</v>
      </c>
      <c r="I683" s="122" t="s">
        <v>88</v>
      </c>
      <c r="J683" s="114">
        <v>1</v>
      </c>
      <c r="K683" s="82" t="s">
        <v>22</v>
      </c>
      <c r="L683" s="119">
        <v>1</v>
      </c>
      <c r="M683" s="120">
        <v>879</v>
      </c>
      <c r="N683" s="121">
        <v>679</v>
      </c>
    </row>
    <row r="684" spans="1:14" ht="14.25" customHeight="1" x14ac:dyDescent="0.25">
      <c r="A684" s="140">
        <v>45776</v>
      </c>
      <c r="B684" s="141">
        <v>0.49583333333333335</v>
      </c>
      <c r="C684" s="78" t="str">
        <f>"Q" &amp; CHOOSE(MONTH(Sales!$A684), "1", "1", "1", "2", "2", "2", "3", "3", "3", "4", "4", "4") &amp; "_" &amp; YEAR(Sales!$A684)</f>
        <v>Q2_2025</v>
      </c>
      <c r="D684" s="142" t="s">
        <v>60</v>
      </c>
      <c r="E684" s="156" t="s">
        <v>14</v>
      </c>
      <c r="F684" s="82" t="s">
        <v>15</v>
      </c>
      <c r="G684" s="122" t="s">
        <v>93</v>
      </c>
      <c r="H684" s="88" t="s">
        <v>17</v>
      </c>
      <c r="I684" s="122" t="s">
        <v>94</v>
      </c>
      <c r="J684" s="122">
        <v>1</v>
      </c>
      <c r="K684" s="144" t="s">
        <v>22</v>
      </c>
      <c r="L684" s="125">
        <v>1</v>
      </c>
      <c r="M684" s="126">
        <v>254</v>
      </c>
      <c r="N684" s="127">
        <v>103</v>
      </c>
    </row>
    <row r="685" spans="1:14" ht="14.25" customHeight="1" x14ac:dyDescent="0.25">
      <c r="A685" s="140">
        <v>45776</v>
      </c>
      <c r="B685" s="141">
        <v>0.79374999999999996</v>
      </c>
      <c r="C685" s="78" t="str">
        <f>"Q" &amp; CHOOSE(MONTH(Sales!$A685), "1", "1", "1", "2", "2", "2", "3", "3", "3", "4", "4", "4") &amp; "_" &amp; YEAR(Sales!$A685)</f>
        <v>Q2_2025</v>
      </c>
      <c r="D685" s="142" t="s">
        <v>68</v>
      </c>
      <c r="E685" s="156" t="s">
        <v>14</v>
      </c>
      <c r="F685" s="82" t="s">
        <v>15</v>
      </c>
      <c r="G685" s="144" t="s">
        <v>24</v>
      </c>
      <c r="H685" s="157" t="s">
        <v>20</v>
      </c>
      <c r="I685" s="122" t="s">
        <v>25</v>
      </c>
      <c r="J685" s="122">
        <v>1</v>
      </c>
      <c r="K685" s="82" t="s">
        <v>22</v>
      </c>
      <c r="L685" s="125">
        <v>3</v>
      </c>
      <c r="M685" s="126">
        <v>339</v>
      </c>
      <c r="N685" s="127">
        <v>211</v>
      </c>
    </row>
    <row r="686" spans="1:14" ht="14.25" customHeight="1" x14ac:dyDescent="0.25">
      <c r="A686" s="140">
        <v>45776</v>
      </c>
      <c r="B686" s="141">
        <v>0.81388888888888888</v>
      </c>
      <c r="C686" s="78" t="str">
        <f>"Q" &amp; CHOOSE(MONTH(Sales!$A686), "1", "1", "1", "2", "2", "2", "3", "3", "3", "4", "4", "4") &amp; "_" &amp; YEAR(Sales!$A686)</f>
        <v>Q2_2025</v>
      </c>
      <c r="D686" s="142" t="s">
        <v>62</v>
      </c>
      <c r="E686" s="156" t="s">
        <v>14</v>
      </c>
      <c r="F686" s="82" t="s">
        <v>15</v>
      </c>
      <c r="G686" s="144" t="s">
        <v>24</v>
      </c>
      <c r="H686" s="157" t="s">
        <v>20</v>
      </c>
      <c r="I686" s="122" t="s">
        <v>25</v>
      </c>
      <c r="J686" s="122">
        <v>1</v>
      </c>
      <c r="K686" s="82" t="s">
        <v>22</v>
      </c>
      <c r="L686" s="125">
        <v>3</v>
      </c>
      <c r="M686" s="126">
        <v>339</v>
      </c>
      <c r="N686" s="127">
        <v>211</v>
      </c>
    </row>
    <row r="687" spans="1:14" ht="14.25" customHeight="1" x14ac:dyDescent="0.25">
      <c r="A687" s="140">
        <v>45776</v>
      </c>
      <c r="B687" s="141">
        <v>0.9770833333333333</v>
      </c>
      <c r="C687" s="78" t="str">
        <f>"Q" &amp; CHOOSE(MONTH(Sales!$A687), "1", "1", "1", "2", "2", "2", "3", "3", "3", "4", "4", "4") &amp; "_" &amp; YEAR(Sales!$A687)</f>
        <v>Q2_2025</v>
      </c>
      <c r="D687" s="142" t="s">
        <v>62</v>
      </c>
      <c r="E687" s="156" t="s">
        <v>14</v>
      </c>
      <c r="F687" s="82" t="s">
        <v>15</v>
      </c>
      <c r="G687" s="144" t="s">
        <v>24</v>
      </c>
      <c r="H687" s="157" t="s">
        <v>20</v>
      </c>
      <c r="I687" s="144" t="s">
        <v>81</v>
      </c>
      <c r="J687" s="144">
        <v>1</v>
      </c>
      <c r="K687" s="82" t="s">
        <v>22</v>
      </c>
      <c r="L687" s="145">
        <v>9</v>
      </c>
      <c r="M687" s="146">
        <v>789</v>
      </c>
      <c r="N687" s="147">
        <v>566</v>
      </c>
    </row>
    <row r="688" spans="1:14" ht="14.25" customHeight="1" x14ac:dyDescent="0.25">
      <c r="A688" s="5"/>
      <c r="B688" s="6"/>
      <c r="C688" s="5"/>
      <c r="D688" s="7"/>
      <c r="E688" s="8"/>
      <c r="F688" s="3"/>
      <c r="H688" s="3"/>
      <c r="I688" s="3"/>
      <c r="J688" s="3"/>
      <c r="K688" s="3"/>
      <c r="L688" s="3"/>
      <c r="M688" s="9"/>
      <c r="N688" s="10"/>
    </row>
    <row r="689" spans="1:14" ht="14.25" customHeight="1" x14ac:dyDescent="0.25">
      <c r="A689" s="5"/>
      <c r="B689" s="6"/>
      <c r="C689" s="5"/>
      <c r="D689" s="7"/>
      <c r="E689" s="8"/>
      <c r="F689" s="3"/>
      <c r="H689" s="3"/>
      <c r="I689" s="3"/>
      <c r="J689" s="3"/>
      <c r="K689" s="3"/>
      <c r="L689" s="3"/>
      <c r="M689" s="9"/>
      <c r="N689" s="10"/>
    </row>
    <row r="690" spans="1:14" ht="14.25" customHeight="1" x14ac:dyDescent="0.25">
      <c r="A690" s="5"/>
      <c r="B690" s="6"/>
      <c r="C690" s="5"/>
      <c r="D690" s="7"/>
      <c r="E690" s="8"/>
      <c r="F690" s="3"/>
      <c r="H690" s="3"/>
      <c r="I690" s="3"/>
      <c r="J690" s="3"/>
      <c r="K690" s="3"/>
      <c r="L690" s="3"/>
      <c r="M690" s="9"/>
      <c r="N690" s="10"/>
    </row>
    <row r="691" spans="1:14" ht="14.25" customHeight="1" x14ac:dyDescent="0.25">
      <c r="A691" s="5"/>
      <c r="B691" s="6"/>
      <c r="C691" s="5"/>
      <c r="D691" s="7"/>
      <c r="E691" s="8"/>
      <c r="F691" s="3"/>
      <c r="H691" s="3"/>
      <c r="I691" s="3"/>
      <c r="J691" s="3"/>
      <c r="K691" s="3"/>
      <c r="L691" s="3"/>
      <c r="M691" s="9"/>
      <c r="N691" s="10"/>
    </row>
    <row r="692" spans="1:14" ht="14.25" customHeight="1" x14ac:dyDescent="0.25">
      <c r="A692" s="5"/>
      <c r="B692" s="6"/>
      <c r="C692" s="5"/>
      <c r="D692" s="7"/>
      <c r="E692" s="8"/>
      <c r="F692" s="3"/>
      <c r="H692" s="3"/>
      <c r="I692" s="3"/>
      <c r="J692" s="3"/>
      <c r="K692" s="3"/>
      <c r="L692" s="3"/>
      <c r="M692" s="9"/>
      <c r="N692" s="10"/>
    </row>
    <row r="693" spans="1:14" ht="14.25" customHeight="1" x14ac:dyDescent="0.25">
      <c r="A693" s="5"/>
      <c r="B693" s="6"/>
      <c r="C693" s="5"/>
      <c r="D693" s="7"/>
      <c r="E693" s="8"/>
      <c r="F693" s="3"/>
      <c r="H693" s="3"/>
      <c r="I693" s="3"/>
      <c r="J693" s="3"/>
      <c r="K693" s="3"/>
      <c r="L693" s="3"/>
      <c r="M693" s="9"/>
      <c r="N693" s="10"/>
    </row>
    <row r="694" spans="1:14" ht="14.25" customHeight="1" x14ac:dyDescent="0.25">
      <c r="A694" s="5"/>
      <c r="B694" s="6"/>
      <c r="C694" s="5"/>
      <c r="D694" s="7"/>
      <c r="E694" s="8"/>
      <c r="F694" s="3"/>
      <c r="H694" s="3"/>
      <c r="I694" s="3"/>
      <c r="J694" s="3"/>
      <c r="K694" s="3"/>
      <c r="L694" s="3"/>
      <c r="M694" s="9"/>
      <c r="N694" s="10"/>
    </row>
    <row r="695" spans="1:14" ht="14.25" customHeight="1" x14ac:dyDescent="0.25">
      <c r="A695" s="5"/>
      <c r="B695" s="6"/>
      <c r="C695" s="5"/>
      <c r="D695" s="7"/>
      <c r="E695" s="8"/>
      <c r="F695" s="3"/>
      <c r="H695" s="3"/>
      <c r="I695" s="3"/>
      <c r="J695" s="3"/>
      <c r="K695" s="3"/>
      <c r="L695" s="3"/>
      <c r="M695" s="9"/>
      <c r="N695" s="10"/>
    </row>
    <row r="696" spans="1:14" ht="14.25" customHeight="1" x14ac:dyDescent="0.25">
      <c r="A696" s="5"/>
      <c r="B696" s="6"/>
      <c r="C696" s="5"/>
      <c r="D696" s="7"/>
      <c r="E696" s="8"/>
      <c r="F696" s="3"/>
      <c r="H696" s="3"/>
      <c r="I696" s="3"/>
      <c r="J696" s="3"/>
      <c r="K696" s="3"/>
      <c r="L696" s="3"/>
      <c r="M696" s="9"/>
      <c r="N696" s="10"/>
    </row>
    <row r="697" spans="1:14" ht="14.25" customHeight="1" x14ac:dyDescent="0.25">
      <c r="A697" s="5"/>
      <c r="B697" s="6"/>
      <c r="C697" s="5"/>
      <c r="D697" s="7"/>
      <c r="E697" s="8"/>
      <c r="F697" s="3"/>
      <c r="H697" s="3"/>
      <c r="I697" s="3"/>
      <c r="J697" s="3"/>
      <c r="K697" s="3"/>
      <c r="L697" s="3"/>
      <c r="M697" s="9"/>
      <c r="N697" s="10"/>
    </row>
    <row r="698" spans="1:14" ht="14.25" customHeight="1" x14ac:dyDescent="0.25">
      <c r="A698" s="5"/>
      <c r="B698" s="6"/>
      <c r="C698" s="5"/>
      <c r="D698" s="7"/>
      <c r="E698" s="8"/>
      <c r="F698" s="3"/>
      <c r="H698" s="3"/>
      <c r="I698" s="3"/>
      <c r="J698" s="3"/>
      <c r="K698" s="3"/>
      <c r="L698" s="3"/>
      <c r="M698" s="9"/>
      <c r="N698" s="10"/>
    </row>
    <row r="699" spans="1:14" ht="14.25" customHeight="1" x14ac:dyDescent="0.25">
      <c r="A699" s="5"/>
      <c r="B699" s="6"/>
      <c r="C699" s="5"/>
      <c r="D699" s="7"/>
      <c r="E699" s="8"/>
      <c r="F699" s="3"/>
      <c r="H699" s="3"/>
      <c r="I699" s="3"/>
      <c r="J699" s="3"/>
      <c r="K699" s="3"/>
      <c r="L699" s="3"/>
      <c r="M699" s="9"/>
      <c r="N699" s="10"/>
    </row>
    <row r="700" spans="1:14" ht="14.25" customHeight="1" x14ac:dyDescent="0.25">
      <c r="A700" s="5"/>
      <c r="B700" s="6"/>
      <c r="C700" s="5"/>
      <c r="D700" s="7"/>
      <c r="E700" s="8"/>
      <c r="F700" s="3"/>
      <c r="H700" s="3"/>
      <c r="I700" s="3"/>
      <c r="J700" s="3"/>
      <c r="K700" s="3"/>
      <c r="L700" s="3"/>
      <c r="M700" s="9"/>
      <c r="N700" s="10"/>
    </row>
    <row r="701" spans="1:14" ht="14.25" customHeight="1" x14ac:dyDescent="0.25">
      <c r="A701" s="5"/>
      <c r="B701" s="6"/>
      <c r="C701" s="5"/>
      <c r="D701" s="7"/>
      <c r="E701" s="8"/>
      <c r="F701" s="3"/>
      <c r="H701" s="3"/>
      <c r="I701" s="3"/>
      <c r="J701" s="3"/>
      <c r="K701" s="3"/>
      <c r="L701" s="3"/>
      <c r="M701" s="9"/>
      <c r="N701" s="10"/>
    </row>
    <row r="702" spans="1:14" ht="14.25" customHeight="1" x14ac:dyDescent="0.25">
      <c r="A702" s="5"/>
      <c r="B702" s="6"/>
      <c r="C702" s="5"/>
      <c r="D702" s="7"/>
      <c r="E702" s="8"/>
      <c r="F702" s="3"/>
      <c r="H702" s="3"/>
      <c r="I702" s="3"/>
      <c r="J702" s="3"/>
      <c r="K702" s="3"/>
      <c r="L702" s="3"/>
      <c r="M702" s="9"/>
      <c r="N702" s="10"/>
    </row>
    <row r="703" spans="1:14" ht="14.25" customHeight="1" x14ac:dyDescent="0.25">
      <c r="A703" s="5"/>
      <c r="B703" s="6"/>
      <c r="C703" s="5"/>
      <c r="D703" s="7"/>
      <c r="E703" s="8"/>
      <c r="F703" s="3"/>
      <c r="H703" s="3"/>
      <c r="I703" s="3"/>
      <c r="J703" s="3"/>
      <c r="K703" s="3"/>
      <c r="L703" s="3"/>
      <c r="M703" s="9"/>
      <c r="N703" s="10"/>
    </row>
    <row r="704" spans="1:14" ht="14.25" customHeight="1" x14ac:dyDescent="0.25">
      <c r="A704" s="5"/>
      <c r="B704" s="6"/>
      <c r="C704" s="5"/>
      <c r="D704" s="7"/>
      <c r="E704" s="8"/>
      <c r="F704" s="3"/>
      <c r="H704" s="3"/>
      <c r="I704" s="3"/>
      <c r="J704" s="3"/>
      <c r="K704" s="3"/>
      <c r="L704" s="3"/>
      <c r="M704" s="9"/>
      <c r="N704" s="10"/>
    </row>
    <row r="705" spans="1:14" ht="14.25" customHeight="1" x14ac:dyDescent="0.25">
      <c r="A705" s="5"/>
      <c r="B705" s="6"/>
      <c r="C705" s="5"/>
      <c r="D705" s="7"/>
      <c r="E705" s="8"/>
      <c r="F705" s="3"/>
      <c r="H705" s="3"/>
      <c r="I705" s="3"/>
      <c r="J705" s="3"/>
      <c r="K705" s="3"/>
      <c r="L705" s="3"/>
      <c r="M705" s="9"/>
      <c r="N705" s="10"/>
    </row>
    <row r="706" spans="1:14" ht="14.25" customHeight="1" x14ac:dyDescent="0.25">
      <c r="A706" s="5"/>
      <c r="B706" s="6"/>
      <c r="C706" s="5"/>
      <c r="D706" s="7"/>
      <c r="E706" s="8"/>
      <c r="F706" s="3"/>
      <c r="H706" s="3"/>
      <c r="I706" s="3"/>
      <c r="J706" s="3"/>
      <c r="K706" s="3"/>
      <c r="L706" s="3"/>
      <c r="M706" s="9"/>
      <c r="N706" s="10"/>
    </row>
    <row r="707" spans="1:14" ht="14.25" customHeight="1" x14ac:dyDescent="0.25">
      <c r="A707" s="5"/>
      <c r="B707" s="6"/>
      <c r="C707" s="5"/>
      <c r="D707" s="7"/>
      <c r="E707" s="8"/>
      <c r="F707" s="3"/>
      <c r="H707" s="3"/>
      <c r="I707" s="3"/>
      <c r="J707" s="3"/>
      <c r="K707" s="3"/>
      <c r="L707" s="3"/>
      <c r="M707" s="9"/>
      <c r="N707" s="10"/>
    </row>
    <row r="708" spans="1:14" ht="14.25" customHeight="1" x14ac:dyDescent="0.25">
      <c r="A708" s="5"/>
      <c r="B708" s="6"/>
      <c r="C708" s="5"/>
      <c r="D708" s="7"/>
      <c r="E708" s="8"/>
      <c r="F708" s="3"/>
      <c r="H708" s="3"/>
      <c r="I708" s="3"/>
      <c r="J708" s="3"/>
      <c r="K708" s="3"/>
      <c r="L708" s="3"/>
      <c r="M708" s="9"/>
      <c r="N708" s="10"/>
    </row>
    <row r="709" spans="1:14" ht="14.25" customHeight="1" x14ac:dyDescent="0.25">
      <c r="A709" s="5"/>
      <c r="B709" s="6"/>
      <c r="C709" s="5"/>
      <c r="D709" s="7"/>
      <c r="E709" s="8"/>
      <c r="F709" s="3"/>
      <c r="H709" s="3"/>
      <c r="I709" s="3"/>
      <c r="J709" s="3"/>
      <c r="K709" s="3"/>
      <c r="L709" s="3"/>
      <c r="M709" s="9"/>
      <c r="N709" s="10"/>
    </row>
    <row r="710" spans="1:14" ht="14.25" customHeight="1" x14ac:dyDescent="0.25">
      <c r="A710" s="5"/>
      <c r="B710" s="6"/>
      <c r="C710" s="5"/>
      <c r="D710" s="7"/>
      <c r="E710" s="8"/>
      <c r="F710" s="3"/>
      <c r="H710" s="3"/>
      <c r="I710" s="3"/>
      <c r="J710" s="3"/>
      <c r="K710" s="3"/>
      <c r="L710" s="3"/>
      <c r="M710" s="9"/>
      <c r="N710" s="10"/>
    </row>
    <row r="711" spans="1:14" ht="14.25" customHeight="1" x14ac:dyDescent="0.25">
      <c r="A711" s="5"/>
      <c r="B711" s="6"/>
      <c r="C711" s="5"/>
      <c r="D711" s="7"/>
      <c r="E711" s="8"/>
      <c r="F711" s="3"/>
      <c r="H711" s="3"/>
      <c r="I711" s="3"/>
      <c r="J711" s="3"/>
      <c r="K711" s="3"/>
      <c r="L711" s="3"/>
      <c r="M711" s="9"/>
      <c r="N711" s="10"/>
    </row>
    <row r="712" spans="1:14" ht="14.25" customHeight="1" x14ac:dyDescent="0.25">
      <c r="A712" s="5"/>
      <c r="B712" s="6"/>
      <c r="C712" s="5"/>
      <c r="D712" s="7"/>
      <c r="E712" s="8"/>
      <c r="F712" s="3"/>
      <c r="H712" s="3"/>
      <c r="I712" s="3"/>
      <c r="J712" s="3"/>
      <c r="K712" s="3"/>
      <c r="L712" s="3"/>
      <c r="M712" s="9"/>
      <c r="N712" s="10"/>
    </row>
    <row r="713" spans="1:14" ht="14.25" customHeight="1" x14ac:dyDescent="0.25">
      <c r="A713" s="5"/>
      <c r="B713" s="6"/>
      <c r="C713" s="5"/>
      <c r="D713" s="7"/>
      <c r="E713" s="8"/>
      <c r="F713" s="3"/>
      <c r="H713" s="3"/>
      <c r="I713" s="3"/>
      <c r="J713" s="3"/>
      <c r="K713" s="3"/>
      <c r="L713" s="3"/>
      <c r="M713" s="9"/>
      <c r="N713" s="10"/>
    </row>
    <row r="714" spans="1:14" ht="14.25" customHeight="1" x14ac:dyDescent="0.25">
      <c r="A714" s="5"/>
      <c r="B714" s="6"/>
      <c r="C714" s="5"/>
      <c r="D714" s="7"/>
      <c r="E714" s="8"/>
      <c r="F714" s="3"/>
      <c r="H714" s="3"/>
      <c r="I714" s="3"/>
      <c r="J714" s="3"/>
      <c r="K714" s="3"/>
      <c r="L714" s="3"/>
      <c r="M714" s="9"/>
      <c r="N714" s="10"/>
    </row>
    <row r="715" spans="1:14" ht="14.25" customHeight="1" x14ac:dyDescent="0.25">
      <c r="A715" s="5"/>
      <c r="B715" s="6"/>
      <c r="C715" s="5"/>
      <c r="D715" s="7"/>
      <c r="E715" s="8"/>
      <c r="F715" s="3"/>
      <c r="H715" s="3"/>
      <c r="I715" s="3"/>
      <c r="J715" s="3"/>
      <c r="K715" s="3"/>
      <c r="L715" s="3"/>
      <c r="M715" s="9"/>
      <c r="N715" s="10"/>
    </row>
    <row r="716" spans="1:14" ht="14.25" customHeight="1" x14ac:dyDescent="0.25">
      <c r="A716" s="5"/>
      <c r="B716" s="6"/>
      <c r="C716" s="5"/>
      <c r="D716" s="7"/>
      <c r="E716" s="8"/>
      <c r="F716" s="3"/>
      <c r="H716" s="3"/>
      <c r="I716" s="3"/>
      <c r="J716" s="3"/>
      <c r="K716" s="3"/>
      <c r="L716" s="3"/>
      <c r="M716" s="9"/>
      <c r="N716" s="10"/>
    </row>
    <row r="717" spans="1:14" ht="14.25" customHeight="1" x14ac:dyDescent="0.25">
      <c r="A717" s="5"/>
      <c r="B717" s="6"/>
      <c r="C717" s="5"/>
      <c r="D717" s="7"/>
      <c r="E717" s="8"/>
      <c r="F717" s="3"/>
      <c r="H717" s="3"/>
      <c r="I717" s="3"/>
      <c r="J717" s="3"/>
      <c r="K717" s="3"/>
      <c r="L717" s="3"/>
      <c r="M717" s="9"/>
      <c r="N717" s="10"/>
    </row>
    <row r="718" spans="1:14" ht="14.25" customHeight="1" x14ac:dyDescent="0.25">
      <c r="A718" s="5"/>
      <c r="B718" s="6"/>
      <c r="C718" s="5"/>
      <c r="D718" s="7"/>
      <c r="E718" s="8"/>
      <c r="F718" s="3"/>
      <c r="H718" s="3"/>
      <c r="I718" s="3"/>
      <c r="J718" s="3"/>
      <c r="K718" s="3"/>
      <c r="L718" s="3"/>
      <c r="M718" s="9"/>
      <c r="N718" s="10"/>
    </row>
    <row r="719" spans="1:14" ht="14.25" customHeight="1" x14ac:dyDescent="0.25">
      <c r="A719" s="5"/>
      <c r="B719" s="6"/>
      <c r="C719" s="5"/>
      <c r="D719" s="7"/>
      <c r="E719" s="8"/>
      <c r="F719" s="3"/>
      <c r="H719" s="3"/>
      <c r="I719" s="3"/>
      <c r="J719" s="3"/>
      <c r="K719" s="3"/>
      <c r="L719" s="3"/>
      <c r="M719" s="9"/>
      <c r="N719" s="10"/>
    </row>
    <row r="720" spans="1:14" ht="14.25" customHeight="1" x14ac:dyDescent="0.25">
      <c r="A720" s="5"/>
      <c r="B720" s="6"/>
      <c r="C720" s="5"/>
      <c r="D720" s="7"/>
      <c r="E720" s="8"/>
      <c r="F720" s="3"/>
      <c r="H720" s="3"/>
      <c r="I720" s="3"/>
      <c r="J720" s="3"/>
      <c r="K720" s="3"/>
      <c r="L720" s="3"/>
      <c r="M720" s="9"/>
      <c r="N720" s="10"/>
    </row>
    <row r="721" spans="1:14" ht="14.25" customHeight="1" x14ac:dyDescent="0.25">
      <c r="A721" s="5"/>
      <c r="B721" s="6"/>
      <c r="C721" s="5"/>
      <c r="D721" s="7"/>
      <c r="E721" s="8"/>
      <c r="F721" s="3"/>
      <c r="H721" s="3"/>
      <c r="I721" s="3"/>
      <c r="J721" s="3"/>
      <c r="K721" s="3"/>
      <c r="L721" s="3"/>
      <c r="M721" s="9"/>
      <c r="N721" s="10"/>
    </row>
    <row r="722" spans="1:14" ht="14.25" customHeight="1" x14ac:dyDescent="0.25">
      <c r="A722" s="5"/>
      <c r="B722" s="6"/>
      <c r="C722" s="5"/>
      <c r="D722" s="7"/>
      <c r="E722" s="8"/>
      <c r="F722" s="3"/>
      <c r="H722" s="3"/>
      <c r="I722" s="3"/>
      <c r="J722" s="3"/>
      <c r="K722" s="3"/>
      <c r="L722" s="3"/>
      <c r="M722" s="9"/>
      <c r="N722" s="10"/>
    </row>
    <row r="723" spans="1:14" ht="14.25" customHeight="1" x14ac:dyDescent="0.25">
      <c r="A723" s="5"/>
      <c r="B723" s="6"/>
      <c r="C723" s="5"/>
      <c r="D723" s="7"/>
      <c r="E723" s="8"/>
      <c r="F723" s="3"/>
      <c r="H723" s="3"/>
      <c r="I723" s="3"/>
      <c r="J723" s="3"/>
      <c r="K723" s="3"/>
      <c r="L723" s="3"/>
      <c r="M723" s="9"/>
      <c r="N723" s="10"/>
    </row>
    <row r="724" spans="1:14" ht="14.25" customHeight="1" x14ac:dyDescent="0.25">
      <c r="A724" s="5"/>
      <c r="B724" s="6"/>
      <c r="C724" s="5"/>
      <c r="D724" s="7"/>
      <c r="E724" s="8"/>
      <c r="F724" s="3"/>
      <c r="H724" s="3"/>
      <c r="I724" s="3"/>
      <c r="J724" s="3"/>
      <c r="K724" s="3"/>
      <c r="L724" s="3"/>
      <c r="M724" s="9"/>
      <c r="N724" s="10"/>
    </row>
    <row r="725" spans="1:14" ht="14.25" customHeight="1" x14ac:dyDescent="0.25">
      <c r="A725" s="5"/>
      <c r="B725" s="6"/>
      <c r="C725" s="5"/>
      <c r="D725" s="7"/>
      <c r="E725" s="8"/>
      <c r="F725" s="3"/>
      <c r="H725" s="3"/>
      <c r="I725" s="3"/>
      <c r="J725" s="3"/>
      <c r="K725" s="3"/>
      <c r="L725" s="3"/>
      <c r="M725" s="9"/>
      <c r="N725" s="10"/>
    </row>
    <row r="726" spans="1:14" ht="14.25" customHeight="1" x14ac:dyDescent="0.25">
      <c r="A726" s="5"/>
      <c r="B726" s="6"/>
      <c r="C726" s="5"/>
      <c r="D726" s="7"/>
      <c r="E726" s="8"/>
      <c r="F726" s="3"/>
      <c r="H726" s="3"/>
      <c r="I726" s="3"/>
      <c r="J726" s="3"/>
      <c r="K726" s="3"/>
      <c r="L726" s="3"/>
      <c r="M726" s="9"/>
      <c r="N726" s="10"/>
    </row>
    <row r="727" spans="1:14" ht="14.25" customHeight="1" x14ac:dyDescent="0.25">
      <c r="A727" s="5"/>
      <c r="B727" s="6"/>
      <c r="C727" s="5"/>
      <c r="D727" s="7"/>
      <c r="E727" s="8"/>
      <c r="F727" s="3"/>
      <c r="H727" s="3"/>
      <c r="I727" s="3"/>
      <c r="J727" s="3"/>
      <c r="K727" s="3"/>
      <c r="L727" s="3"/>
      <c r="M727" s="9"/>
      <c r="N727" s="10"/>
    </row>
    <row r="728" spans="1:14" ht="14.25" customHeight="1" x14ac:dyDescent="0.25">
      <c r="A728" s="5"/>
      <c r="B728" s="6"/>
      <c r="C728" s="5"/>
      <c r="D728" s="7"/>
      <c r="E728" s="8"/>
      <c r="F728" s="3"/>
      <c r="H728" s="3"/>
      <c r="I728" s="3"/>
      <c r="J728" s="3"/>
      <c r="K728" s="3"/>
      <c r="L728" s="3"/>
      <c r="M728" s="9"/>
      <c r="N728" s="10"/>
    </row>
    <row r="729" spans="1:14" ht="14.25" customHeight="1" x14ac:dyDescent="0.25">
      <c r="A729" s="5"/>
      <c r="B729" s="6"/>
      <c r="C729" s="5"/>
      <c r="D729" s="7"/>
      <c r="E729" s="8"/>
      <c r="F729" s="3"/>
      <c r="H729" s="3"/>
      <c r="I729" s="3"/>
      <c r="J729" s="3"/>
      <c r="K729" s="3"/>
      <c r="L729" s="3"/>
      <c r="M729" s="9"/>
      <c r="N729" s="10"/>
    </row>
    <row r="730" spans="1:14" ht="14.25" customHeight="1" x14ac:dyDescent="0.25">
      <c r="A730" s="5"/>
      <c r="B730" s="6"/>
      <c r="C730" s="5"/>
      <c r="D730" s="7"/>
      <c r="E730" s="8"/>
      <c r="F730" s="3"/>
      <c r="H730" s="3"/>
      <c r="I730" s="3"/>
      <c r="J730" s="3"/>
      <c r="K730" s="3"/>
      <c r="L730" s="3"/>
      <c r="M730" s="9"/>
      <c r="N730" s="10"/>
    </row>
    <row r="731" spans="1:14" ht="14.25" customHeight="1" x14ac:dyDescent="0.25">
      <c r="A731" s="5"/>
      <c r="B731" s="6"/>
      <c r="C731" s="5"/>
      <c r="D731" s="7"/>
      <c r="E731" s="8"/>
      <c r="F731" s="3"/>
      <c r="H731" s="3"/>
      <c r="I731" s="3"/>
      <c r="J731" s="3"/>
      <c r="K731" s="3"/>
      <c r="L731" s="3"/>
      <c r="M731" s="9"/>
      <c r="N731" s="10"/>
    </row>
    <row r="732" spans="1:14" ht="14.25" customHeight="1" x14ac:dyDescent="0.25">
      <c r="A732" s="5"/>
      <c r="B732" s="6"/>
      <c r="C732" s="5"/>
      <c r="D732" s="7"/>
      <c r="E732" s="8"/>
      <c r="F732" s="3"/>
      <c r="H732" s="3"/>
      <c r="I732" s="3"/>
      <c r="J732" s="3"/>
      <c r="K732" s="3"/>
      <c r="L732" s="3"/>
      <c r="M732" s="9"/>
      <c r="N732" s="10"/>
    </row>
    <row r="733" spans="1:14" ht="14.25" customHeight="1" x14ac:dyDescent="0.25">
      <c r="A733" s="5"/>
      <c r="B733" s="6"/>
      <c r="C733" s="5"/>
      <c r="D733" s="7"/>
      <c r="E733" s="8"/>
      <c r="F733" s="3"/>
      <c r="H733" s="3"/>
      <c r="I733" s="3"/>
      <c r="J733" s="3"/>
      <c r="K733" s="3"/>
      <c r="L733" s="3"/>
      <c r="M733" s="9"/>
      <c r="N733" s="10"/>
    </row>
    <row r="734" spans="1:14" ht="14.25" customHeight="1" x14ac:dyDescent="0.25">
      <c r="A734" s="5"/>
      <c r="B734" s="6"/>
      <c r="C734" s="5"/>
      <c r="D734" s="7"/>
      <c r="E734" s="8"/>
      <c r="F734" s="3"/>
      <c r="H734" s="3"/>
      <c r="I734" s="3"/>
      <c r="J734" s="3"/>
      <c r="K734" s="3"/>
      <c r="L734" s="3"/>
      <c r="M734" s="9"/>
      <c r="N734" s="10"/>
    </row>
    <row r="735" spans="1:14" ht="14.25" customHeight="1" x14ac:dyDescent="0.25">
      <c r="A735" s="5"/>
      <c r="B735" s="6"/>
      <c r="C735" s="5"/>
      <c r="D735" s="7"/>
      <c r="E735" s="8"/>
      <c r="F735" s="3"/>
      <c r="H735" s="3"/>
      <c r="I735" s="3"/>
      <c r="J735" s="3"/>
      <c r="K735" s="3"/>
      <c r="L735" s="3"/>
      <c r="M735" s="9"/>
      <c r="N735" s="10"/>
    </row>
    <row r="736" spans="1:14" ht="14.25" customHeight="1" x14ac:dyDescent="0.25">
      <c r="A736" s="5"/>
      <c r="B736" s="6"/>
      <c r="C736" s="5"/>
      <c r="D736" s="7"/>
      <c r="E736" s="8"/>
      <c r="F736" s="3"/>
      <c r="H736" s="3"/>
      <c r="I736" s="3"/>
      <c r="J736" s="3"/>
      <c r="K736" s="3"/>
      <c r="L736" s="3"/>
      <c r="M736" s="9"/>
      <c r="N736" s="10"/>
    </row>
    <row r="737" spans="1:14" ht="14.25" customHeight="1" x14ac:dyDescent="0.25">
      <c r="A737" s="5"/>
      <c r="B737" s="6"/>
      <c r="C737" s="5"/>
      <c r="D737" s="7"/>
      <c r="E737" s="8"/>
      <c r="F737" s="3"/>
      <c r="H737" s="3"/>
      <c r="I737" s="3"/>
      <c r="J737" s="3"/>
      <c r="K737" s="3"/>
      <c r="L737" s="3"/>
      <c r="M737" s="9"/>
      <c r="N737" s="10"/>
    </row>
    <row r="738" spans="1:14" ht="14.25" customHeight="1" x14ac:dyDescent="0.25">
      <c r="A738" s="5"/>
      <c r="B738" s="6"/>
      <c r="C738" s="5"/>
      <c r="D738" s="7"/>
      <c r="E738" s="8"/>
      <c r="F738" s="3"/>
      <c r="H738" s="3"/>
      <c r="I738" s="3"/>
      <c r="J738" s="3"/>
      <c r="K738" s="3"/>
      <c r="L738" s="3"/>
      <c r="M738" s="9"/>
      <c r="N738" s="10"/>
    </row>
    <row r="739" spans="1:14" ht="14.25" customHeight="1" x14ac:dyDescent="0.25">
      <c r="A739" s="5"/>
      <c r="B739" s="6"/>
      <c r="C739" s="5"/>
      <c r="D739" s="7"/>
      <c r="E739" s="8"/>
      <c r="F739" s="3"/>
      <c r="H739" s="3"/>
      <c r="I739" s="3"/>
      <c r="J739" s="3"/>
      <c r="K739" s="3"/>
      <c r="L739" s="3"/>
      <c r="M739" s="9"/>
      <c r="N739" s="10"/>
    </row>
    <row r="740" spans="1:14" ht="14.25" customHeight="1" x14ac:dyDescent="0.25">
      <c r="A740" s="5"/>
      <c r="B740" s="6"/>
      <c r="C740" s="5"/>
      <c r="D740" s="7"/>
      <c r="E740" s="8"/>
      <c r="F740" s="3"/>
      <c r="H740" s="3"/>
      <c r="I740" s="3"/>
      <c r="J740" s="3"/>
      <c r="K740" s="3"/>
      <c r="L740" s="3"/>
      <c r="M740" s="9"/>
      <c r="N740" s="10"/>
    </row>
    <row r="741" spans="1:14" ht="14.25" customHeight="1" x14ac:dyDescent="0.25">
      <c r="A741" s="5"/>
      <c r="B741" s="6"/>
      <c r="C741" s="5"/>
      <c r="D741" s="7"/>
      <c r="E741" s="8"/>
      <c r="F741" s="3"/>
      <c r="H741" s="3"/>
      <c r="I741" s="3"/>
      <c r="J741" s="3"/>
      <c r="K741" s="3"/>
      <c r="L741" s="3"/>
      <c r="M741" s="9"/>
      <c r="N741" s="10"/>
    </row>
    <row r="742" spans="1:14" ht="14.25" customHeight="1" x14ac:dyDescent="0.25">
      <c r="A742" s="5"/>
      <c r="B742" s="6"/>
      <c r="C742" s="5"/>
      <c r="D742" s="7"/>
      <c r="E742" s="8"/>
      <c r="F742" s="3"/>
      <c r="H742" s="3"/>
      <c r="I742" s="3"/>
      <c r="J742" s="3"/>
      <c r="K742" s="3"/>
      <c r="L742" s="3"/>
      <c r="M742" s="9"/>
      <c r="N742" s="10"/>
    </row>
    <row r="743" spans="1:14" ht="14.25" customHeight="1" x14ac:dyDescent="0.25">
      <c r="A743" s="5"/>
      <c r="B743" s="6"/>
      <c r="C743" s="5"/>
      <c r="D743" s="7"/>
      <c r="E743" s="8"/>
      <c r="F743" s="3"/>
      <c r="H743" s="3"/>
      <c r="I743" s="3"/>
      <c r="J743" s="3"/>
      <c r="K743" s="3"/>
      <c r="L743" s="3"/>
      <c r="M743" s="9"/>
      <c r="N743" s="10"/>
    </row>
    <row r="744" spans="1:14" ht="14.25" customHeight="1" x14ac:dyDescent="0.25">
      <c r="A744" s="5"/>
      <c r="B744" s="6"/>
      <c r="C744" s="5"/>
      <c r="D744" s="7"/>
      <c r="E744" s="8"/>
      <c r="F744" s="3"/>
      <c r="H744" s="3"/>
      <c r="I744" s="3"/>
      <c r="J744" s="3"/>
      <c r="K744" s="3"/>
      <c r="L744" s="3"/>
      <c r="M744" s="9"/>
      <c r="N744" s="10"/>
    </row>
    <row r="745" spans="1:14" ht="14.25" customHeight="1" x14ac:dyDescent="0.25">
      <c r="A745" s="5"/>
      <c r="B745" s="6"/>
      <c r="C745" s="5"/>
      <c r="D745" s="7"/>
      <c r="E745" s="8"/>
      <c r="F745" s="3"/>
      <c r="H745" s="3"/>
      <c r="I745" s="3"/>
      <c r="J745" s="3"/>
      <c r="K745" s="3"/>
      <c r="L745" s="3"/>
      <c r="M745" s="9"/>
      <c r="N745" s="10"/>
    </row>
    <row r="746" spans="1:14" ht="14.25" customHeight="1" x14ac:dyDescent="0.25">
      <c r="A746" s="5"/>
      <c r="B746" s="6"/>
      <c r="C746" s="5"/>
      <c r="D746" s="7"/>
      <c r="E746" s="8"/>
      <c r="F746" s="3"/>
      <c r="H746" s="3"/>
      <c r="I746" s="3"/>
      <c r="J746" s="3"/>
      <c r="K746" s="3"/>
      <c r="L746" s="3"/>
      <c r="M746" s="9"/>
      <c r="N746" s="10"/>
    </row>
    <row r="747" spans="1:14" ht="14.25" customHeight="1" x14ac:dyDescent="0.25">
      <c r="A747" s="5"/>
      <c r="B747" s="6"/>
      <c r="C747" s="5"/>
      <c r="D747" s="7"/>
      <c r="E747" s="8"/>
      <c r="F747" s="3"/>
      <c r="H747" s="3"/>
      <c r="I747" s="3"/>
      <c r="J747" s="3"/>
      <c r="K747" s="3"/>
      <c r="L747" s="3"/>
      <c r="M747" s="9"/>
      <c r="N747" s="10"/>
    </row>
    <row r="748" spans="1:14" ht="14.25" customHeight="1" x14ac:dyDescent="0.25">
      <c r="A748" s="5"/>
      <c r="B748" s="6"/>
      <c r="C748" s="5"/>
      <c r="D748" s="7"/>
      <c r="E748" s="8"/>
      <c r="F748" s="3"/>
      <c r="H748" s="3"/>
      <c r="I748" s="3"/>
      <c r="J748" s="3"/>
      <c r="K748" s="3"/>
      <c r="L748" s="3"/>
      <c r="M748" s="9"/>
      <c r="N748" s="10"/>
    </row>
    <row r="749" spans="1:14" ht="14.25" customHeight="1" x14ac:dyDescent="0.25">
      <c r="A749" s="5"/>
      <c r="B749" s="6"/>
      <c r="C749" s="5"/>
      <c r="D749" s="7"/>
      <c r="E749" s="8"/>
      <c r="F749" s="3"/>
      <c r="H749" s="3"/>
      <c r="I749" s="3"/>
      <c r="J749" s="3"/>
      <c r="K749" s="3"/>
      <c r="L749" s="3"/>
      <c r="M749" s="9"/>
      <c r="N749" s="10"/>
    </row>
    <row r="750" spans="1:14" ht="14.25" customHeight="1" x14ac:dyDescent="0.25">
      <c r="A750" s="5"/>
      <c r="B750" s="6"/>
      <c r="C750" s="5"/>
      <c r="D750" s="7"/>
      <c r="E750" s="8"/>
      <c r="F750" s="3"/>
      <c r="H750" s="3"/>
      <c r="I750" s="3"/>
      <c r="J750" s="3"/>
      <c r="K750" s="3"/>
      <c r="L750" s="3"/>
      <c r="M750" s="9"/>
      <c r="N750" s="10"/>
    </row>
    <row r="751" spans="1:14" ht="14.25" customHeight="1" x14ac:dyDescent="0.25">
      <c r="A751" s="5"/>
      <c r="B751" s="6"/>
      <c r="C751" s="5"/>
      <c r="D751" s="7"/>
      <c r="E751" s="8"/>
      <c r="F751" s="3"/>
      <c r="H751" s="3"/>
      <c r="I751" s="3"/>
      <c r="J751" s="3"/>
      <c r="K751" s="3"/>
      <c r="L751" s="3"/>
      <c r="M751" s="9"/>
      <c r="N751" s="10"/>
    </row>
    <row r="752" spans="1:14" ht="14.25" customHeight="1" x14ac:dyDescent="0.25">
      <c r="A752" s="5"/>
      <c r="B752" s="6"/>
      <c r="C752" s="5"/>
      <c r="D752" s="7"/>
      <c r="E752" s="8"/>
      <c r="F752" s="3"/>
      <c r="H752" s="3"/>
      <c r="I752" s="3"/>
      <c r="J752" s="3"/>
      <c r="K752" s="3"/>
      <c r="L752" s="3"/>
      <c r="M752" s="9"/>
      <c r="N752" s="10"/>
    </row>
    <row r="753" spans="1:14" ht="14.25" customHeight="1" x14ac:dyDescent="0.25">
      <c r="A753" s="5"/>
      <c r="B753" s="6"/>
      <c r="C753" s="5"/>
      <c r="D753" s="7"/>
      <c r="E753" s="8"/>
      <c r="F753" s="3"/>
      <c r="H753" s="3"/>
      <c r="I753" s="3"/>
      <c r="J753" s="3"/>
      <c r="K753" s="3"/>
      <c r="L753" s="3"/>
      <c r="M753" s="9"/>
      <c r="N753" s="10"/>
    </row>
    <row r="754" spans="1:14" ht="14.25" customHeight="1" x14ac:dyDescent="0.25">
      <c r="A754" s="5"/>
      <c r="B754" s="6"/>
      <c r="C754" s="5"/>
      <c r="D754" s="7"/>
      <c r="E754" s="8"/>
      <c r="F754" s="3"/>
      <c r="H754" s="3"/>
      <c r="I754" s="3"/>
      <c r="J754" s="3"/>
      <c r="K754" s="3"/>
      <c r="L754" s="3"/>
      <c r="M754" s="9"/>
      <c r="N754" s="10"/>
    </row>
    <row r="755" spans="1:14" ht="14.25" customHeight="1" x14ac:dyDescent="0.25">
      <c r="A755" s="5"/>
      <c r="B755" s="6"/>
      <c r="C755" s="5"/>
      <c r="D755" s="7"/>
      <c r="E755" s="8"/>
      <c r="F755" s="3"/>
      <c r="H755" s="3"/>
      <c r="I755" s="3"/>
      <c r="J755" s="3"/>
      <c r="K755" s="3"/>
      <c r="L755" s="3"/>
      <c r="M755" s="9"/>
      <c r="N755" s="10"/>
    </row>
    <row r="756" spans="1:14" ht="14.25" customHeight="1" x14ac:dyDescent="0.25">
      <c r="A756" s="5"/>
      <c r="B756" s="6"/>
      <c r="C756" s="5"/>
      <c r="D756" s="7"/>
      <c r="E756" s="8"/>
      <c r="F756" s="3"/>
      <c r="H756" s="3"/>
      <c r="I756" s="3"/>
      <c r="J756" s="3"/>
      <c r="K756" s="3"/>
      <c r="L756" s="3"/>
      <c r="M756" s="9"/>
      <c r="N756" s="10"/>
    </row>
    <row r="757" spans="1:14" ht="14.25" customHeight="1" x14ac:dyDescent="0.25">
      <c r="A757" s="5"/>
      <c r="B757" s="6"/>
      <c r="C757" s="5"/>
      <c r="D757" s="7"/>
      <c r="E757" s="8"/>
      <c r="F757" s="3"/>
      <c r="H757" s="3"/>
      <c r="I757" s="3"/>
      <c r="J757" s="3"/>
      <c r="K757" s="3"/>
      <c r="L757" s="3"/>
      <c r="M757" s="9"/>
      <c r="N757" s="10"/>
    </row>
    <row r="758" spans="1:14" ht="14.25" customHeight="1" x14ac:dyDescent="0.25">
      <c r="A758" s="5"/>
      <c r="B758" s="6"/>
      <c r="C758" s="5"/>
      <c r="D758" s="7"/>
      <c r="E758" s="8"/>
      <c r="F758" s="3"/>
      <c r="H758" s="3"/>
      <c r="I758" s="3"/>
      <c r="J758" s="3"/>
      <c r="K758" s="3"/>
      <c r="L758" s="3"/>
      <c r="M758" s="9"/>
      <c r="N758" s="10"/>
    </row>
    <row r="759" spans="1:14" ht="14.25" customHeight="1" x14ac:dyDescent="0.25">
      <c r="A759" s="5"/>
      <c r="B759" s="6"/>
      <c r="C759" s="5"/>
      <c r="D759" s="7"/>
      <c r="E759" s="8"/>
      <c r="F759" s="3"/>
      <c r="H759" s="3"/>
      <c r="I759" s="3"/>
      <c r="J759" s="3"/>
      <c r="K759" s="3"/>
      <c r="L759" s="3"/>
      <c r="M759" s="9"/>
      <c r="N759" s="10"/>
    </row>
    <row r="760" spans="1:14" ht="14.25" customHeight="1" x14ac:dyDescent="0.25">
      <c r="A760" s="5"/>
      <c r="B760" s="6"/>
      <c r="C760" s="5"/>
      <c r="D760" s="7"/>
      <c r="E760" s="8"/>
      <c r="F760" s="3"/>
      <c r="H760" s="3"/>
      <c r="I760" s="3"/>
      <c r="J760" s="3"/>
      <c r="K760" s="3"/>
      <c r="L760" s="3"/>
      <c r="M760" s="9"/>
      <c r="N760" s="10"/>
    </row>
    <row r="761" spans="1:14" ht="14.25" customHeight="1" x14ac:dyDescent="0.25">
      <c r="A761" s="5"/>
      <c r="B761" s="6"/>
      <c r="C761" s="5"/>
      <c r="D761" s="7"/>
      <c r="E761" s="8"/>
      <c r="F761" s="3"/>
      <c r="H761" s="3"/>
      <c r="I761" s="3"/>
      <c r="J761" s="3"/>
      <c r="K761" s="3"/>
      <c r="L761" s="3"/>
      <c r="M761" s="9"/>
      <c r="N761" s="10"/>
    </row>
    <row r="762" spans="1:14" ht="14.25" customHeight="1" x14ac:dyDescent="0.25">
      <c r="A762" s="5"/>
      <c r="B762" s="6"/>
      <c r="C762" s="5"/>
      <c r="D762" s="7"/>
      <c r="E762" s="8"/>
      <c r="F762" s="3"/>
      <c r="H762" s="3"/>
      <c r="I762" s="3"/>
      <c r="J762" s="3"/>
      <c r="K762" s="3"/>
      <c r="L762" s="3"/>
      <c r="M762" s="9"/>
      <c r="N762" s="10"/>
    </row>
    <row r="763" spans="1:14" ht="14.25" customHeight="1" x14ac:dyDescent="0.25">
      <c r="A763" s="5"/>
      <c r="B763" s="6"/>
      <c r="C763" s="5"/>
      <c r="D763" s="7"/>
      <c r="E763" s="8"/>
      <c r="F763" s="3"/>
      <c r="H763" s="3"/>
      <c r="I763" s="3"/>
      <c r="J763" s="3"/>
      <c r="K763" s="3"/>
      <c r="L763" s="3"/>
      <c r="M763" s="9"/>
      <c r="N763" s="10"/>
    </row>
    <row r="764" spans="1:14" ht="14.25" customHeight="1" x14ac:dyDescent="0.25">
      <c r="A764" s="5"/>
      <c r="B764" s="6"/>
      <c r="C764" s="5"/>
      <c r="D764" s="7"/>
      <c r="E764" s="8"/>
      <c r="F764" s="3"/>
      <c r="H764" s="3"/>
      <c r="I764" s="3"/>
      <c r="J764" s="3"/>
      <c r="K764" s="3"/>
      <c r="L764" s="3"/>
      <c r="M764" s="9"/>
      <c r="N764" s="10"/>
    </row>
    <row r="765" spans="1:14" ht="14.25" customHeight="1" x14ac:dyDescent="0.25">
      <c r="A765" s="5"/>
      <c r="B765" s="6"/>
      <c r="C765" s="5"/>
      <c r="D765" s="7"/>
      <c r="E765" s="8"/>
      <c r="F765" s="3"/>
      <c r="H765" s="3"/>
      <c r="I765" s="3"/>
      <c r="J765" s="3"/>
      <c r="K765" s="3"/>
      <c r="L765" s="3"/>
      <c r="M765" s="9"/>
      <c r="N765" s="10"/>
    </row>
    <row r="766" spans="1:14" ht="14.25" customHeight="1" x14ac:dyDescent="0.25">
      <c r="A766" s="5"/>
      <c r="B766" s="6"/>
      <c r="C766" s="5"/>
      <c r="D766" s="7"/>
      <c r="E766" s="8"/>
      <c r="F766" s="3"/>
      <c r="H766" s="3"/>
      <c r="I766" s="3"/>
      <c r="J766" s="3"/>
      <c r="K766" s="3"/>
      <c r="L766" s="3"/>
      <c r="M766" s="9"/>
      <c r="N766" s="10"/>
    </row>
    <row r="767" spans="1:14" ht="14.25" customHeight="1" x14ac:dyDescent="0.25">
      <c r="A767" s="5"/>
      <c r="B767" s="6"/>
      <c r="C767" s="5"/>
      <c r="D767" s="7"/>
      <c r="E767" s="8"/>
      <c r="F767" s="3"/>
      <c r="H767" s="3"/>
      <c r="I767" s="3"/>
      <c r="J767" s="3"/>
      <c r="K767" s="3"/>
      <c r="L767" s="3"/>
      <c r="M767" s="9"/>
      <c r="N767" s="10"/>
    </row>
    <row r="768" spans="1:14" ht="14.25" customHeight="1" x14ac:dyDescent="0.25">
      <c r="A768" s="5"/>
      <c r="B768" s="6"/>
      <c r="C768" s="5"/>
      <c r="D768" s="7"/>
      <c r="E768" s="8"/>
      <c r="F768" s="3"/>
      <c r="H768" s="3"/>
      <c r="I768" s="3"/>
      <c r="J768" s="3"/>
      <c r="K768" s="3"/>
      <c r="L768" s="3"/>
      <c r="M768" s="9"/>
      <c r="N768" s="10"/>
    </row>
    <row r="769" spans="1:14" ht="14.25" customHeight="1" x14ac:dyDescent="0.25">
      <c r="A769" s="5"/>
      <c r="B769" s="6"/>
      <c r="C769" s="5"/>
      <c r="D769" s="7"/>
      <c r="E769" s="8"/>
      <c r="F769" s="3"/>
      <c r="H769" s="3"/>
      <c r="I769" s="3"/>
      <c r="J769" s="3"/>
      <c r="K769" s="3"/>
      <c r="L769" s="3"/>
      <c r="M769" s="9"/>
      <c r="N769" s="10"/>
    </row>
    <row r="770" spans="1:14" ht="14.25" customHeight="1" x14ac:dyDescent="0.25">
      <c r="A770" s="5"/>
      <c r="B770" s="6"/>
      <c r="C770" s="5"/>
      <c r="D770" s="7"/>
      <c r="E770" s="8"/>
      <c r="F770" s="3"/>
      <c r="H770" s="3"/>
      <c r="I770" s="3"/>
      <c r="J770" s="3"/>
      <c r="K770" s="3"/>
      <c r="L770" s="3"/>
      <c r="M770" s="9"/>
      <c r="N770" s="10"/>
    </row>
    <row r="771" spans="1:14" ht="14.25" customHeight="1" x14ac:dyDescent="0.25">
      <c r="A771" s="5"/>
      <c r="B771" s="6"/>
      <c r="C771" s="5"/>
      <c r="D771" s="7"/>
      <c r="E771" s="8"/>
      <c r="F771" s="3"/>
      <c r="H771" s="3"/>
      <c r="I771" s="3"/>
      <c r="J771" s="3"/>
      <c r="K771" s="3"/>
      <c r="L771" s="3"/>
      <c r="M771" s="9"/>
      <c r="N771" s="10"/>
    </row>
    <row r="772" spans="1:14" ht="14.25" customHeight="1" x14ac:dyDescent="0.25">
      <c r="A772" s="5"/>
      <c r="B772" s="6"/>
      <c r="C772" s="5"/>
      <c r="D772" s="7"/>
      <c r="E772" s="8"/>
      <c r="F772" s="3"/>
      <c r="H772" s="3"/>
      <c r="I772" s="3"/>
      <c r="J772" s="3"/>
      <c r="K772" s="3"/>
      <c r="L772" s="3"/>
      <c r="M772" s="9"/>
      <c r="N772" s="10"/>
    </row>
    <row r="773" spans="1:14" ht="14.25" customHeight="1" x14ac:dyDescent="0.25">
      <c r="A773" s="5"/>
      <c r="B773" s="6"/>
      <c r="C773" s="5"/>
      <c r="D773" s="7"/>
      <c r="E773" s="8"/>
      <c r="F773" s="3"/>
      <c r="H773" s="3"/>
      <c r="I773" s="3"/>
      <c r="J773" s="3"/>
      <c r="K773" s="3"/>
      <c r="L773" s="3"/>
      <c r="M773" s="9"/>
      <c r="N773" s="10"/>
    </row>
    <row r="774" spans="1:14" ht="14.25" customHeight="1" x14ac:dyDescent="0.25">
      <c r="A774" s="5"/>
      <c r="B774" s="6"/>
      <c r="C774" s="5"/>
      <c r="D774" s="7"/>
      <c r="E774" s="8"/>
      <c r="F774" s="3"/>
      <c r="H774" s="3"/>
      <c r="I774" s="3"/>
      <c r="J774" s="3"/>
      <c r="K774" s="3"/>
      <c r="L774" s="3"/>
      <c r="M774" s="9"/>
      <c r="N774" s="10"/>
    </row>
    <row r="775" spans="1:14" ht="14.25" customHeight="1" x14ac:dyDescent="0.25">
      <c r="A775" s="5"/>
      <c r="B775" s="6"/>
      <c r="C775" s="5"/>
      <c r="D775" s="7"/>
      <c r="E775" s="8"/>
      <c r="F775" s="3"/>
      <c r="H775" s="3"/>
      <c r="I775" s="3"/>
      <c r="J775" s="3"/>
      <c r="K775" s="3"/>
      <c r="L775" s="3"/>
      <c r="M775" s="9"/>
      <c r="N775" s="10"/>
    </row>
    <row r="776" spans="1:14" ht="14.25" customHeight="1" x14ac:dyDescent="0.25">
      <c r="A776" s="5"/>
      <c r="B776" s="6"/>
      <c r="C776" s="5"/>
      <c r="D776" s="7"/>
      <c r="E776" s="8"/>
      <c r="F776" s="3"/>
      <c r="H776" s="3"/>
      <c r="I776" s="3"/>
      <c r="J776" s="3"/>
      <c r="K776" s="3"/>
      <c r="L776" s="3"/>
      <c r="M776" s="9"/>
      <c r="N776" s="10"/>
    </row>
    <row r="777" spans="1:14" ht="14.25" customHeight="1" x14ac:dyDescent="0.25">
      <c r="A777" s="5"/>
      <c r="B777" s="6"/>
      <c r="C777" s="5"/>
      <c r="D777" s="7"/>
      <c r="E777" s="8"/>
      <c r="F777" s="3"/>
      <c r="H777" s="3"/>
      <c r="I777" s="3"/>
      <c r="J777" s="3"/>
      <c r="K777" s="3"/>
      <c r="L777" s="3"/>
      <c r="M777" s="9"/>
      <c r="N777" s="10"/>
    </row>
    <row r="778" spans="1:14" ht="14.25" customHeight="1" x14ac:dyDescent="0.25">
      <c r="A778" s="5"/>
      <c r="B778" s="6"/>
      <c r="C778" s="5"/>
      <c r="D778" s="7"/>
      <c r="E778" s="8"/>
      <c r="F778" s="3"/>
      <c r="H778" s="3"/>
      <c r="I778" s="3"/>
      <c r="J778" s="3"/>
      <c r="K778" s="3"/>
      <c r="L778" s="3"/>
      <c r="M778" s="9"/>
      <c r="N778" s="10"/>
    </row>
    <row r="779" spans="1:14" ht="14.25" customHeight="1" x14ac:dyDescent="0.25">
      <c r="A779" s="5"/>
      <c r="B779" s="6"/>
      <c r="C779" s="5"/>
      <c r="D779" s="7"/>
      <c r="E779" s="8"/>
      <c r="F779" s="3"/>
      <c r="H779" s="3"/>
      <c r="I779" s="3"/>
      <c r="J779" s="3"/>
      <c r="K779" s="3"/>
      <c r="L779" s="3"/>
      <c r="M779" s="9"/>
      <c r="N779" s="10"/>
    </row>
    <row r="780" spans="1:14" ht="14.25" customHeight="1" x14ac:dyDescent="0.25">
      <c r="A780" s="5"/>
      <c r="B780" s="6"/>
      <c r="C780" s="5"/>
      <c r="D780" s="7"/>
      <c r="E780" s="8"/>
      <c r="F780" s="3"/>
      <c r="H780" s="3"/>
      <c r="I780" s="3"/>
      <c r="J780" s="3"/>
      <c r="K780" s="3"/>
      <c r="L780" s="3"/>
      <c r="M780" s="9"/>
      <c r="N780" s="10"/>
    </row>
    <row r="781" spans="1:14" ht="14.25" customHeight="1" x14ac:dyDescent="0.25">
      <c r="A781" s="5"/>
      <c r="B781" s="6"/>
      <c r="C781" s="5"/>
      <c r="D781" s="7"/>
      <c r="E781" s="8"/>
      <c r="F781" s="3"/>
      <c r="H781" s="3"/>
      <c r="I781" s="3"/>
      <c r="J781" s="3"/>
      <c r="K781" s="3"/>
      <c r="L781" s="3"/>
      <c r="M781" s="9"/>
      <c r="N781" s="10"/>
    </row>
    <row r="782" spans="1:14" ht="14.25" customHeight="1" x14ac:dyDescent="0.25">
      <c r="A782" s="5"/>
      <c r="B782" s="6"/>
      <c r="C782" s="5"/>
      <c r="D782" s="7"/>
      <c r="E782" s="8"/>
      <c r="F782" s="3"/>
      <c r="H782" s="3"/>
      <c r="I782" s="3"/>
      <c r="J782" s="3"/>
      <c r="K782" s="3"/>
      <c r="L782" s="3"/>
      <c r="M782" s="9"/>
      <c r="N782" s="10"/>
    </row>
    <row r="783" spans="1:14" ht="14.25" customHeight="1" x14ac:dyDescent="0.25">
      <c r="A783" s="5"/>
      <c r="B783" s="6"/>
      <c r="C783" s="5"/>
      <c r="D783" s="7"/>
      <c r="E783" s="8"/>
      <c r="F783" s="3"/>
      <c r="H783" s="3"/>
      <c r="I783" s="3"/>
      <c r="J783" s="3"/>
      <c r="K783" s="3"/>
      <c r="L783" s="3"/>
      <c r="M783" s="9"/>
      <c r="N783" s="10"/>
    </row>
    <row r="784" spans="1:14" ht="14.25" customHeight="1" x14ac:dyDescent="0.25">
      <c r="A784" s="5"/>
      <c r="B784" s="6"/>
      <c r="C784" s="5"/>
      <c r="D784" s="7"/>
      <c r="E784" s="8"/>
      <c r="F784" s="3"/>
      <c r="H784" s="3"/>
      <c r="I784" s="3"/>
      <c r="J784" s="3"/>
      <c r="K784" s="3"/>
      <c r="L784" s="3"/>
      <c r="M784" s="9"/>
      <c r="N784" s="10"/>
    </row>
    <row r="785" spans="1:14" ht="14.25" customHeight="1" x14ac:dyDescent="0.25">
      <c r="A785" s="5"/>
      <c r="B785" s="6"/>
      <c r="C785" s="5"/>
      <c r="D785" s="7"/>
      <c r="E785" s="8"/>
      <c r="F785" s="3"/>
      <c r="H785" s="3"/>
      <c r="I785" s="3"/>
      <c r="J785" s="3"/>
      <c r="K785" s="3"/>
      <c r="L785" s="3"/>
      <c r="M785" s="9"/>
      <c r="N785" s="10"/>
    </row>
    <row r="786" spans="1:14" ht="14.25" customHeight="1" x14ac:dyDescent="0.25">
      <c r="A786" s="5"/>
      <c r="B786" s="6"/>
      <c r="C786" s="5"/>
      <c r="D786" s="7"/>
      <c r="E786" s="8"/>
      <c r="F786" s="3"/>
      <c r="H786" s="3"/>
      <c r="I786" s="3"/>
      <c r="J786" s="3"/>
      <c r="K786" s="3"/>
      <c r="L786" s="3"/>
      <c r="M786" s="9"/>
      <c r="N786" s="10"/>
    </row>
    <row r="787" spans="1:14" ht="14.25" customHeight="1" x14ac:dyDescent="0.25">
      <c r="A787" s="5"/>
      <c r="B787" s="6"/>
      <c r="C787" s="5"/>
      <c r="D787" s="7"/>
      <c r="E787" s="8"/>
      <c r="F787" s="3"/>
      <c r="H787" s="3"/>
      <c r="I787" s="3"/>
      <c r="J787" s="3"/>
      <c r="K787" s="3"/>
      <c r="L787" s="3"/>
      <c r="M787" s="9"/>
      <c r="N787" s="10"/>
    </row>
    <row r="788" spans="1:14" ht="14.25" customHeight="1" x14ac:dyDescent="0.25">
      <c r="A788" s="5"/>
      <c r="B788" s="6"/>
      <c r="C788" s="5"/>
      <c r="D788" s="7"/>
      <c r="E788" s="8"/>
      <c r="F788" s="3"/>
      <c r="H788" s="3"/>
      <c r="I788" s="3"/>
      <c r="J788" s="3"/>
      <c r="K788" s="3"/>
      <c r="L788" s="3"/>
      <c r="M788" s="9"/>
      <c r="N788" s="10"/>
    </row>
    <row r="789" spans="1:14" ht="14.25" customHeight="1" x14ac:dyDescent="0.25">
      <c r="A789" s="5"/>
      <c r="B789" s="6"/>
      <c r="C789" s="5"/>
      <c r="D789" s="7"/>
      <c r="E789" s="8"/>
      <c r="F789" s="3"/>
      <c r="H789" s="3"/>
      <c r="I789" s="3"/>
      <c r="J789" s="3"/>
      <c r="K789" s="3"/>
      <c r="L789" s="3"/>
      <c r="M789" s="9"/>
      <c r="N789" s="10"/>
    </row>
    <row r="790" spans="1:14" ht="14.25" customHeight="1" x14ac:dyDescent="0.25">
      <c r="A790" s="5"/>
      <c r="B790" s="6"/>
      <c r="C790" s="5"/>
      <c r="D790" s="7"/>
      <c r="E790" s="8"/>
      <c r="F790" s="3"/>
      <c r="H790" s="3"/>
      <c r="I790" s="3"/>
      <c r="J790" s="3"/>
      <c r="K790" s="3"/>
      <c r="L790" s="3"/>
      <c r="M790" s="9"/>
      <c r="N790" s="10"/>
    </row>
    <row r="791" spans="1:14" ht="14.25" customHeight="1" x14ac:dyDescent="0.25">
      <c r="A791" s="5"/>
      <c r="B791" s="6"/>
      <c r="C791" s="5"/>
      <c r="D791" s="7"/>
      <c r="E791" s="8"/>
      <c r="F791" s="3"/>
      <c r="H791" s="3"/>
      <c r="I791" s="3"/>
      <c r="J791" s="3"/>
      <c r="K791" s="3"/>
      <c r="L791" s="3"/>
      <c r="M791" s="9"/>
      <c r="N791" s="10"/>
    </row>
    <row r="792" spans="1:14" ht="14.25" customHeight="1" x14ac:dyDescent="0.25">
      <c r="A792" s="5"/>
      <c r="B792" s="6"/>
      <c r="C792" s="5"/>
      <c r="D792" s="7"/>
      <c r="E792" s="8"/>
      <c r="F792" s="3"/>
      <c r="H792" s="3"/>
      <c r="I792" s="3"/>
      <c r="J792" s="3"/>
      <c r="K792" s="3"/>
      <c r="L792" s="3"/>
      <c r="M792" s="9"/>
      <c r="N792" s="10"/>
    </row>
    <row r="793" spans="1:14" ht="14.25" customHeight="1" x14ac:dyDescent="0.25">
      <c r="A793" s="5"/>
      <c r="B793" s="6"/>
      <c r="C793" s="5"/>
      <c r="D793" s="7"/>
      <c r="E793" s="8"/>
      <c r="F793" s="3"/>
      <c r="H793" s="3"/>
      <c r="I793" s="3"/>
      <c r="J793" s="3"/>
      <c r="K793" s="3"/>
      <c r="L793" s="3"/>
      <c r="M793" s="9"/>
      <c r="N793" s="10"/>
    </row>
    <row r="794" spans="1:14" ht="14.25" customHeight="1" x14ac:dyDescent="0.25">
      <c r="A794" s="5"/>
      <c r="B794" s="6"/>
      <c r="C794" s="5"/>
      <c r="D794" s="7"/>
      <c r="E794" s="8"/>
      <c r="F794" s="3"/>
      <c r="H794" s="3"/>
      <c r="I794" s="3"/>
      <c r="J794" s="3"/>
      <c r="K794" s="3"/>
      <c r="L794" s="3"/>
      <c r="M794" s="9"/>
      <c r="N794" s="10"/>
    </row>
    <row r="795" spans="1:14" ht="14.25" customHeight="1" x14ac:dyDescent="0.25">
      <c r="A795" s="5"/>
      <c r="B795" s="6"/>
      <c r="C795" s="5"/>
      <c r="D795" s="7"/>
      <c r="E795" s="8"/>
      <c r="F795" s="3"/>
      <c r="H795" s="3"/>
      <c r="I795" s="3"/>
      <c r="J795" s="3"/>
      <c r="K795" s="3"/>
      <c r="L795" s="3"/>
      <c r="M795" s="9"/>
      <c r="N795" s="10"/>
    </row>
    <row r="796" spans="1:14" ht="14.25" customHeight="1" x14ac:dyDescent="0.25">
      <c r="A796" s="5"/>
      <c r="B796" s="6"/>
      <c r="C796" s="5"/>
      <c r="D796" s="7"/>
      <c r="E796" s="8"/>
      <c r="F796" s="3"/>
      <c r="H796" s="3"/>
      <c r="I796" s="3"/>
      <c r="J796" s="3"/>
      <c r="K796" s="3"/>
      <c r="L796" s="3"/>
      <c r="M796" s="9"/>
      <c r="N796" s="10"/>
    </row>
    <row r="797" spans="1:14" ht="14.25" customHeight="1" x14ac:dyDescent="0.25">
      <c r="A797" s="5"/>
      <c r="B797" s="6"/>
      <c r="C797" s="5"/>
      <c r="D797" s="7"/>
      <c r="E797" s="8"/>
      <c r="F797" s="3"/>
      <c r="H797" s="3"/>
      <c r="I797" s="3"/>
      <c r="J797" s="3"/>
      <c r="K797" s="3"/>
      <c r="L797" s="3"/>
      <c r="M797" s="9"/>
      <c r="N797" s="10"/>
    </row>
    <row r="798" spans="1:14" ht="14.25" customHeight="1" x14ac:dyDescent="0.25">
      <c r="A798" s="5"/>
      <c r="B798" s="6"/>
      <c r="C798" s="5"/>
      <c r="D798" s="7"/>
      <c r="E798" s="8"/>
      <c r="F798" s="3"/>
      <c r="H798" s="3"/>
      <c r="I798" s="3"/>
      <c r="J798" s="3"/>
      <c r="K798" s="3"/>
      <c r="L798" s="3"/>
      <c r="M798" s="9"/>
      <c r="N798" s="10"/>
    </row>
    <row r="799" spans="1:14" ht="14.25" customHeight="1" x14ac:dyDescent="0.25">
      <c r="A799" s="5"/>
      <c r="B799" s="6"/>
      <c r="C799" s="5"/>
      <c r="D799" s="7"/>
      <c r="E799" s="8"/>
      <c r="F799" s="3"/>
      <c r="H799" s="3"/>
      <c r="I799" s="3"/>
      <c r="J799" s="3"/>
      <c r="K799" s="3"/>
      <c r="L799" s="3"/>
      <c r="M799" s="9"/>
      <c r="N799" s="10"/>
    </row>
    <row r="800" spans="1:14" ht="14.25" customHeight="1" x14ac:dyDescent="0.25">
      <c r="A800" s="5"/>
      <c r="B800" s="6"/>
      <c r="C800" s="5"/>
      <c r="D800" s="7"/>
      <c r="E800" s="8"/>
      <c r="F800" s="3"/>
      <c r="H800" s="3"/>
      <c r="I800" s="3"/>
      <c r="J800" s="3"/>
      <c r="K800" s="3"/>
      <c r="L800" s="3"/>
      <c r="M800" s="9"/>
      <c r="N800" s="10"/>
    </row>
    <row r="801" spans="1:14" ht="14.25" customHeight="1" x14ac:dyDescent="0.25">
      <c r="A801" s="5"/>
      <c r="B801" s="6"/>
      <c r="C801" s="5"/>
      <c r="D801" s="7"/>
      <c r="E801" s="8"/>
      <c r="F801" s="3"/>
      <c r="H801" s="3"/>
      <c r="I801" s="3"/>
      <c r="J801" s="3"/>
      <c r="K801" s="3"/>
      <c r="L801" s="3"/>
      <c r="M801" s="9"/>
      <c r="N801" s="10"/>
    </row>
    <row r="802" spans="1:14" ht="14.25" customHeight="1" x14ac:dyDescent="0.25">
      <c r="A802" s="5"/>
      <c r="B802" s="6"/>
      <c r="C802" s="5"/>
      <c r="D802" s="7"/>
      <c r="E802" s="8"/>
      <c r="F802" s="3"/>
      <c r="H802" s="3"/>
      <c r="I802" s="3"/>
      <c r="J802" s="3"/>
      <c r="K802" s="3"/>
      <c r="L802" s="3"/>
      <c r="M802" s="9"/>
      <c r="N802" s="10"/>
    </row>
    <row r="803" spans="1:14" ht="14.25" customHeight="1" x14ac:dyDescent="0.25">
      <c r="A803" s="5"/>
      <c r="B803" s="6"/>
      <c r="C803" s="5"/>
      <c r="D803" s="7"/>
      <c r="E803" s="8"/>
      <c r="F803" s="3"/>
      <c r="H803" s="3"/>
      <c r="I803" s="3"/>
      <c r="J803" s="3"/>
      <c r="K803" s="3"/>
      <c r="L803" s="3"/>
      <c r="M803" s="9"/>
      <c r="N803" s="10"/>
    </row>
    <row r="804" spans="1:14" ht="14.25" customHeight="1" x14ac:dyDescent="0.25">
      <c r="A804" s="5"/>
      <c r="B804" s="6"/>
      <c r="C804" s="5"/>
      <c r="D804" s="7"/>
      <c r="E804" s="8"/>
      <c r="F804" s="3"/>
      <c r="H804" s="3"/>
      <c r="I804" s="3"/>
      <c r="J804" s="3"/>
      <c r="K804" s="3"/>
      <c r="L804" s="3"/>
      <c r="M804" s="9"/>
      <c r="N804" s="10"/>
    </row>
    <row r="805" spans="1:14" ht="14.25" customHeight="1" x14ac:dyDescent="0.25">
      <c r="A805" s="5"/>
      <c r="B805" s="6"/>
      <c r="C805" s="5"/>
      <c r="D805" s="7"/>
      <c r="E805" s="8"/>
      <c r="F805" s="3"/>
      <c r="H805" s="3"/>
      <c r="I805" s="3"/>
      <c r="J805" s="3"/>
      <c r="K805" s="3"/>
      <c r="L805" s="3"/>
      <c r="M805" s="9"/>
      <c r="N805" s="10"/>
    </row>
    <row r="806" spans="1:14" ht="14.25" customHeight="1" x14ac:dyDescent="0.25">
      <c r="A806" s="5"/>
      <c r="B806" s="6"/>
      <c r="C806" s="5"/>
      <c r="D806" s="7"/>
      <c r="E806" s="8"/>
      <c r="F806" s="3"/>
      <c r="H806" s="3"/>
      <c r="I806" s="3"/>
      <c r="J806" s="3"/>
      <c r="K806" s="3"/>
      <c r="L806" s="3"/>
      <c r="M806" s="9"/>
      <c r="N806" s="10"/>
    </row>
    <row r="807" spans="1:14" ht="14.25" customHeight="1" x14ac:dyDescent="0.25">
      <c r="A807" s="5"/>
      <c r="B807" s="6"/>
      <c r="C807" s="5"/>
      <c r="D807" s="7"/>
      <c r="E807" s="8"/>
      <c r="F807" s="3"/>
      <c r="H807" s="3"/>
      <c r="I807" s="3"/>
      <c r="J807" s="3"/>
      <c r="K807" s="3"/>
      <c r="L807" s="3"/>
      <c r="M807" s="9"/>
      <c r="N807" s="10"/>
    </row>
    <row r="808" spans="1:14" ht="14.25" customHeight="1" x14ac:dyDescent="0.25">
      <c r="A808" s="5"/>
      <c r="B808" s="6"/>
      <c r="C808" s="5"/>
      <c r="D808" s="7"/>
      <c r="E808" s="8"/>
      <c r="F808" s="3"/>
      <c r="H808" s="3"/>
      <c r="I808" s="3"/>
      <c r="J808" s="3"/>
      <c r="K808" s="3"/>
      <c r="L808" s="3"/>
      <c r="M808" s="9"/>
      <c r="N808" s="10"/>
    </row>
    <row r="809" spans="1:14" ht="14.25" customHeight="1" x14ac:dyDescent="0.25">
      <c r="A809" s="5"/>
      <c r="B809" s="6"/>
      <c r="C809" s="5"/>
      <c r="D809" s="7"/>
      <c r="E809" s="8"/>
      <c r="F809" s="3"/>
      <c r="H809" s="3"/>
      <c r="I809" s="3"/>
      <c r="J809" s="3"/>
      <c r="K809" s="3"/>
      <c r="L809" s="3"/>
      <c r="M809" s="9"/>
      <c r="N809" s="10"/>
    </row>
    <row r="810" spans="1:14" ht="14.25" customHeight="1" x14ac:dyDescent="0.25">
      <c r="A810" s="5"/>
      <c r="B810" s="6"/>
      <c r="C810" s="5"/>
      <c r="D810" s="7"/>
      <c r="E810" s="8"/>
      <c r="F810" s="3"/>
      <c r="H810" s="3"/>
      <c r="I810" s="3"/>
      <c r="J810" s="3"/>
      <c r="K810" s="3"/>
      <c r="L810" s="3"/>
      <c r="M810" s="9"/>
      <c r="N810" s="10"/>
    </row>
    <row r="811" spans="1:14" ht="14.25" customHeight="1" x14ac:dyDescent="0.25">
      <c r="A811" s="5"/>
      <c r="B811" s="6"/>
      <c r="C811" s="5"/>
      <c r="D811" s="7"/>
      <c r="E811" s="8"/>
      <c r="F811" s="3"/>
      <c r="H811" s="3"/>
      <c r="I811" s="3"/>
      <c r="J811" s="3"/>
      <c r="K811" s="3"/>
      <c r="L811" s="3"/>
      <c r="M811" s="9"/>
      <c r="N811" s="10"/>
    </row>
    <row r="812" spans="1:14" ht="14.25" customHeight="1" x14ac:dyDescent="0.25">
      <c r="A812" s="5"/>
      <c r="B812" s="6"/>
      <c r="C812" s="5"/>
      <c r="D812" s="7"/>
      <c r="E812" s="8"/>
      <c r="F812" s="3"/>
      <c r="H812" s="3"/>
      <c r="I812" s="3"/>
      <c r="J812" s="3"/>
      <c r="K812" s="3"/>
      <c r="L812" s="3"/>
      <c r="M812" s="9"/>
      <c r="N812" s="10"/>
    </row>
    <row r="813" spans="1:14" ht="14.25" customHeight="1" x14ac:dyDescent="0.25">
      <c r="A813" s="5"/>
      <c r="B813" s="6"/>
      <c r="C813" s="5"/>
      <c r="D813" s="7"/>
      <c r="E813" s="8"/>
      <c r="F813" s="3"/>
      <c r="H813" s="3"/>
      <c r="I813" s="3"/>
      <c r="J813" s="3"/>
      <c r="K813" s="3"/>
      <c r="L813" s="3"/>
      <c r="M813" s="9"/>
      <c r="N813" s="10"/>
    </row>
    <row r="814" spans="1:14" ht="14.25" customHeight="1" x14ac:dyDescent="0.25">
      <c r="A814" s="5"/>
      <c r="B814" s="6"/>
      <c r="C814" s="5"/>
      <c r="D814" s="7"/>
      <c r="E814" s="8"/>
      <c r="F814" s="3"/>
      <c r="H814" s="3"/>
      <c r="I814" s="3"/>
      <c r="J814" s="3"/>
      <c r="K814" s="3"/>
      <c r="L814" s="3"/>
      <c r="M814" s="9"/>
      <c r="N814" s="10"/>
    </row>
    <row r="815" spans="1:14" ht="14.25" customHeight="1" x14ac:dyDescent="0.25">
      <c r="A815" s="5"/>
      <c r="B815" s="6"/>
      <c r="C815" s="5"/>
      <c r="D815" s="7"/>
      <c r="E815" s="8"/>
      <c r="F815" s="3"/>
      <c r="H815" s="3"/>
      <c r="I815" s="3"/>
      <c r="J815" s="3"/>
      <c r="K815" s="3"/>
      <c r="L815" s="3"/>
      <c r="M815" s="9"/>
      <c r="N815" s="10"/>
    </row>
    <row r="816" spans="1:14" ht="14.25" customHeight="1" x14ac:dyDescent="0.25">
      <c r="A816" s="5"/>
      <c r="B816" s="6"/>
      <c r="C816" s="5"/>
      <c r="D816" s="7"/>
      <c r="E816" s="8"/>
      <c r="F816" s="3"/>
      <c r="H816" s="3"/>
      <c r="I816" s="3"/>
      <c r="J816" s="3"/>
      <c r="K816" s="3"/>
      <c r="L816" s="3"/>
      <c r="M816" s="9"/>
      <c r="N816" s="10"/>
    </row>
    <row r="817" spans="1:14" ht="14.25" customHeight="1" x14ac:dyDescent="0.25">
      <c r="A817" s="5"/>
      <c r="B817" s="6"/>
      <c r="C817" s="5"/>
      <c r="D817" s="7"/>
      <c r="E817" s="8"/>
      <c r="F817" s="3"/>
      <c r="H817" s="3"/>
      <c r="I817" s="3"/>
      <c r="J817" s="3"/>
      <c r="K817" s="3"/>
      <c r="L817" s="3"/>
      <c r="M817" s="9"/>
      <c r="N817" s="10"/>
    </row>
    <row r="818" spans="1:14" ht="14.25" customHeight="1" x14ac:dyDescent="0.25">
      <c r="A818" s="5"/>
      <c r="B818" s="6"/>
      <c r="C818" s="5"/>
      <c r="D818" s="7"/>
      <c r="E818" s="8"/>
      <c r="F818" s="3"/>
      <c r="H818" s="3"/>
      <c r="I818" s="3"/>
      <c r="J818" s="3"/>
      <c r="K818" s="3"/>
      <c r="L818" s="3"/>
      <c r="M818" s="9"/>
      <c r="N818" s="10"/>
    </row>
    <row r="819" spans="1:14" ht="14.25" customHeight="1" x14ac:dyDescent="0.25">
      <c r="A819" s="5"/>
      <c r="B819" s="6"/>
      <c r="C819" s="5"/>
      <c r="D819" s="7"/>
      <c r="E819" s="8"/>
      <c r="F819" s="3"/>
      <c r="H819" s="3"/>
      <c r="I819" s="3"/>
      <c r="J819" s="3"/>
      <c r="K819" s="3"/>
      <c r="L819" s="3"/>
      <c r="M819" s="9"/>
      <c r="N819" s="10"/>
    </row>
    <row r="820" spans="1:14" ht="14.25" customHeight="1" x14ac:dyDescent="0.25">
      <c r="A820" s="5"/>
      <c r="B820" s="6"/>
      <c r="C820" s="5"/>
      <c r="D820" s="7"/>
      <c r="E820" s="8"/>
      <c r="F820" s="3"/>
      <c r="H820" s="3"/>
      <c r="I820" s="3"/>
      <c r="J820" s="3"/>
      <c r="K820" s="3"/>
      <c r="L820" s="3"/>
      <c r="M820" s="9"/>
      <c r="N820" s="10"/>
    </row>
    <row r="821" spans="1:14" ht="14.25" customHeight="1" x14ac:dyDescent="0.25">
      <c r="A821" s="5"/>
      <c r="B821" s="6"/>
      <c r="C821" s="5"/>
      <c r="D821" s="7"/>
      <c r="E821" s="8"/>
      <c r="F821" s="3"/>
      <c r="H821" s="3"/>
      <c r="I821" s="3"/>
      <c r="J821" s="3"/>
      <c r="K821" s="3"/>
      <c r="L821" s="3"/>
      <c r="M821" s="9"/>
      <c r="N821" s="10"/>
    </row>
    <row r="822" spans="1:14" ht="14.25" customHeight="1" x14ac:dyDescent="0.25">
      <c r="A822" s="5"/>
      <c r="B822" s="6"/>
      <c r="C822" s="5"/>
      <c r="D822" s="7"/>
      <c r="E822" s="8"/>
      <c r="F822" s="3"/>
      <c r="H822" s="3"/>
      <c r="I822" s="3"/>
      <c r="J822" s="3"/>
      <c r="K822" s="3"/>
      <c r="L822" s="3"/>
      <c r="M822" s="9"/>
      <c r="N822" s="10"/>
    </row>
    <row r="823" spans="1:14" ht="14.25" customHeight="1" x14ac:dyDescent="0.25">
      <c r="A823" s="5"/>
      <c r="B823" s="6"/>
      <c r="C823" s="5"/>
      <c r="D823" s="7"/>
      <c r="E823" s="8"/>
      <c r="F823" s="3"/>
      <c r="H823" s="3"/>
      <c r="I823" s="3"/>
      <c r="J823" s="3"/>
      <c r="K823" s="3"/>
      <c r="L823" s="3"/>
      <c r="M823" s="9"/>
      <c r="N823" s="10"/>
    </row>
    <row r="824" spans="1:14" ht="14.25" customHeight="1" x14ac:dyDescent="0.25">
      <c r="A824" s="5"/>
      <c r="B824" s="6"/>
      <c r="C824" s="5"/>
      <c r="D824" s="7"/>
      <c r="E824" s="8"/>
      <c r="F824" s="3"/>
      <c r="H824" s="3"/>
      <c r="I824" s="3"/>
      <c r="J824" s="3"/>
      <c r="K824" s="3"/>
      <c r="L824" s="3"/>
      <c r="M824" s="9"/>
      <c r="N824" s="10"/>
    </row>
    <row r="825" spans="1:14" ht="14.25" customHeight="1" x14ac:dyDescent="0.25">
      <c r="A825" s="5"/>
      <c r="B825" s="6"/>
      <c r="C825" s="5"/>
      <c r="D825" s="7"/>
      <c r="E825" s="8"/>
      <c r="F825" s="3"/>
      <c r="H825" s="3"/>
      <c r="I825" s="3"/>
      <c r="J825" s="3"/>
      <c r="K825" s="3"/>
      <c r="L825" s="3"/>
      <c r="M825" s="9"/>
      <c r="N825" s="10"/>
    </row>
    <row r="826" spans="1:14" ht="14.25" customHeight="1" x14ac:dyDescent="0.25">
      <c r="A826" s="5"/>
      <c r="B826" s="6"/>
      <c r="C826" s="5"/>
      <c r="D826" s="7"/>
      <c r="E826" s="8"/>
      <c r="F826" s="3"/>
      <c r="H826" s="3"/>
      <c r="I826" s="3"/>
      <c r="J826" s="3"/>
      <c r="K826" s="3"/>
      <c r="L826" s="3"/>
      <c r="M826" s="9"/>
      <c r="N826" s="10"/>
    </row>
    <row r="827" spans="1:14" ht="14.25" customHeight="1" x14ac:dyDescent="0.25">
      <c r="A827" s="5"/>
      <c r="B827" s="6"/>
      <c r="C827" s="5"/>
      <c r="D827" s="7"/>
      <c r="E827" s="8"/>
      <c r="F827" s="3"/>
      <c r="H827" s="3"/>
      <c r="I827" s="3"/>
      <c r="J827" s="3"/>
      <c r="K827" s="3"/>
      <c r="L827" s="3"/>
      <c r="M827" s="9"/>
      <c r="N827" s="10"/>
    </row>
    <row r="828" spans="1:14" ht="14.25" customHeight="1" x14ac:dyDescent="0.25">
      <c r="A828" s="5"/>
      <c r="B828" s="6"/>
      <c r="C828" s="5"/>
      <c r="D828" s="7"/>
      <c r="E828" s="8"/>
      <c r="F828" s="3"/>
      <c r="H828" s="3"/>
      <c r="I828" s="3"/>
      <c r="J828" s="3"/>
      <c r="K828" s="3"/>
      <c r="L828" s="3"/>
      <c r="M828" s="9"/>
      <c r="N828" s="10"/>
    </row>
    <row r="829" spans="1:14" ht="14.25" customHeight="1" x14ac:dyDescent="0.25">
      <c r="A829" s="5"/>
      <c r="B829" s="6"/>
      <c r="C829" s="5"/>
      <c r="D829" s="7"/>
      <c r="E829" s="8"/>
      <c r="F829" s="3"/>
      <c r="H829" s="3"/>
      <c r="I829" s="3"/>
      <c r="J829" s="3"/>
      <c r="K829" s="3"/>
      <c r="L829" s="3"/>
      <c r="M829" s="9"/>
      <c r="N829" s="10"/>
    </row>
    <row r="830" spans="1:14" ht="14.25" customHeight="1" x14ac:dyDescent="0.25">
      <c r="A830" s="5"/>
      <c r="B830" s="6"/>
      <c r="C830" s="5"/>
      <c r="D830" s="7"/>
      <c r="E830" s="8"/>
      <c r="F830" s="3"/>
      <c r="H830" s="3"/>
      <c r="I830" s="3"/>
      <c r="J830" s="3"/>
      <c r="K830" s="3"/>
      <c r="L830" s="3"/>
      <c r="M830" s="9"/>
      <c r="N830" s="10"/>
    </row>
    <row r="831" spans="1:14" ht="14.25" customHeight="1" x14ac:dyDescent="0.25">
      <c r="A831" s="5"/>
      <c r="B831" s="6"/>
      <c r="C831" s="5"/>
      <c r="D831" s="7"/>
      <c r="E831" s="8"/>
      <c r="F831" s="3"/>
      <c r="H831" s="3"/>
      <c r="I831" s="3"/>
      <c r="J831" s="3"/>
      <c r="K831" s="3"/>
      <c r="L831" s="3"/>
      <c r="M831" s="9"/>
      <c r="N831" s="10"/>
    </row>
    <row r="832" spans="1:14" ht="14.25" customHeight="1" x14ac:dyDescent="0.25">
      <c r="A832" s="5"/>
      <c r="B832" s="6"/>
      <c r="C832" s="5"/>
      <c r="D832" s="7"/>
      <c r="E832" s="8"/>
      <c r="F832" s="3"/>
      <c r="H832" s="3"/>
      <c r="I832" s="3"/>
      <c r="J832" s="3"/>
      <c r="K832" s="3"/>
      <c r="L832" s="3"/>
      <c r="M832" s="9"/>
      <c r="N832" s="10"/>
    </row>
    <row r="833" spans="1:14" ht="14.25" customHeight="1" x14ac:dyDescent="0.25">
      <c r="A833" s="5"/>
      <c r="B833" s="6"/>
      <c r="C833" s="5"/>
      <c r="D833" s="7"/>
      <c r="E833" s="8"/>
      <c r="F833" s="3"/>
      <c r="H833" s="3"/>
      <c r="I833" s="3"/>
      <c r="J833" s="3"/>
      <c r="K833" s="3"/>
      <c r="L833" s="3"/>
      <c r="M833" s="9"/>
      <c r="N833" s="10"/>
    </row>
    <row r="834" spans="1:14" ht="14.25" customHeight="1" x14ac:dyDescent="0.25">
      <c r="A834" s="5"/>
      <c r="B834" s="6"/>
      <c r="C834" s="5"/>
      <c r="D834" s="7"/>
      <c r="E834" s="8"/>
      <c r="F834" s="3"/>
      <c r="H834" s="3"/>
      <c r="I834" s="3"/>
      <c r="J834" s="3"/>
      <c r="K834" s="3"/>
      <c r="L834" s="3"/>
      <c r="M834" s="9"/>
      <c r="N834" s="10"/>
    </row>
    <row r="835" spans="1:14" ht="14.25" customHeight="1" x14ac:dyDescent="0.25">
      <c r="A835" s="5"/>
      <c r="B835" s="6"/>
      <c r="C835" s="5"/>
      <c r="D835" s="7"/>
      <c r="E835" s="8"/>
      <c r="F835" s="3"/>
      <c r="H835" s="3"/>
      <c r="I835" s="3"/>
      <c r="J835" s="3"/>
      <c r="K835" s="3"/>
      <c r="L835" s="3"/>
      <c r="M835" s="9"/>
      <c r="N835" s="10"/>
    </row>
    <row r="836" spans="1:14" ht="14.25" customHeight="1" x14ac:dyDescent="0.25">
      <c r="A836" s="5"/>
      <c r="B836" s="6"/>
      <c r="C836" s="5"/>
      <c r="D836" s="7"/>
      <c r="E836" s="8"/>
      <c r="F836" s="3"/>
      <c r="H836" s="3"/>
      <c r="I836" s="3"/>
      <c r="J836" s="3"/>
      <c r="K836" s="3"/>
      <c r="L836" s="3"/>
      <c r="M836" s="9"/>
      <c r="N836" s="10"/>
    </row>
    <row r="837" spans="1:14" ht="14.25" customHeight="1" x14ac:dyDescent="0.25">
      <c r="A837" s="5"/>
      <c r="B837" s="6"/>
      <c r="C837" s="5"/>
      <c r="D837" s="7"/>
      <c r="E837" s="8"/>
      <c r="F837" s="3"/>
      <c r="H837" s="3"/>
      <c r="I837" s="3"/>
      <c r="J837" s="3"/>
      <c r="K837" s="3"/>
      <c r="L837" s="3"/>
      <c r="M837" s="9"/>
      <c r="N837" s="10"/>
    </row>
    <row r="838" spans="1:14" ht="14.25" customHeight="1" x14ac:dyDescent="0.25">
      <c r="A838" s="5"/>
      <c r="B838" s="6"/>
      <c r="C838" s="5"/>
      <c r="D838" s="7"/>
      <c r="E838" s="8"/>
      <c r="F838" s="3"/>
      <c r="H838" s="3"/>
      <c r="I838" s="3"/>
      <c r="J838" s="3"/>
      <c r="K838" s="3"/>
      <c r="L838" s="3"/>
      <c r="M838" s="9"/>
      <c r="N838" s="10"/>
    </row>
    <row r="839" spans="1:14" ht="14.25" customHeight="1" x14ac:dyDescent="0.25">
      <c r="A839" s="5"/>
      <c r="B839" s="6"/>
      <c r="C839" s="5"/>
      <c r="D839" s="7"/>
      <c r="E839" s="8"/>
      <c r="F839" s="3"/>
      <c r="H839" s="3"/>
      <c r="I839" s="3"/>
      <c r="J839" s="3"/>
      <c r="K839" s="3"/>
      <c r="L839" s="3"/>
      <c r="M839" s="9"/>
      <c r="N839" s="10"/>
    </row>
    <row r="840" spans="1:14" ht="14.25" customHeight="1" x14ac:dyDescent="0.25">
      <c r="A840" s="5"/>
      <c r="B840" s="6"/>
      <c r="C840" s="5"/>
      <c r="D840" s="7"/>
      <c r="E840" s="8"/>
      <c r="F840" s="3"/>
      <c r="H840" s="3"/>
      <c r="I840" s="3"/>
      <c r="J840" s="3"/>
      <c r="K840" s="3"/>
      <c r="L840" s="3"/>
      <c r="M840" s="9"/>
      <c r="N840" s="10"/>
    </row>
    <row r="841" spans="1:14" ht="14.25" customHeight="1" x14ac:dyDescent="0.25">
      <c r="A841" s="5"/>
      <c r="B841" s="6"/>
      <c r="C841" s="5"/>
      <c r="D841" s="7"/>
      <c r="E841" s="8"/>
      <c r="F841" s="3"/>
      <c r="H841" s="3"/>
      <c r="I841" s="3"/>
      <c r="J841" s="3"/>
      <c r="K841" s="3"/>
      <c r="L841" s="3"/>
      <c r="M841" s="9"/>
      <c r="N841" s="10"/>
    </row>
    <row r="842" spans="1:14" ht="14.25" customHeight="1" x14ac:dyDescent="0.25">
      <c r="A842" s="5"/>
      <c r="B842" s="6"/>
      <c r="C842" s="5"/>
      <c r="D842" s="7"/>
      <c r="E842" s="8"/>
      <c r="F842" s="3"/>
      <c r="H842" s="3"/>
      <c r="I842" s="3"/>
      <c r="J842" s="3"/>
      <c r="K842" s="3"/>
      <c r="L842" s="3"/>
      <c r="M842" s="9"/>
      <c r="N842" s="10"/>
    </row>
    <row r="843" spans="1:14" ht="14.25" customHeight="1" x14ac:dyDescent="0.25">
      <c r="A843" s="11"/>
      <c r="B843" s="12"/>
    </row>
    <row r="844" spans="1:14" ht="14.25" customHeight="1" x14ac:dyDescent="0.25">
      <c r="A844" s="11"/>
      <c r="B844" s="12"/>
    </row>
    <row r="845" spans="1:14" ht="14.25" customHeight="1" x14ac:dyDescent="0.25">
      <c r="A845" s="11"/>
      <c r="B845" s="12"/>
    </row>
    <row r="846" spans="1:14" ht="14.25" customHeight="1" x14ac:dyDescent="0.25">
      <c r="A846" s="11"/>
      <c r="B846" s="12"/>
    </row>
    <row r="847" spans="1:14" ht="14.25" customHeight="1" x14ac:dyDescent="0.25">
      <c r="A847" s="11"/>
      <c r="B847" s="12"/>
    </row>
    <row r="848" spans="1:14" ht="14.25" customHeight="1" x14ac:dyDescent="0.25">
      <c r="A848" s="11"/>
      <c r="B848" s="12"/>
    </row>
    <row r="849" spans="1:2" ht="14.25" customHeight="1" x14ac:dyDescent="0.25">
      <c r="A849" s="11"/>
      <c r="B849" s="12"/>
    </row>
    <row r="850" spans="1:2" ht="14.25" customHeight="1" x14ac:dyDescent="0.25">
      <c r="A850" s="11"/>
      <c r="B850" s="12"/>
    </row>
    <row r="851" spans="1:2" ht="14.25" customHeight="1" x14ac:dyDescent="0.25">
      <c r="A851" s="11"/>
      <c r="B851" s="12"/>
    </row>
    <row r="852" spans="1:2" ht="14.25" customHeight="1" x14ac:dyDescent="0.25">
      <c r="A852" s="11"/>
      <c r="B852" s="12"/>
    </row>
    <row r="853" spans="1:2" ht="14.25" customHeight="1" x14ac:dyDescent="0.25">
      <c r="A853" s="11"/>
      <c r="B853" s="12"/>
    </row>
    <row r="854" spans="1:2" ht="14.25" customHeight="1" x14ac:dyDescent="0.25">
      <c r="A854" s="11"/>
      <c r="B854" s="12"/>
    </row>
    <row r="855" spans="1:2" ht="14.25" customHeight="1" x14ac:dyDescent="0.25">
      <c r="A855" s="11"/>
      <c r="B855" s="12"/>
    </row>
    <row r="856" spans="1:2" ht="14.25" customHeight="1" x14ac:dyDescent="0.25">
      <c r="A856" s="11"/>
      <c r="B856" s="12"/>
    </row>
    <row r="857" spans="1:2" ht="14.25" customHeight="1" x14ac:dyDescent="0.25">
      <c r="A857" s="11"/>
      <c r="B857" s="12"/>
    </row>
    <row r="858" spans="1:2" ht="14.25" customHeight="1" x14ac:dyDescent="0.25">
      <c r="A858" s="11"/>
      <c r="B858" s="12"/>
    </row>
    <row r="859" spans="1:2" ht="14.25" customHeight="1" x14ac:dyDescent="0.25">
      <c r="A859" s="11"/>
      <c r="B859" s="12"/>
    </row>
    <row r="860" spans="1:2" ht="14.25" customHeight="1" x14ac:dyDescent="0.25">
      <c r="A860" s="11"/>
      <c r="B860" s="12"/>
    </row>
    <row r="861" spans="1:2" ht="14.25" customHeight="1" x14ac:dyDescent="0.25">
      <c r="A861" s="11"/>
      <c r="B861" s="12"/>
    </row>
    <row r="862" spans="1:2" ht="14.25" customHeight="1" x14ac:dyDescent="0.25">
      <c r="A862" s="11"/>
      <c r="B862" s="12"/>
    </row>
    <row r="863" spans="1:2" ht="14.25" customHeight="1" x14ac:dyDescent="0.25">
      <c r="A863" s="11"/>
      <c r="B863" s="12"/>
    </row>
    <row r="864" spans="1:2" ht="14.25" customHeight="1" x14ac:dyDescent="0.25">
      <c r="A864" s="11"/>
      <c r="B864" s="12"/>
    </row>
    <row r="865" spans="1:2" ht="14.25" customHeight="1" x14ac:dyDescent="0.25">
      <c r="A865" s="11"/>
      <c r="B865" s="12"/>
    </row>
    <row r="866" spans="1:2" ht="14.25" customHeight="1" x14ac:dyDescent="0.25">
      <c r="A866" s="11"/>
      <c r="B866" s="12"/>
    </row>
    <row r="867" spans="1:2" ht="14.25" customHeight="1" x14ac:dyDescent="0.25">
      <c r="A867" s="11"/>
      <c r="B867" s="12"/>
    </row>
    <row r="868" spans="1:2" ht="14.25" customHeight="1" x14ac:dyDescent="0.25">
      <c r="A868" s="11"/>
      <c r="B868" s="12"/>
    </row>
    <row r="869" spans="1:2" ht="14.25" customHeight="1" x14ac:dyDescent="0.25">
      <c r="A869" s="11"/>
      <c r="B869" s="12"/>
    </row>
    <row r="870" spans="1:2" ht="14.25" customHeight="1" x14ac:dyDescent="0.25">
      <c r="A870" s="11"/>
      <c r="B870" s="12"/>
    </row>
    <row r="871" spans="1:2" ht="14.25" customHeight="1" x14ac:dyDescent="0.25">
      <c r="A871" s="11"/>
      <c r="B871" s="12"/>
    </row>
    <row r="872" spans="1:2" ht="14.25" customHeight="1" x14ac:dyDescent="0.25">
      <c r="A872" s="11"/>
      <c r="B872" s="12"/>
    </row>
    <row r="873" spans="1:2" ht="14.25" customHeight="1" x14ac:dyDescent="0.25">
      <c r="A873" s="11"/>
      <c r="B873" s="12"/>
    </row>
    <row r="874" spans="1:2" ht="14.25" customHeight="1" x14ac:dyDescent="0.25">
      <c r="A874" s="11"/>
      <c r="B874" s="12"/>
    </row>
    <row r="875" spans="1:2" ht="14.25" customHeight="1" x14ac:dyDescent="0.25">
      <c r="A875" s="11"/>
      <c r="B875" s="12"/>
    </row>
    <row r="876" spans="1:2" ht="14.25" customHeight="1" x14ac:dyDescent="0.25">
      <c r="A876" s="11"/>
      <c r="B876" s="12"/>
    </row>
    <row r="877" spans="1:2" ht="14.25" customHeight="1" x14ac:dyDescent="0.25">
      <c r="A877" s="11"/>
      <c r="B877" s="12"/>
    </row>
    <row r="878" spans="1:2" ht="14.25" customHeight="1" x14ac:dyDescent="0.25">
      <c r="A878" s="11"/>
      <c r="B878" s="12"/>
    </row>
    <row r="879" spans="1:2" ht="14.25" customHeight="1" x14ac:dyDescent="0.25">
      <c r="A879" s="11"/>
      <c r="B879" s="12"/>
    </row>
    <row r="880" spans="1:2" ht="14.25" customHeight="1" x14ac:dyDescent="0.25">
      <c r="A880" s="11"/>
      <c r="B880" s="12"/>
    </row>
    <row r="881" spans="1:2" ht="14.25" customHeight="1" x14ac:dyDescent="0.25">
      <c r="A881" s="11"/>
      <c r="B881" s="12"/>
    </row>
    <row r="882" spans="1:2" ht="14.25" customHeight="1" x14ac:dyDescent="0.25">
      <c r="A882" s="11"/>
      <c r="B882" s="12"/>
    </row>
    <row r="883" spans="1:2" ht="14.25" customHeight="1" x14ac:dyDescent="0.25">
      <c r="A883" s="11"/>
      <c r="B883" s="12"/>
    </row>
    <row r="884" spans="1:2" ht="14.25" customHeight="1" x14ac:dyDescent="0.25">
      <c r="A884" s="11"/>
      <c r="B884" s="12"/>
    </row>
    <row r="885" spans="1:2" ht="14.25" customHeight="1" x14ac:dyDescent="0.25">
      <c r="A885" s="11"/>
      <c r="B885" s="12"/>
    </row>
    <row r="886" spans="1:2" ht="14.25" customHeight="1" x14ac:dyDescent="0.25">
      <c r="A886" s="11"/>
      <c r="B886" s="12"/>
    </row>
    <row r="887" spans="1:2" ht="14.25" customHeight="1" x14ac:dyDescent="0.25">
      <c r="A887" s="11"/>
      <c r="B887" s="12"/>
    </row>
    <row r="888" spans="1:2" ht="14.25" customHeight="1" x14ac:dyDescent="0.25">
      <c r="A888" s="11"/>
      <c r="B888" s="12"/>
    </row>
    <row r="889" spans="1:2" ht="14.25" customHeight="1" x14ac:dyDescent="0.25">
      <c r="A889" s="11"/>
      <c r="B889" s="12"/>
    </row>
    <row r="890" spans="1:2" ht="14.25" customHeight="1" x14ac:dyDescent="0.25">
      <c r="A890" s="11"/>
      <c r="B890" s="12"/>
    </row>
    <row r="891" spans="1:2" ht="14.25" customHeight="1" x14ac:dyDescent="0.25">
      <c r="A891" s="11"/>
      <c r="B891" s="12"/>
    </row>
    <row r="892" spans="1:2" ht="14.25" customHeight="1" x14ac:dyDescent="0.25">
      <c r="A892" s="11"/>
      <c r="B892" s="12"/>
    </row>
    <row r="893" spans="1:2" ht="14.25" customHeight="1" x14ac:dyDescent="0.25">
      <c r="A893" s="11"/>
      <c r="B893" s="12"/>
    </row>
    <row r="894" spans="1:2" ht="14.25" customHeight="1" x14ac:dyDescent="0.25">
      <c r="A894" s="11"/>
      <c r="B894" s="12"/>
    </row>
    <row r="895" spans="1:2" ht="14.25" customHeight="1" x14ac:dyDescent="0.25">
      <c r="A895" s="11"/>
      <c r="B895" s="12"/>
    </row>
    <row r="896" spans="1:2" ht="14.25" customHeight="1" x14ac:dyDescent="0.25">
      <c r="A896" s="11"/>
      <c r="B896" s="12"/>
    </row>
    <row r="897" spans="1:2" ht="14.25" customHeight="1" x14ac:dyDescent="0.25">
      <c r="A897" s="11"/>
      <c r="B897" s="12"/>
    </row>
    <row r="898" spans="1:2" ht="14.25" customHeight="1" x14ac:dyDescent="0.25">
      <c r="A898" s="11"/>
      <c r="B898" s="12"/>
    </row>
    <row r="899" spans="1:2" ht="14.25" customHeight="1" x14ac:dyDescent="0.25">
      <c r="A899" s="11"/>
      <c r="B899" s="12"/>
    </row>
    <row r="900" spans="1:2" ht="14.25" customHeight="1" x14ac:dyDescent="0.25">
      <c r="A900" s="11"/>
      <c r="B900" s="12"/>
    </row>
    <row r="901" spans="1:2" ht="14.25" customHeight="1" x14ac:dyDescent="0.25">
      <c r="A901" s="11"/>
      <c r="B901" s="12"/>
    </row>
    <row r="902" spans="1:2" ht="14.25" customHeight="1" x14ac:dyDescent="0.25">
      <c r="A902" s="11"/>
      <c r="B902" s="12"/>
    </row>
    <row r="903" spans="1:2" ht="14.25" customHeight="1" x14ac:dyDescent="0.25">
      <c r="A903" s="11"/>
      <c r="B903" s="12"/>
    </row>
    <row r="904" spans="1:2" ht="14.25" customHeight="1" x14ac:dyDescent="0.25">
      <c r="A904" s="11"/>
      <c r="B904" s="12"/>
    </row>
    <row r="905" spans="1:2" ht="14.25" customHeight="1" x14ac:dyDescent="0.25">
      <c r="A905" s="11"/>
      <c r="B905" s="12"/>
    </row>
    <row r="906" spans="1:2" ht="14.25" customHeight="1" x14ac:dyDescent="0.25">
      <c r="A906" s="11"/>
      <c r="B906" s="12"/>
    </row>
    <row r="907" spans="1:2" ht="14.25" customHeight="1" x14ac:dyDescent="0.25">
      <c r="A907" s="11"/>
      <c r="B907" s="12"/>
    </row>
    <row r="908" spans="1:2" ht="14.25" customHeight="1" x14ac:dyDescent="0.25">
      <c r="A908" s="11"/>
      <c r="B908" s="12"/>
    </row>
    <row r="909" spans="1:2" ht="14.25" customHeight="1" x14ac:dyDescent="0.25">
      <c r="A909" s="11"/>
      <c r="B909" s="12"/>
    </row>
    <row r="910" spans="1:2" ht="14.25" customHeight="1" x14ac:dyDescent="0.25">
      <c r="A910" s="11"/>
      <c r="B910" s="12"/>
    </row>
    <row r="911" spans="1:2" ht="14.25" customHeight="1" x14ac:dyDescent="0.25">
      <c r="A911" s="11"/>
      <c r="B911" s="12"/>
    </row>
    <row r="912" spans="1:2" ht="14.25" customHeight="1" x14ac:dyDescent="0.25">
      <c r="A912" s="11"/>
      <c r="B912" s="12"/>
    </row>
    <row r="913" spans="1:2" ht="14.25" customHeight="1" x14ac:dyDescent="0.25">
      <c r="A913" s="11"/>
      <c r="B913" s="12"/>
    </row>
    <row r="914" spans="1:2" ht="14.25" customHeight="1" x14ac:dyDescent="0.25">
      <c r="A914" s="11"/>
      <c r="B914" s="12"/>
    </row>
    <row r="915" spans="1:2" ht="14.25" customHeight="1" x14ac:dyDescent="0.25">
      <c r="A915" s="11"/>
      <c r="B915" s="12"/>
    </row>
    <row r="916" spans="1:2" ht="14.25" customHeight="1" x14ac:dyDescent="0.25">
      <c r="A916" s="11"/>
      <c r="B916" s="12"/>
    </row>
    <row r="917" spans="1:2" ht="14.25" customHeight="1" x14ac:dyDescent="0.25">
      <c r="A917" s="11"/>
      <c r="B917" s="12"/>
    </row>
    <row r="918" spans="1:2" ht="14.25" customHeight="1" x14ac:dyDescent="0.25">
      <c r="A918" s="11"/>
      <c r="B918" s="12"/>
    </row>
    <row r="919" spans="1:2" ht="14.25" customHeight="1" x14ac:dyDescent="0.25">
      <c r="A919" s="11"/>
      <c r="B919" s="12"/>
    </row>
    <row r="920" spans="1:2" ht="14.25" customHeight="1" x14ac:dyDescent="0.25">
      <c r="A920" s="11"/>
      <c r="B920" s="12"/>
    </row>
    <row r="921" spans="1:2" ht="14.25" customHeight="1" x14ac:dyDescent="0.25">
      <c r="A921" s="11"/>
      <c r="B921" s="12"/>
    </row>
    <row r="922" spans="1:2" ht="14.25" customHeight="1" x14ac:dyDescent="0.25">
      <c r="A922" s="11"/>
      <c r="B922" s="12"/>
    </row>
    <row r="923" spans="1:2" ht="14.25" customHeight="1" x14ac:dyDescent="0.25">
      <c r="A923" s="11"/>
      <c r="B923" s="12"/>
    </row>
    <row r="924" spans="1:2" ht="14.25" customHeight="1" x14ac:dyDescent="0.25">
      <c r="A924" s="11"/>
      <c r="B924" s="12"/>
    </row>
    <row r="925" spans="1:2" ht="14.25" customHeight="1" x14ac:dyDescent="0.25">
      <c r="A925" s="11"/>
      <c r="B925" s="12"/>
    </row>
    <row r="926" spans="1:2" ht="14.25" customHeight="1" x14ac:dyDescent="0.25">
      <c r="A926" s="11"/>
      <c r="B926" s="12"/>
    </row>
    <row r="927" spans="1:2" ht="14.25" customHeight="1" x14ac:dyDescent="0.25">
      <c r="A927" s="11"/>
      <c r="B927" s="12"/>
    </row>
    <row r="928" spans="1:2" ht="14.25" customHeight="1" x14ac:dyDescent="0.25">
      <c r="A928" s="11"/>
      <c r="B928" s="12"/>
    </row>
    <row r="929" spans="1:2" ht="14.25" customHeight="1" x14ac:dyDescent="0.25">
      <c r="A929" s="11"/>
      <c r="B929" s="12"/>
    </row>
    <row r="930" spans="1:2" ht="14.25" customHeight="1" x14ac:dyDescent="0.25">
      <c r="A930" s="11"/>
      <c r="B930" s="12"/>
    </row>
    <row r="931" spans="1:2" ht="14.25" customHeight="1" x14ac:dyDescent="0.25">
      <c r="A931" s="11"/>
      <c r="B931" s="12"/>
    </row>
    <row r="932" spans="1:2" ht="14.25" customHeight="1" x14ac:dyDescent="0.25">
      <c r="A932" s="11"/>
      <c r="B932" s="12"/>
    </row>
    <row r="933" spans="1:2" ht="14.25" customHeight="1" x14ac:dyDescent="0.25">
      <c r="A933" s="11"/>
      <c r="B933" s="12"/>
    </row>
    <row r="934" spans="1:2" ht="14.25" customHeight="1" x14ac:dyDescent="0.25">
      <c r="A934" s="11"/>
      <c r="B934" s="12"/>
    </row>
    <row r="935" spans="1:2" ht="14.25" customHeight="1" x14ac:dyDescent="0.25">
      <c r="A935" s="11"/>
      <c r="B935" s="12"/>
    </row>
    <row r="936" spans="1:2" ht="14.25" customHeight="1" x14ac:dyDescent="0.25">
      <c r="A936" s="11"/>
      <c r="B936" s="12"/>
    </row>
    <row r="937" spans="1:2" ht="14.25" customHeight="1" x14ac:dyDescent="0.25">
      <c r="A937" s="11"/>
      <c r="B937" s="12"/>
    </row>
    <row r="938" spans="1:2" ht="14.25" customHeight="1" x14ac:dyDescent="0.25">
      <c r="A938" s="11"/>
      <c r="B938" s="12"/>
    </row>
    <row r="939" spans="1:2" ht="14.25" customHeight="1" x14ac:dyDescent="0.25">
      <c r="A939" s="11"/>
      <c r="B939" s="12"/>
    </row>
    <row r="940" spans="1:2" ht="14.25" customHeight="1" x14ac:dyDescent="0.25">
      <c r="A940" s="11"/>
      <c r="B940" s="12"/>
    </row>
    <row r="941" spans="1:2" ht="14.25" customHeight="1" x14ac:dyDescent="0.25">
      <c r="A941" s="11"/>
      <c r="B941" s="12"/>
    </row>
    <row r="942" spans="1:2" ht="14.25" customHeight="1" x14ac:dyDescent="0.25">
      <c r="A942" s="11"/>
      <c r="B942" s="12"/>
    </row>
    <row r="943" spans="1:2" ht="14.25" customHeight="1" x14ac:dyDescent="0.25">
      <c r="A943" s="11"/>
      <c r="B943" s="12"/>
    </row>
    <row r="944" spans="1:2" ht="14.25" customHeight="1" x14ac:dyDescent="0.25">
      <c r="A944" s="11"/>
      <c r="B944" s="12"/>
    </row>
    <row r="945" spans="1:2" ht="14.25" customHeight="1" x14ac:dyDescent="0.25">
      <c r="A945" s="11"/>
      <c r="B945" s="12"/>
    </row>
    <row r="946" spans="1:2" ht="14.25" customHeight="1" x14ac:dyDescent="0.25">
      <c r="A946" s="11"/>
      <c r="B946" s="12"/>
    </row>
    <row r="947" spans="1:2" ht="14.25" customHeight="1" x14ac:dyDescent="0.25">
      <c r="A947" s="11"/>
      <c r="B947" s="12"/>
    </row>
    <row r="948" spans="1:2" ht="14.25" customHeight="1" x14ac:dyDescent="0.25">
      <c r="A948" s="11"/>
      <c r="B948" s="12"/>
    </row>
    <row r="949" spans="1:2" ht="14.25" customHeight="1" x14ac:dyDescent="0.25">
      <c r="A949" s="11"/>
      <c r="B949" s="12"/>
    </row>
    <row r="950" spans="1:2" ht="14.25" customHeight="1" x14ac:dyDescent="0.25">
      <c r="A950" s="11"/>
      <c r="B950" s="12"/>
    </row>
    <row r="951" spans="1:2" ht="14.25" customHeight="1" x14ac:dyDescent="0.25">
      <c r="A951" s="11"/>
      <c r="B951" s="12"/>
    </row>
    <row r="952" spans="1:2" ht="14.25" customHeight="1" x14ac:dyDescent="0.25">
      <c r="A952" s="11"/>
      <c r="B952" s="12"/>
    </row>
    <row r="953" spans="1:2" ht="14.25" customHeight="1" x14ac:dyDescent="0.25">
      <c r="A953" s="11"/>
      <c r="B953" s="12"/>
    </row>
    <row r="954" spans="1:2" ht="14.25" customHeight="1" x14ac:dyDescent="0.25">
      <c r="A954" s="11"/>
      <c r="B954" s="12"/>
    </row>
    <row r="955" spans="1:2" ht="14.25" customHeight="1" x14ac:dyDescent="0.25">
      <c r="A955" s="11"/>
      <c r="B955" s="12"/>
    </row>
    <row r="956" spans="1:2" ht="14.25" customHeight="1" x14ac:dyDescent="0.25">
      <c r="A956" s="11"/>
      <c r="B956" s="12"/>
    </row>
    <row r="957" spans="1:2" ht="14.25" customHeight="1" x14ac:dyDescent="0.25">
      <c r="A957" s="11"/>
      <c r="B957" s="12"/>
    </row>
    <row r="958" spans="1:2" ht="14.25" customHeight="1" x14ac:dyDescent="0.25">
      <c r="A958" s="11"/>
      <c r="B958" s="12"/>
    </row>
    <row r="959" spans="1:2" ht="14.25" customHeight="1" x14ac:dyDescent="0.25">
      <c r="A959" s="11"/>
      <c r="B959" s="12"/>
    </row>
    <row r="960" spans="1:2" ht="14.25" customHeight="1" x14ac:dyDescent="0.25">
      <c r="A960" s="11"/>
      <c r="B960" s="12"/>
    </row>
    <row r="961" spans="1:2" ht="14.25" customHeight="1" x14ac:dyDescent="0.25">
      <c r="A961" s="11"/>
      <c r="B961" s="12"/>
    </row>
    <row r="962" spans="1:2" ht="14.25" customHeight="1" x14ac:dyDescent="0.25">
      <c r="A962" s="11"/>
      <c r="B962" s="12"/>
    </row>
    <row r="963" spans="1:2" ht="14.25" customHeight="1" x14ac:dyDescent="0.25">
      <c r="A963" s="11"/>
      <c r="B963" s="12"/>
    </row>
    <row r="964" spans="1:2" ht="14.25" customHeight="1" x14ac:dyDescent="0.25">
      <c r="A964" s="11"/>
      <c r="B964" s="12"/>
    </row>
    <row r="965" spans="1:2" ht="14.25" customHeight="1" x14ac:dyDescent="0.25">
      <c r="A965" s="11"/>
      <c r="B965" s="12"/>
    </row>
    <row r="966" spans="1:2" ht="14.25" customHeight="1" x14ac:dyDescent="0.25">
      <c r="A966" s="11"/>
      <c r="B966" s="12"/>
    </row>
    <row r="967" spans="1:2" ht="14.25" customHeight="1" x14ac:dyDescent="0.25">
      <c r="A967" s="11"/>
      <c r="B967" s="12"/>
    </row>
    <row r="968" spans="1:2" ht="14.25" customHeight="1" x14ac:dyDescent="0.25">
      <c r="A968" s="11"/>
      <c r="B968" s="12"/>
    </row>
    <row r="969" spans="1:2" ht="14.25" customHeight="1" x14ac:dyDescent="0.25">
      <c r="A969" s="11"/>
      <c r="B969" s="12"/>
    </row>
    <row r="970" spans="1:2" ht="14.25" customHeight="1" x14ac:dyDescent="0.25">
      <c r="A970" s="11"/>
      <c r="B970" s="12"/>
    </row>
    <row r="971" spans="1:2" ht="14.25" customHeight="1" x14ac:dyDescent="0.25">
      <c r="A971" s="11"/>
      <c r="B971" s="12"/>
    </row>
    <row r="972" spans="1:2" ht="14.25" customHeight="1" x14ac:dyDescent="0.25">
      <c r="A972" s="11"/>
      <c r="B972" s="12"/>
    </row>
    <row r="973" spans="1:2" ht="14.25" customHeight="1" x14ac:dyDescent="0.25">
      <c r="A973" s="11"/>
      <c r="B973" s="12"/>
    </row>
    <row r="974" spans="1:2" ht="14.25" customHeight="1" x14ac:dyDescent="0.25">
      <c r="A974" s="11"/>
      <c r="B974" s="12"/>
    </row>
    <row r="975" spans="1:2" ht="14.25" customHeight="1" x14ac:dyDescent="0.25">
      <c r="A975" s="11"/>
      <c r="B975" s="12"/>
    </row>
    <row r="976" spans="1:2" ht="14.25" customHeight="1" x14ac:dyDescent="0.25">
      <c r="A976" s="11"/>
      <c r="B976" s="12"/>
    </row>
    <row r="977" spans="1:2" ht="14.25" customHeight="1" x14ac:dyDescent="0.25">
      <c r="A977" s="11"/>
      <c r="B977" s="12"/>
    </row>
    <row r="978" spans="1:2" ht="14.25" customHeight="1" x14ac:dyDescent="0.25">
      <c r="A978" s="11"/>
      <c r="B978" s="12"/>
    </row>
    <row r="979" spans="1:2" ht="14.25" customHeight="1" x14ac:dyDescent="0.25">
      <c r="A979" s="11"/>
      <c r="B979" s="12"/>
    </row>
    <row r="980" spans="1:2" ht="14.25" customHeight="1" x14ac:dyDescent="0.25">
      <c r="A980" s="11"/>
      <c r="B980" s="12"/>
    </row>
    <row r="981" spans="1:2" ht="14.25" customHeight="1" x14ac:dyDescent="0.25">
      <c r="A981" s="11"/>
      <c r="B981" s="12"/>
    </row>
    <row r="982" spans="1:2" ht="14.25" customHeight="1" x14ac:dyDescent="0.25">
      <c r="A982" s="11"/>
      <c r="B982" s="12"/>
    </row>
    <row r="983" spans="1:2" ht="14.25" customHeight="1" x14ac:dyDescent="0.25">
      <c r="A983" s="11"/>
      <c r="B983" s="12"/>
    </row>
    <row r="984" spans="1:2" ht="14.25" customHeight="1" x14ac:dyDescent="0.25">
      <c r="A984" s="11"/>
      <c r="B984" s="12"/>
    </row>
    <row r="985" spans="1:2" ht="14.25" customHeight="1" x14ac:dyDescent="0.25">
      <c r="A985" s="11"/>
      <c r="B985" s="12"/>
    </row>
    <row r="986" spans="1:2" ht="14.25" customHeight="1" x14ac:dyDescent="0.25">
      <c r="A986" s="11"/>
      <c r="B986" s="12"/>
    </row>
    <row r="987" spans="1:2" ht="14.25" customHeight="1" x14ac:dyDescent="0.25">
      <c r="A987" s="11"/>
      <c r="B987" s="12"/>
    </row>
    <row r="988" spans="1:2" ht="14.25" customHeight="1" x14ac:dyDescent="0.25">
      <c r="A988" s="11"/>
      <c r="B988" s="12"/>
    </row>
    <row r="989" spans="1:2" ht="14.25" customHeight="1" x14ac:dyDescent="0.25">
      <c r="A989" s="11"/>
      <c r="B989" s="12"/>
    </row>
    <row r="990" spans="1:2" ht="14.25" customHeight="1" x14ac:dyDescent="0.25">
      <c r="A990" s="11"/>
      <c r="B990" s="12"/>
    </row>
    <row r="991" spans="1:2" ht="14.25" customHeight="1" x14ac:dyDescent="0.25">
      <c r="A991" s="11"/>
      <c r="B991" s="12"/>
    </row>
    <row r="992" spans="1:2" ht="14.25" customHeight="1" x14ac:dyDescent="0.25">
      <c r="A992" s="11"/>
      <c r="B992" s="12"/>
    </row>
    <row r="993" spans="1:2" ht="14.25" customHeight="1" x14ac:dyDescent="0.25">
      <c r="A993" s="11"/>
      <c r="B993" s="12"/>
    </row>
    <row r="994" spans="1:2" ht="14.25" customHeight="1" x14ac:dyDescent="0.25">
      <c r="A994" s="11"/>
      <c r="B994" s="12"/>
    </row>
    <row r="995" spans="1:2" ht="14.25" customHeight="1" x14ac:dyDescent="0.25">
      <c r="A995" s="11"/>
      <c r="B995" s="12"/>
    </row>
    <row r="996" spans="1:2" ht="14.25" customHeight="1" x14ac:dyDescent="0.25">
      <c r="A996" s="11"/>
      <c r="B996" s="12"/>
    </row>
    <row r="997" spans="1:2" ht="14.25" customHeight="1" x14ac:dyDescent="0.25">
      <c r="A997" s="11"/>
      <c r="B997" s="12"/>
    </row>
    <row r="998" spans="1:2" ht="14.25" customHeight="1" x14ac:dyDescent="0.25">
      <c r="A998" s="11"/>
      <c r="B998" s="12"/>
    </row>
    <row r="999" spans="1:2" ht="14.25" customHeight="1" x14ac:dyDescent="0.25">
      <c r="A999" s="11"/>
      <c r="B999" s="12"/>
    </row>
    <row r="1000" spans="1:2" ht="14.25" customHeight="1" x14ac:dyDescent="0.25">
      <c r="A1000" s="11"/>
      <c r="B1000" s="12"/>
    </row>
    <row r="1001" spans="1:2" ht="15" customHeight="1" x14ac:dyDescent="0.25">
      <c r="A1001" s="11"/>
      <c r="B1001" s="12"/>
    </row>
    <row r="1002" spans="1:2" ht="15" customHeight="1" x14ac:dyDescent="0.25">
      <c r="A1002" s="11"/>
      <c r="B1002" s="12"/>
    </row>
    <row r="1003" spans="1:2" ht="15" customHeight="1" x14ac:dyDescent="0.25">
      <c r="A1003" s="11"/>
      <c r="B1003" s="12"/>
    </row>
    <row r="1004" spans="1:2" ht="15" customHeight="1" x14ac:dyDescent="0.25">
      <c r="A1004" s="11"/>
      <c r="B1004" s="12"/>
    </row>
    <row r="1005" spans="1:2" ht="15" customHeight="1" x14ac:dyDescent="0.25">
      <c r="A1005" s="11"/>
      <c r="B1005" s="12"/>
    </row>
    <row r="1006" spans="1:2" ht="15" customHeight="1" x14ac:dyDescent="0.25">
      <c r="A1006" s="11"/>
      <c r="B1006" s="12"/>
    </row>
    <row r="1007" spans="1:2" ht="15" customHeight="1" x14ac:dyDescent="0.25">
      <c r="A1007" s="11"/>
      <c r="B1007" s="12"/>
    </row>
    <row r="1008" spans="1:2" ht="15" customHeight="1" x14ac:dyDescent="0.25">
      <c r="A1008" s="11"/>
      <c r="B1008" s="12"/>
    </row>
    <row r="1009" spans="1:2" ht="15" customHeight="1" x14ac:dyDescent="0.25">
      <c r="A1009" s="11"/>
      <c r="B1009" s="12"/>
    </row>
    <row r="1010" spans="1:2" ht="15" customHeight="1" x14ac:dyDescent="0.25">
      <c r="A1010" s="11"/>
      <c r="B1010" s="12"/>
    </row>
    <row r="1011" spans="1:2" ht="15" customHeight="1" x14ac:dyDescent="0.25">
      <c r="A1011" s="11"/>
      <c r="B1011" s="12"/>
    </row>
    <row r="1012" spans="1:2" ht="15" customHeight="1" x14ac:dyDescent="0.25">
      <c r="A1012" s="11"/>
      <c r="B1012" s="12"/>
    </row>
    <row r="1013" spans="1:2" ht="15" customHeight="1" x14ac:dyDescent="0.25">
      <c r="A1013" s="11"/>
      <c r="B1013" s="12"/>
    </row>
    <row r="1014" spans="1:2" ht="15" customHeight="1" x14ac:dyDescent="0.25">
      <c r="A1014" s="11"/>
      <c r="B1014" s="12"/>
    </row>
    <row r="1015" spans="1:2" ht="15" customHeight="1" x14ac:dyDescent="0.25">
      <c r="A1015" s="11"/>
      <c r="B1015" s="12"/>
    </row>
    <row r="1016" spans="1:2" ht="15" customHeight="1" x14ac:dyDescent="0.25">
      <c r="A1016" s="11"/>
      <c r="B1016" s="12"/>
    </row>
    <row r="1017" spans="1:2" ht="15" customHeight="1" x14ac:dyDescent="0.25">
      <c r="A1017" s="11"/>
      <c r="B1017" s="12"/>
    </row>
    <row r="1018" spans="1:2" ht="15" customHeight="1" x14ac:dyDescent="0.25">
      <c r="A1018" s="11"/>
      <c r="B1018" s="12"/>
    </row>
    <row r="1019" spans="1:2" ht="15" customHeight="1" x14ac:dyDescent="0.25">
      <c r="A1019" s="11"/>
      <c r="B1019" s="12"/>
    </row>
    <row r="1020" spans="1:2" ht="15" customHeight="1" x14ac:dyDescent="0.25">
      <c r="A1020" s="11"/>
      <c r="B1020" s="12"/>
    </row>
    <row r="1021" spans="1:2" ht="15" customHeight="1" x14ac:dyDescent="0.25">
      <c r="A1021" s="11"/>
      <c r="B1021" s="12"/>
    </row>
    <row r="1022" spans="1:2" ht="15" customHeight="1" x14ac:dyDescent="0.25">
      <c r="A1022" s="11"/>
      <c r="B1022" s="12"/>
    </row>
    <row r="1023" spans="1:2" ht="15" customHeight="1" x14ac:dyDescent="0.25">
      <c r="A1023" s="11"/>
      <c r="B1023" s="12"/>
    </row>
    <row r="1024" spans="1:2" ht="15" customHeight="1" x14ac:dyDescent="0.25">
      <c r="A1024" s="11"/>
      <c r="B1024" s="12"/>
    </row>
    <row r="1025" spans="1:2" ht="15" customHeight="1" x14ac:dyDescent="0.25">
      <c r="A1025" s="11"/>
      <c r="B1025" s="12"/>
    </row>
    <row r="1026" spans="1:2" ht="15" customHeight="1" x14ac:dyDescent="0.25">
      <c r="A1026" s="11"/>
      <c r="B1026" s="12"/>
    </row>
    <row r="1027" spans="1:2" ht="15" customHeight="1" x14ac:dyDescent="0.25">
      <c r="A1027" s="11"/>
      <c r="B1027" s="12"/>
    </row>
    <row r="1028" spans="1:2" ht="15" customHeight="1" x14ac:dyDescent="0.25">
      <c r="A1028" s="11"/>
      <c r="B1028" s="12"/>
    </row>
    <row r="1029" spans="1:2" ht="15" customHeight="1" x14ac:dyDescent="0.25">
      <c r="A1029" s="11"/>
      <c r="B1029" s="12"/>
    </row>
    <row r="1030" spans="1:2" ht="15" customHeight="1" x14ac:dyDescent="0.25">
      <c r="A1030" s="11"/>
      <c r="B1030" s="12"/>
    </row>
    <row r="1031" spans="1:2" ht="15" customHeight="1" x14ac:dyDescent="0.25">
      <c r="A1031" s="11"/>
      <c r="B1031" s="12"/>
    </row>
    <row r="1032" spans="1:2" ht="15" customHeight="1" x14ac:dyDescent="0.25">
      <c r="A1032" s="11"/>
      <c r="B1032" s="12"/>
    </row>
    <row r="1033" spans="1:2" ht="15" customHeight="1" x14ac:dyDescent="0.25">
      <c r="A1033" s="11"/>
      <c r="B1033" s="12"/>
    </row>
    <row r="1034" spans="1:2" ht="15" customHeight="1" x14ac:dyDescent="0.25">
      <c r="A1034" s="11"/>
      <c r="B1034" s="12"/>
    </row>
    <row r="1035" spans="1:2" ht="15" customHeight="1" x14ac:dyDescent="0.25">
      <c r="A1035" s="11"/>
      <c r="B1035" s="12"/>
    </row>
    <row r="1036" spans="1:2" ht="15" customHeight="1" x14ac:dyDescent="0.25">
      <c r="A1036" s="11"/>
      <c r="B1036" s="12"/>
    </row>
    <row r="1037" spans="1:2" ht="15" customHeight="1" x14ac:dyDescent="0.25">
      <c r="A1037" s="11"/>
      <c r="B1037" s="12"/>
    </row>
    <row r="1038" spans="1:2" ht="15" customHeight="1" x14ac:dyDescent="0.25">
      <c r="A1038" s="11"/>
      <c r="B1038" s="12"/>
    </row>
    <row r="1039" spans="1:2" ht="15" customHeight="1" x14ac:dyDescent="0.25">
      <c r="A1039" s="11"/>
      <c r="B1039" s="12"/>
    </row>
    <row r="1040" spans="1:2" ht="15" customHeight="1" x14ac:dyDescent="0.25">
      <c r="A1040" s="11"/>
      <c r="B1040" s="12"/>
    </row>
    <row r="1041" spans="1:2" ht="15" customHeight="1" x14ac:dyDescent="0.25">
      <c r="A1041" s="11"/>
      <c r="B1041" s="12"/>
    </row>
    <row r="1042" spans="1:2" ht="15" customHeight="1" x14ac:dyDescent="0.25">
      <c r="A1042" s="11"/>
      <c r="B1042" s="12"/>
    </row>
    <row r="1043" spans="1:2" ht="15" customHeight="1" x14ac:dyDescent="0.25">
      <c r="A1043" s="11"/>
      <c r="B1043" s="12"/>
    </row>
    <row r="1044" spans="1:2" ht="15" customHeight="1" x14ac:dyDescent="0.25">
      <c r="A1044" s="11"/>
      <c r="B1044" s="12"/>
    </row>
    <row r="1045" spans="1:2" ht="15" customHeight="1" x14ac:dyDescent="0.25">
      <c r="A1045" s="11"/>
      <c r="B1045" s="12"/>
    </row>
    <row r="1046" spans="1:2" ht="15" customHeight="1" x14ac:dyDescent="0.25">
      <c r="A1046" s="11"/>
      <c r="B1046" s="12"/>
    </row>
    <row r="1047" spans="1:2" ht="15" customHeight="1" x14ac:dyDescent="0.25">
      <c r="A1047" s="11"/>
      <c r="B1047" s="12"/>
    </row>
    <row r="1048" spans="1:2" ht="15" customHeight="1" x14ac:dyDescent="0.25">
      <c r="A1048" s="11"/>
      <c r="B1048" s="12"/>
    </row>
    <row r="1049" spans="1:2" ht="15" customHeight="1" x14ac:dyDescent="0.25">
      <c r="A1049" s="11"/>
      <c r="B1049" s="12"/>
    </row>
    <row r="1050" spans="1:2" ht="15" customHeight="1" x14ac:dyDescent="0.25">
      <c r="A1050" s="11"/>
      <c r="B1050" s="12"/>
    </row>
    <row r="1051" spans="1:2" ht="15" customHeight="1" x14ac:dyDescent="0.25">
      <c r="A1051" s="11"/>
      <c r="B1051" s="12"/>
    </row>
    <row r="1052" spans="1:2" ht="15" customHeight="1" x14ac:dyDescent="0.25">
      <c r="A1052" s="11"/>
      <c r="B1052" s="12"/>
    </row>
    <row r="1053" spans="1:2" ht="15" customHeight="1" x14ac:dyDescent="0.25">
      <c r="A1053" s="11"/>
      <c r="B1053" s="12"/>
    </row>
    <row r="1054" spans="1:2" ht="15" customHeight="1" x14ac:dyDescent="0.25">
      <c r="A1054" s="11"/>
      <c r="B1054" s="12"/>
    </row>
    <row r="1055" spans="1:2" ht="15" customHeight="1" x14ac:dyDescent="0.25">
      <c r="A1055" s="11"/>
      <c r="B1055" s="12"/>
    </row>
    <row r="1056" spans="1:2" ht="15" customHeight="1" x14ac:dyDescent="0.25">
      <c r="A1056" s="11"/>
      <c r="B1056" s="12"/>
    </row>
    <row r="1057" spans="1:2" ht="15" customHeight="1" x14ac:dyDescent="0.25">
      <c r="A1057" s="11"/>
      <c r="B1057" s="12"/>
    </row>
    <row r="1058" spans="1:2" ht="15" customHeight="1" x14ac:dyDescent="0.25">
      <c r="A1058" s="11"/>
      <c r="B1058" s="12"/>
    </row>
    <row r="1059" spans="1:2" ht="15" customHeight="1" x14ac:dyDescent="0.25">
      <c r="A1059" s="11"/>
      <c r="B1059" s="12"/>
    </row>
    <row r="1060" spans="1:2" ht="15" customHeight="1" x14ac:dyDescent="0.25">
      <c r="A1060" s="11"/>
      <c r="B1060" s="12"/>
    </row>
    <row r="1061" spans="1:2" ht="15" customHeight="1" x14ac:dyDescent="0.25">
      <c r="A1061" s="11"/>
      <c r="B1061" s="12"/>
    </row>
    <row r="1062" spans="1:2" ht="15" customHeight="1" x14ac:dyDescent="0.25">
      <c r="A1062" s="11"/>
      <c r="B1062" s="12"/>
    </row>
    <row r="1063" spans="1:2" ht="15" customHeight="1" x14ac:dyDescent="0.25">
      <c r="A1063" s="11"/>
      <c r="B1063" s="12"/>
    </row>
    <row r="1064" spans="1:2" ht="15" customHeight="1" x14ac:dyDescent="0.25">
      <c r="A1064" s="11"/>
      <c r="B1064" s="12"/>
    </row>
    <row r="1065" spans="1:2" ht="15" customHeight="1" x14ac:dyDescent="0.25">
      <c r="A1065" s="11"/>
      <c r="B1065" s="12"/>
    </row>
    <row r="1066" spans="1:2" ht="15" customHeight="1" x14ac:dyDescent="0.25">
      <c r="A1066" s="11"/>
      <c r="B1066" s="12"/>
    </row>
    <row r="1067" spans="1:2" ht="15" customHeight="1" x14ac:dyDescent="0.25">
      <c r="A1067" s="11"/>
      <c r="B1067" s="12"/>
    </row>
    <row r="1068" spans="1:2" ht="15" customHeight="1" x14ac:dyDescent="0.25">
      <c r="A1068" s="11"/>
      <c r="B1068" s="12"/>
    </row>
    <row r="1069" spans="1:2" ht="15" customHeight="1" x14ac:dyDescent="0.25">
      <c r="A1069" s="11"/>
      <c r="B1069" s="12"/>
    </row>
    <row r="1070" spans="1:2" ht="15" customHeight="1" x14ac:dyDescent="0.25">
      <c r="A1070" s="11"/>
      <c r="B1070" s="12"/>
    </row>
    <row r="1071" spans="1:2" ht="15" customHeight="1" x14ac:dyDescent="0.25">
      <c r="A1071" s="11"/>
      <c r="B1071" s="12"/>
    </row>
    <row r="1072" spans="1:2" ht="15" customHeight="1" x14ac:dyDescent="0.25">
      <c r="A1072" s="11"/>
      <c r="B1072" s="12"/>
    </row>
    <row r="1073" spans="1:2" ht="15" customHeight="1" x14ac:dyDescent="0.25">
      <c r="A1073" s="11"/>
      <c r="B1073" s="12"/>
    </row>
    <row r="1074" spans="1:2" ht="15" customHeight="1" x14ac:dyDescent="0.25">
      <c r="A1074" s="11"/>
      <c r="B1074" s="12"/>
    </row>
    <row r="1075" spans="1:2" ht="15" customHeight="1" x14ac:dyDescent="0.25">
      <c r="A1075" s="11"/>
      <c r="B1075" s="12"/>
    </row>
    <row r="1076" spans="1:2" ht="15" customHeight="1" x14ac:dyDescent="0.25">
      <c r="A1076" s="11"/>
      <c r="B1076" s="12"/>
    </row>
    <row r="1077" spans="1:2" ht="15" customHeight="1" x14ac:dyDescent="0.25">
      <c r="A1077" s="11"/>
      <c r="B1077" s="12"/>
    </row>
    <row r="1078" spans="1:2" ht="15" customHeight="1" x14ac:dyDescent="0.25">
      <c r="A1078" s="11"/>
      <c r="B1078" s="12"/>
    </row>
    <row r="1079" spans="1:2" ht="15" customHeight="1" x14ac:dyDescent="0.25">
      <c r="A1079" s="11"/>
      <c r="B1079" s="12"/>
    </row>
    <row r="1080" spans="1:2" ht="15" customHeight="1" x14ac:dyDescent="0.25">
      <c r="A1080" s="11"/>
      <c r="B1080" s="12"/>
    </row>
    <row r="1081" spans="1:2" ht="15" customHeight="1" x14ac:dyDescent="0.25">
      <c r="A1081" s="11"/>
      <c r="B1081" s="12"/>
    </row>
    <row r="1082" spans="1:2" ht="15" customHeight="1" x14ac:dyDescent="0.25">
      <c r="A1082" s="11"/>
      <c r="B1082" s="12"/>
    </row>
    <row r="1083" spans="1:2" ht="15" customHeight="1" x14ac:dyDescent="0.25">
      <c r="A1083" s="11"/>
      <c r="B1083" s="12"/>
    </row>
    <row r="1084" spans="1:2" ht="15" customHeight="1" x14ac:dyDescent="0.25">
      <c r="A1084" s="11"/>
      <c r="B1084" s="12"/>
    </row>
    <row r="1085" spans="1:2" ht="15" customHeight="1" x14ac:dyDescent="0.25">
      <c r="A1085" s="11"/>
      <c r="B1085" s="12"/>
    </row>
    <row r="1086" spans="1:2" ht="15" customHeight="1" x14ac:dyDescent="0.25">
      <c r="A1086" s="11"/>
      <c r="B1086" s="12"/>
    </row>
    <row r="1087" spans="1:2" ht="15" customHeight="1" x14ac:dyDescent="0.25">
      <c r="A1087" s="11"/>
      <c r="B1087" s="12"/>
    </row>
    <row r="1088" spans="1:2" ht="15" customHeight="1" x14ac:dyDescent="0.25">
      <c r="A1088" s="11"/>
      <c r="B1088" s="12"/>
    </row>
    <row r="1089" spans="1:2" ht="15" customHeight="1" x14ac:dyDescent="0.25">
      <c r="A1089" s="11"/>
      <c r="B1089" s="12"/>
    </row>
    <row r="1090" spans="1:2" ht="15" customHeight="1" x14ac:dyDescent="0.25">
      <c r="A1090" s="11"/>
      <c r="B1090" s="12"/>
    </row>
    <row r="1091" spans="1:2" ht="15" customHeight="1" x14ac:dyDescent="0.25">
      <c r="A1091" s="11"/>
      <c r="B1091" s="12"/>
    </row>
    <row r="1092" spans="1:2" ht="15" customHeight="1" x14ac:dyDescent="0.25">
      <c r="A1092" s="11"/>
      <c r="B1092" s="12"/>
    </row>
    <row r="1093" spans="1:2" ht="15" customHeight="1" x14ac:dyDescent="0.25">
      <c r="A1093" s="11"/>
      <c r="B1093" s="12"/>
    </row>
    <row r="1094" spans="1:2" ht="15" customHeight="1" x14ac:dyDescent="0.25">
      <c r="A1094" s="11"/>
      <c r="B1094" s="12"/>
    </row>
    <row r="1095" spans="1:2" ht="15" customHeight="1" x14ac:dyDescent="0.25">
      <c r="A1095" s="11"/>
      <c r="B1095" s="12"/>
    </row>
    <row r="1096" spans="1:2" ht="15" customHeight="1" x14ac:dyDescent="0.25">
      <c r="A1096" s="11"/>
      <c r="B1096" s="12"/>
    </row>
    <row r="1097" spans="1:2" ht="15" customHeight="1" x14ac:dyDescent="0.25">
      <c r="A1097" s="11"/>
      <c r="B1097" s="12"/>
    </row>
    <row r="1098" spans="1:2" ht="15" customHeight="1" x14ac:dyDescent="0.25">
      <c r="A1098" s="11"/>
      <c r="B1098" s="12"/>
    </row>
    <row r="1099" spans="1:2" ht="15" customHeight="1" x14ac:dyDescent="0.25">
      <c r="A1099" s="11"/>
      <c r="B1099" s="12"/>
    </row>
    <row r="1100" spans="1:2" ht="15" customHeight="1" x14ac:dyDescent="0.25">
      <c r="A1100" s="11"/>
      <c r="B1100" s="12"/>
    </row>
    <row r="1101" spans="1:2" ht="15" customHeight="1" x14ac:dyDescent="0.25">
      <c r="A1101" s="11"/>
      <c r="B1101" s="12"/>
    </row>
    <row r="1102" spans="1:2" ht="15" customHeight="1" x14ac:dyDescent="0.25">
      <c r="A1102" s="11"/>
      <c r="B1102" s="12"/>
    </row>
    <row r="1103" spans="1:2" ht="15" customHeight="1" x14ac:dyDescent="0.25">
      <c r="A1103" s="11"/>
      <c r="B1103" s="12"/>
    </row>
    <row r="1104" spans="1:2" ht="15" customHeight="1" x14ac:dyDescent="0.25">
      <c r="A1104" s="11"/>
      <c r="B1104" s="12"/>
    </row>
    <row r="1105" spans="1:2" ht="15" customHeight="1" x14ac:dyDescent="0.25">
      <c r="A1105" s="11"/>
      <c r="B1105" s="12"/>
    </row>
    <row r="1106" spans="1:2" ht="15" customHeight="1" x14ac:dyDescent="0.25">
      <c r="A1106" s="11"/>
      <c r="B1106" s="12"/>
    </row>
    <row r="1107" spans="1:2" ht="15" customHeight="1" x14ac:dyDescent="0.25">
      <c r="A1107" s="11"/>
      <c r="B1107" s="12"/>
    </row>
    <row r="1108" spans="1:2" ht="15" customHeight="1" x14ac:dyDescent="0.25">
      <c r="A1108" s="11"/>
      <c r="B1108" s="12"/>
    </row>
    <row r="1109" spans="1:2" ht="15" customHeight="1" x14ac:dyDescent="0.25">
      <c r="A1109" s="11"/>
      <c r="B1109" s="12"/>
    </row>
    <row r="1110" spans="1:2" ht="15" customHeight="1" x14ac:dyDescent="0.25">
      <c r="A1110" s="11"/>
      <c r="B1110" s="12"/>
    </row>
    <row r="1111" spans="1:2" ht="15" customHeight="1" x14ac:dyDescent="0.25">
      <c r="A1111" s="11"/>
      <c r="B1111" s="12"/>
    </row>
    <row r="1112" spans="1:2" ht="15" customHeight="1" x14ac:dyDescent="0.25">
      <c r="A1112" s="11"/>
      <c r="B1112" s="12"/>
    </row>
    <row r="1113" spans="1:2" ht="15" customHeight="1" x14ac:dyDescent="0.25">
      <c r="A1113" s="11"/>
      <c r="B1113" s="12"/>
    </row>
    <row r="1114" spans="1:2" ht="15" customHeight="1" x14ac:dyDescent="0.25">
      <c r="A1114" s="11"/>
      <c r="B1114" s="12"/>
    </row>
    <row r="1115" spans="1:2" ht="15" customHeight="1" x14ac:dyDescent="0.25">
      <c r="A1115" s="11"/>
      <c r="B1115" s="12"/>
    </row>
    <row r="1116" spans="1:2" ht="15" customHeight="1" x14ac:dyDescent="0.25">
      <c r="A1116" s="11"/>
      <c r="B1116" s="12"/>
    </row>
    <row r="1117" spans="1:2" ht="15" customHeight="1" x14ac:dyDescent="0.25">
      <c r="A1117" s="11"/>
      <c r="B1117" s="12"/>
    </row>
    <row r="1118" spans="1:2" ht="15" customHeight="1" x14ac:dyDescent="0.25">
      <c r="A1118" s="11"/>
      <c r="B1118" s="12"/>
    </row>
    <row r="1119" spans="1:2" ht="15" customHeight="1" x14ac:dyDescent="0.25">
      <c r="A1119" s="11"/>
      <c r="B1119" s="12"/>
    </row>
    <row r="1120" spans="1:2" ht="15" customHeight="1" x14ac:dyDescent="0.25">
      <c r="A1120" s="11"/>
      <c r="B1120" s="12"/>
    </row>
    <row r="1121" spans="1:2" ht="15" customHeight="1" x14ac:dyDescent="0.25">
      <c r="A1121" s="11"/>
      <c r="B1121" s="12"/>
    </row>
    <row r="1122" spans="1:2" ht="15" customHeight="1" x14ac:dyDescent="0.25">
      <c r="A1122" s="11"/>
      <c r="B1122" s="12"/>
    </row>
    <row r="1123" spans="1:2" ht="15" customHeight="1" x14ac:dyDescent="0.25">
      <c r="A1123" s="11"/>
      <c r="B1123" s="12"/>
    </row>
    <row r="1124" spans="1:2" ht="15" customHeight="1" x14ac:dyDescent="0.25">
      <c r="A1124" s="11"/>
      <c r="B1124" s="12"/>
    </row>
    <row r="1125" spans="1:2" ht="15" customHeight="1" x14ac:dyDescent="0.25">
      <c r="A1125" s="11"/>
      <c r="B1125" s="12"/>
    </row>
    <row r="1126" spans="1:2" ht="15" customHeight="1" x14ac:dyDescent="0.25">
      <c r="A1126" s="11"/>
      <c r="B1126" s="12"/>
    </row>
    <row r="1127" spans="1:2" ht="15" customHeight="1" x14ac:dyDescent="0.25">
      <c r="A1127" s="11"/>
      <c r="B1127" s="12"/>
    </row>
    <row r="1128" spans="1:2" ht="15" customHeight="1" x14ac:dyDescent="0.25">
      <c r="A1128" s="11"/>
      <c r="B1128" s="12"/>
    </row>
    <row r="1129" spans="1:2" ht="15" customHeight="1" x14ac:dyDescent="0.25">
      <c r="A1129" s="11"/>
      <c r="B1129" s="12"/>
    </row>
    <row r="1130" spans="1:2" ht="15" customHeight="1" x14ac:dyDescent="0.25">
      <c r="A1130" s="11"/>
      <c r="B1130" s="12"/>
    </row>
    <row r="1131" spans="1:2" ht="15" customHeight="1" x14ac:dyDescent="0.25">
      <c r="A1131" s="11"/>
      <c r="B1131" s="12"/>
    </row>
    <row r="1132" spans="1:2" ht="15" customHeight="1" x14ac:dyDescent="0.25">
      <c r="A1132" s="11"/>
      <c r="B1132" s="12"/>
    </row>
    <row r="1133" spans="1:2" ht="15" customHeight="1" x14ac:dyDescent="0.25">
      <c r="A1133" s="11"/>
      <c r="B1133" s="12"/>
    </row>
    <row r="1134" spans="1:2" ht="15" customHeight="1" x14ac:dyDescent="0.25">
      <c r="A1134" s="11"/>
      <c r="B1134" s="12"/>
    </row>
    <row r="1135" spans="1:2" ht="15" customHeight="1" x14ac:dyDescent="0.25">
      <c r="A1135" s="11"/>
      <c r="B1135" s="12"/>
    </row>
    <row r="1136" spans="1:2" ht="15" customHeight="1" x14ac:dyDescent="0.25">
      <c r="A1136" s="11"/>
      <c r="B1136" s="12"/>
    </row>
    <row r="1137" spans="1:2" ht="15" customHeight="1" x14ac:dyDescent="0.25">
      <c r="A1137" s="11"/>
      <c r="B1137" s="12"/>
    </row>
    <row r="1138" spans="1:2" ht="15" customHeight="1" x14ac:dyDescent="0.25">
      <c r="A1138" s="11"/>
      <c r="B1138" s="12"/>
    </row>
    <row r="1139" spans="1:2" ht="15" customHeight="1" x14ac:dyDescent="0.25">
      <c r="A1139" s="11"/>
      <c r="B1139" s="12"/>
    </row>
    <row r="1140" spans="1:2" ht="15" customHeight="1" x14ac:dyDescent="0.25">
      <c r="A1140" s="11"/>
      <c r="B1140" s="12"/>
    </row>
    <row r="1141" spans="1:2" ht="15" customHeight="1" x14ac:dyDescent="0.25">
      <c r="A1141" s="11"/>
      <c r="B1141" s="12"/>
    </row>
    <row r="1142" spans="1:2" ht="15" customHeight="1" x14ac:dyDescent="0.25">
      <c r="A1142" s="11"/>
      <c r="B1142" s="12"/>
    </row>
    <row r="1143" spans="1:2" ht="15" customHeight="1" x14ac:dyDescent="0.25">
      <c r="A1143" s="11"/>
      <c r="B1143" s="12"/>
    </row>
    <row r="1144" spans="1:2" ht="15" customHeight="1" x14ac:dyDescent="0.25">
      <c r="A1144" s="11"/>
      <c r="B1144" s="12"/>
    </row>
    <row r="1145" spans="1:2" ht="15" customHeight="1" x14ac:dyDescent="0.25">
      <c r="A1145" s="11"/>
      <c r="B1145" s="12"/>
    </row>
    <row r="1146" spans="1:2" ht="15" customHeight="1" x14ac:dyDescent="0.25">
      <c r="A1146" s="11"/>
      <c r="B1146" s="12"/>
    </row>
    <row r="1147" spans="1:2" ht="15" customHeight="1" x14ac:dyDescent="0.25">
      <c r="A1147" s="11"/>
      <c r="B1147" s="12"/>
    </row>
    <row r="1148" spans="1:2" ht="15" customHeight="1" x14ac:dyDescent="0.25">
      <c r="A1148" s="11"/>
      <c r="B1148" s="12"/>
    </row>
    <row r="1149" spans="1:2" ht="15" customHeight="1" x14ac:dyDescent="0.25">
      <c r="A1149" s="11"/>
      <c r="B1149" s="12"/>
    </row>
    <row r="1150" spans="1:2" ht="15" customHeight="1" x14ac:dyDescent="0.25">
      <c r="A1150" s="11"/>
      <c r="B1150" s="12"/>
    </row>
    <row r="1151" spans="1:2" ht="15" customHeight="1" x14ac:dyDescent="0.25">
      <c r="A1151" s="11"/>
      <c r="B1151" s="12"/>
    </row>
    <row r="1152" spans="1:2" ht="15" customHeight="1" x14ac:dyDescent="0.25">
      <c r="A1152" s="11"/>
      <c r="B1152" s="12"/>
    </row>
    <row r="1153" spans="1:2" ht="15" customHeight="1" x14ac:dyDescent="0.25">
      <c r="A1153" s="11"/>
      <c r="B1153" s="12"/>
    </row>
  </sheetData>
  <phoneticPr fontId="30" type="noConversion"/>
  <dataValidations count="1">
    <dataValidation type="list" allowBlank="1" showErrorMessage="1" sqref="D2:G80 I2:I80 K2:K80">
      <formula1>#REF!</formula1>
    </dataValidation>
  </dataValidations>
  <pageMargins left="0.7" right="0.7" top="0.75" bottom="0.75" header="0" footer="0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0">
        <x14:dataValidation type="list" allowBlank="1" showErrorMessage="1">
          <x14:formula1>
            <xm:f>Data_Validation!$F$2:$F$57</xm:f>
          </x14:formula1>
          <xm:sqref>I263:I286</xm:sqref>
        </x14:dataValidation>
        <x14:dataValidation type="list" allowBlank="1" showErrorMessage="1">
          <x14:formula1>
            <xm:f>Data_Validation!$E$2:$E$3</xm:f>
          </x14:formula1>
          <xm:sqref>H2:H259 H263:H286</xm:sqref>
        </x14:dataValidation>
        <x14:dataValidation type="list" allowBlank="1" showErrorMessage="1">
          <x14:formula1>
            <xm:f>Data_Validation!$G$2:$G$24</xm:f>
          </x14:formula1>
          <xm:sqref>G243 G303:G331 G338:G393 G401:G402 G404:G432 G434 G441:G483 G489:G555 G557:G586 G588:G611 G616:G643 G645 G656:G665 G667:G668 G670 G672:G687</xm:sqref>
        </x14:dataValidation>
        <x14:dataValidation type="list" allowBlank="1" showErrorMessage="1">
          <x14:formula1>
            <xm:f>Data_Validation!$F$2:$F$48</xm:f>
          </x14:formula1>
          <xm:sqref>I201:I208 I210:I231 I233:I235 I237:I242 I244:I246 I250</xm:sqref>
        </x14:dataValidation>
        <x14:dataValidation type="list" allowBlank="1" showErrorMessage="1">
          <x14:formula1>
            <xm:f>Data_Validation!$E$2:$E$4</xm:f>
          </x14:formula1>
          <xm:sqref>H370</xm:sqref>
        </x14:dataValidation>
        <x14:dataValidation type="list" allowBlank="1" showErrorMessage="1">
          <x14:formula1>
            <xm:f>Data_Validation!$C$2:$C$32</xm:f>
          </x14:formula1>
          <xm:sqref>D201:D246 D269:D286 D303:D315 D324:D394</xm:sqref>
        </x14:dataValidation>
        <x14:dataValidation type="list" allowBlank="1" showErrorMessage="1">
          <x14:formula1>
            <xm:f>Data_Validation!$G$2:$G$19</xm:f>
          </x14:formula1>
          <xm:sqref>G208 G210:G231 G233:G235 G237:G242 G244:G247 G250 G260</xm:sqref>
        </x14:dataValidation>
        <x14:dataValidation type="list" allowBlank="1" showErrorMessage="1">
          <x14:formula1>
            <xm:f>Data_Validation!$F$2:$F$50</xm:f>
          </x14:formula1>
          <xm:sqref>I170 I232 I236</xm:sqref>
        </x14:dataValidation>
        <x14:dataValidation type="list" allowBlank="1" showErrorMessage="1">
          <x14:formula1>
            <xm:f>Data_Validation!$G$2:$G$21</xm:f>
          </x14:formula1>
          <xm:sqref>G232</xm:sqref>
        </x14:dataValidation>
        <x14:dataValidation type="list" allowBlank="1" showErrorMessage="1">
          <x14:formula1>
            <xm:f>Data_Validation!$G$2:$G$27</xm:f>
          </x14:formula1>
          <xm:sqref>G263:G286</xm:sqref>
        </x14:dataValidation>
        <x14:dataValidation type="list" allowBlank="1" showErrorMessage="1">
          <x14:formula1>
            <xm:f>Data_Validation!$B$2:$B$7</xm:f>
          </x14:formula1>
          <xm:sqref>E303:E653</xm:sqref>
        </x14:dataValidation>
        <x14:dataValidation type="list" allowBlank="1" showErrorMessage="1">
          <x14:formula1>
            <xm:f>Data_Validation!$E$2:$E$5</xm:f>
          </x14:formula1>
          <xm:sqref>H307:H312 H314:H352</xm:sqref>
        </x14:dataValidation>
        <x14:dataValidation type="list" allowBlank="1" showErrorMessage="1">
          <x14:formula1>
            <xm:f>Data_Validation!$F$2:$F$51</xm:f>
          </x14:formula1>
          <xm:sqref>I209</xm:sqref>
        </x14:dataValidation>
        <x14:dataValidation type="list" allowBlank="1" showErrorMessage="1">
          <x14:formula1>
            <xm:f>Data_Validation!$C$2:$C$35</xm:f>
          </x14:formula1>
          <xm:sqref>D255</xm:sqref>
        </x14:dataValidation>
        <x14:dataValidation type="list" allowBlank="1" showErrorMessage="1">
          <x14:formula1>
            <xm:f>Data_Validation!$H$2:$H$5</xm:f>
          </x14:formula1>
          <xm:sqref>K229 K239:K276 K280</xm:sqref>
        </x14:dataValidation>
        <x14:dataValidation type="list" allowBlank="1" showErrorMessage="1">
          <x14:formula1>
            <xm:f>Data_Validation!$F$2:$F$53</xm:f>
          </x14:formula1>
          <xm:sqref>I303:I321 I323 I326 I328:I330 I333 I335 I337:I340 I342:I394 I400:I404 I416 I457 I459 I462:I464 I466 I469:I472 I476:I480</xm:sqref>
        </x14:dataValidation>
        <x14:dataValidation type="list" allowBlank="1" showErrorMessage="1">
          <x14:formula1>
            <xm:f>Data_Validation!$H$2:$H$7</xm:f>
          </x14:formula1>
          <xm:sqref>K170</xm:sqref>
        </x14:dataValidation>
        <x14:dataValidation type="list" allowBlank="1" showErrorMessage="1">
          <x14:formula1>
            <xm:f>Data_Validation!$G$2:$G$25</xm:f>
          </x14:formula1>
          <xm:sqref>G209 G236</xm:sqref>
        </x14:dataValidation>
        <x14:dataValidation type="list" allowBlank="1" showErrorMessage="1">
          <x14:formula1>
            <xm:f>Data_Validation!$F$2:$F$52</xm:f>
          </x14:formula1>
          <xm:sqref>I243</xm:sqref>
        </x14:dataValidation>
        <x14:dataValidation type="list" allowBlank="1" showInputMessage="1" showErrorMessage="1">
          <x14:formula1>
            <xm:f>Data_Validation!$H$2:$H$5</xm:f>
          </x14:formula1>
          <xm:sqref>K546:K547 K567:K582 K584:K586 K589 K591:K597 K599:K600 K609:K618 K622 K624:K626 K628:K640 K643:K657 K659:K661 K663:K664 K669 K672 K674:K675 K678:K679 K684</xm:sqref>
        </x14:dataValidation>
        <x14:dataValidation type="list" allowBlank="1" showErrorMessage="1">
          <x14:formula1>
            <xm:f>Data_Validation!$G$2:$G$28</xm:f>
          </x14:formula1>
          <xm:sqref>G587 G612:G615 G646:G647</xm:sqref>
        </x14:dataValidation>
        <x14:dataValidation type="list" allowBlank="1" showInputMessage="1" showErrorMessage="1">
          <x14:formula1>
            <xm:f>Data_Validation!$F$2:$F$58</xm:f>
          </x14:formula1>
          <xm:sqref>I587 I644</xm:sqref>
        </x14:dataValidation>
        <x14:dataValidation type="list" allowBlank="1" showErrorMessage="1">
          <x14:formula1>
            <xm:f>Data_Validation!$G$2:$G$29</xm:f>
          </x14:formula1>
          <xm:sqref>G644</xm:sqref>
        </x14:dataValidation>
        <x14:dataValidation type="list" allowBlank="1" showInputMessage="1" showErrorMessage="1">
          <x14:formula1>
            <xm:f>Data_Validation!$F$2:$F$59</xm:f>
          </x14:formula1>
          <xm:sqref>I646:I654 I669</xm:sqref>
        </x14:dataValidation>
        <x14:dataValidation type="list" allowBlank="1" showErrorMessage="1">
          <x14:formula1>
            <xm:f>Data_Validation!$G$2:$G$30</xm:f>
          </x14:formula1>
          <xm:sqref>G648:G653 G669</xm:sqref>
        </x14:dataValidation>
        <x14:dataValidation type="list" allowBlank="1" showInputMessage="1" showErrorMessage="1">
          <x14:formula1>
            <xm:f>Data_Validation!$G$2:$G$30</xm:f>
          </x14:formula1>
          <xm:sqref>G666</xm:sqref>
        </x14:dataValidation>
        <x14:dataValidation type="list" allowBlank="1" showInputMessage="1" showErrorMessage="1">
          <x14:formula1>
            <xm:f>Data_Validation!$F$2:$F$61</xm:f>
          </x14:formula1>
          <xm:sqref>I666</xm:sqref>
        </x14:dataValidation>
        <x14:dataValidation type="list" allowBlank="1" showErrorMessage="1">
          <x14:formula1>
            <xm:f>Data_Validation!$G$2:$G$31</xm:f>
          </x14:formula1>
          <xm:sqref>G671</xm:sqref>
        </x14:dataValidation>
        <x14:dataValidation type="list" allowBlank="1" showInputMessage="1" showErrorMessage="1">
          <x14:formula1>
            <xm:f>Data_Validation!$F$2:$F$62</xm:f>
          </x14:formula1>
          <xm:sqref>I671</xm:sqref>
        </x14:dataValidation>
        <x14:dataValidation type="list" allowBlank="1" showErrorMessage="1">
          <x14:formula1>
            <xm:f>Data_Validation!$G$2:$G25</xm:f>
          </x14:formula1>
          <xm:sqref>G251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9" workbookViewId="0">
      <pane ySplit="1" topLeftCell="A62" activePane="bottomLeft" state="frozen"/>
      <selection pane="bottomLeft" activeCell="E65" sqref="E65"/>
    </sheetView>
  </sheetViews>
  <sheetFormatPr defaultColWidth="14.42578125" defaultRowHeight="15" customHeight="1" x14ac:dyDescent="0.25"/>
  <cols>
    <col min="1" max="1" width="13.7109375" customWidth="1"/>
    <col min="2" max="3" width="12.7109375" customWidth="1"/>
    <col min="4" max="4" width="13.5703125" customWidth="1"/>
    <col min="5" max="5" width="16.140625" customWidth="1"/>
    <col min="6" max="6" width="12.7109375" customWidth="1"/>
    <col min="7" max="7" width="19.28515625" customWidth="1"/>
    <col min="8" max="9" width="13.42578125" customWidth="1"/>
    <col min="10" max="26" width="8.7109375" customWidth="1"/>
  </cols>
  <sheetData>
    <row r="1" spans="1:26" ht="16.5" customHeight="1" x14ac:dyDescent="0.25">
      <c r="A1" s="13" t="s">
        <v>0</v>
      </c>
      <c r="B1" s="13" t="s">
        <v>119</v>
      </c>
      <c r="C1" s="13" t="s">
        <v>120</v>
      </c>
      <c r="D1" s="13" t="s">
        <v>121</v>
      </c>
      <c r="E1" s="13" t="s">
        <v>122</v>
      </c>
      <c r="F1" s="13" t="s">
        <v>123</v>
      </c>
      <c r="G1" s="14" t="s">
        <v>124</v>
      </c>
      <c r="H1" s="15" t="s">
        <v>125</v>
      </c>
      <c r="I1" s="15" t="s">
        <v>126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4.25" customHeight="1" x14ac:dyDescent="0.25">
      <c r="A2" s="17">
        <f>Sales!A28</f>
        <v>45690</v>
      </c>
      <c r="B2" s="18">
        <f>SUMIF(Sales!A:A, A2, Sales!K:K)</f>
        <v>0</v>
      </c>
      <c r="C2" s="18">
        <f>SUMIF(Sales!A:A, A2, Sales!N:N)</f>
        <v>340</v>
      </c>
      <c r="D2" s="18">
        <f>SUM($C$2)</f>
        <v>340</v>
      </c>
      <c r="E2" s="18">
        <f>179+179+211.08+155.76</f>
        <v>724.84</v>
      </c>
      <c r="F2" s="18">
        <f>SUM($C$2)</f>
        <v>340</v>
      </c>
      <c r="G2" s="18">
        <v>32</v>
      </c>
      <c r="H2" s="18"/>
      <c r="I2" s="18"/>
    </row>
    <row r="3" spans="1:26" ht="14.25" customHeight="1" x14ac:dyDescent="0.25">
      <c r="A3" s="17">
        <f>Sales!A32</f>
        <v>45691</v>
      </c>
      <c r="B3" s="18">
        <f>SUMIF(Sales!A:A, A3, Sales!K:K)</f>
        <v>0</v>
      </c>
      <c r="C3" s="18">
        <f>SUMIF(Sales!A:A, A3, Sales!N:N)</f>
        <v>0</v>
      </c>
      <c r="D3" s="18">
        <f>SUM($C$2+$C$3)</f>
        <v>340</v>
      </c>
      <c r="E3" s="18">
        <f>SUM(881+173+371+136+167+570+416+211+211+265)</f>
        <v>3401</v>
      </c>
      <c r="F3" s="18">
        <f>SUM(E$2+E$3)</f>
        <v>4125.84</v>
      </c>
      <c r="G3" s="18">
        <v>46</v>
      </c>
      <c r="H3" s="19">
        <v>0</v>
      </c>
      <c r="I3" s="19"/>
    </row>
    <row r="4" spans="1:26" ht="14.25" customHeight="1" x14ac:dyDescent="0.25">
      <c r="A4" s="17">
        <f>Sales!A42</f>
        <v>45692</v>
      </c>
      <c r="B4" s="18">
        <f>SUMIF(Sales!A:A, A4, Sales!K:K)</f>
        <v>0</v>
      </c>
      <c r="C4" s="18">
        <f>SUMIF(Sales!A:A, A4, Sales!N:N)</f>
        <v>340</v>
      </c>
      <c r="D4" s="18">
        <f>SUM($C$2+$C$3+$C$4)</f>
        <v>680</v>
      </c>
      <c r="E4" s="18">
        <f>SUM(179+179+174)</f>
        <v>532</v>
      </c>
      <c r="F4" s="18">
        <f>SUM($E$3+$E$4+$E$2)</f>
        <v>4657.84</v>
      </c>
      <c r="G4" s="18">
        <v>112</v>
      </c>
      <c r="H4" s="19">
        <v>0</v>
      </c>
      <c r="I4" s="19"/>
    </row>
    <row r="5" spans="1:26" ht="14.25" customHeight="1" x14ac:dyDescent="0.25">
      <c r="A5" s="17">
        <f>Sales!A45</f>
        <v>45693</v>
      </c>
      <c r="B5" s="18">
        <f>SUMIF(Sales!A:A, A5, Sales!K:K)</f>
        <v>0</v>
      </c>
      <c r="C5" s="18">
        <f>SUMIF(Sales!A:A, A5, Sales!N:N)</f>
        <v>0</v>
      </c>
      <c r="D5" s="18">
        <f>SUM($C$2+$C$3+$C$4+$C$5)</f>
        <v>680</v>
      </c>
      <c r="E5" s="18">
        <f>SUM(369+886)</f>
        <v>1255</v>
      </c>
      <c r="F5" s="18">
        <f>SUM($E$4+$E$5+$E$3+$E$2)</f>
        <v>5912.84</v>
      </c>
      <c r="G5" s="18">
        <v>150</v>
      </c>
      <c r="H5" s="19">
        <v>0</v>
      </c>
      <c r="I5" s="19"/>
    </row>
    <row r="6" spans="1:26" ht="14.25" customHeight="1" x14ac:dyDescent="0.25">
      <c r="A6" s="17">
        <f>Sales!A48</f>
        <v>45694</v>
      </c>
      <c r="B6" s="18">
        <f>SUMIF(Sales!A:A, A6, Sales!K:K)</f>
        <v>0</v>
      </c>
      <c r="C6" s="18">
        <f>SUMIF(Sales!A:A, A6, Sales!N:N)</f>
        <v>0</v>
      </c>
      <c r="D6" s="18">
        <f>SUM($C$2+$C$3+$C$4+$C$5+$C$6)</f>
        <v>680</v>
      </c>
      <c r="E6" s="18">
        <f>SUM(416+173+570+614)</f>
        <v>1773</v>
      </c>
      <c r="F6" s="18">
        <f>SUM($E$2+$E$5+$E$6+$E$4+$E$3)</f>
        <v>7685.84</v>
      </c>
      <c r="G6" s="18">
        <v>170</v>
      </c>
      <c r="H6" s="19">
        <v>0</v>
      </c>
      <c r="I6" s="19"/>
    </row>
    <row r="7" spans="1:26" ht="14.25" customHeight="1" x14ac:dyDescent="0.25">
      <c r="A7" s="17">
        <f>Sales!A54</f>
        <v>45695</v>
      </c>
      <c r="B7" s="18">
        <f>SUMIF(Sales!A:A, A7, Sales!K:K)</f>
        <v>0</v>
      </c>
      <c r="C7" s="18">
        <f>SUMIF(Sales!A:A, A7, Sales!N:N)</f>
        <v>0</v>
      </c>
      <c r="D7" s="18">
        <f>SUM($C$2+$C$3+$C$4+$C$5+$C$6+$C$7)</f>
        <v>680</v>
      </c>
      <c r="E7" s="18">
        <f>SUM(145+173+167+283+283+87)</f>
        <v>1138</v>
      </c>
      <c r="F7" s="18">
        <f>SUM($E$2+$E$5+$E$6+$E$4+$E$3+E7)</f>
        <v>8823.84</v>
      </c>
      <c r="G7" s="18">
        <v>59</v>
      </c>
      <c r="H7" s="19">
        <v>0</v>
      </c>
      <c r="I7" s="19"/>
    </row>
    <row r="8" spans="1:26" ht="14.25" customHeight="1" x14ac:dyDescent="0.25">
      <c r="A8" s="17">
        <f>Sales!A60</f>
        <v>45696</v>
      </c>
      <c r="B8" s="18">
        <f>SUMIF(Sales!A:A, A8, Sales!K:K)</f>
        <v>0</v>
      </c>
      <c r="C8" s="18">
        <f>SUMIF(Sales!A:A, A8, Sales!N:N)</f>
        <v>0</v>
      </c>
      <c r="D8" s="18">
        <f>SUM($C$2+$C$3+$C$4+$C$5+$C$6+$C$7+$C$8)</f>
        <v>680</v>
      </c>
      <c r="E8" s="18">
        <f>SUM(283+378)</f>
        <v>661</v>
      </c>
      <c r="F8" s="18">
        <f>SUM($E$2+$E$5+$E$6+$E$4+$E$3+$E$8+$E$7)</f>
        <v>9484.84</v>
      </c>
      <c r="G8" s="18">
        <v>65</v>
      </c>
      <c r="H8" s="19">
        <v>349</v>
      </c>
      <c r="I8" s="19"/>
    </row>
    <row r="9" spans="1:26" ht="14.25" customHeight="1" x14ac:dyDescent="0.25">
      <c r="A9" s="17">
        <f>Sales!A62</f>
        <v>45697</v>
      </c>
      <c r="B9" s="18">
        <f>SUMIF(Sales!A:A, A9, Sales!K:K)</f>
        <v>0</v>
      </c>
      <c r="C9" s="18">
        <f>SUMIF(Sales!A:A, A9, Sales!N:N)</f>
        <v>0</v>
      </c>
      <c r="D9" s="18">
        <f>SUM($C$2+$C$3+$C$4+$C$5+$C$6+$C$7+$C$8+$C$9)</f>
        <v>680</v>
      </c>
      <c r="E9" s="18">
        <f>SUM(500+167+173+881)</f>
        <v>1721</v>
      </c>
      <c r="F9" s="18">
        <f>SUM($E$2+$E$5+$E$6+$E$4+$E$3+$E$8+$E$7+$E$9)</f>
        <v>11205.84</v>
      </c>
      <c r="G9" s="18">
        <v>53</v>
      </c>
      <c r="H9" s="19">
        <v>0</v>
      </c>
      <c r="I9" s="19"/>
    </row>
    <row r="10" spans="1:26" ht="14.25" customHeight="1" x14ac:dyDescent="0.25">
      <c r="A10" s="17">
        <f>Sales!A67</f>
        <v>45698</v>
      </c>
      <c r="B10" s="18">
        <f>SUMIF(Sales!A:A, A10, Sales!K:K)</f>
        <v>0</v>
      </c>
      <c r="C10" s="18">
        <f>SUMIF(Sales!A:A, A10, Sales!N:N)</f>
        <v>0</v>
      </c>
      <c r="D10" s="18">
        <f>SUM($C$2+$C$3+$C$4+$C$5+$C$6+$C$7+$C$8+$C$9+$C$10)</f>
        <v>680</v>
      </c>
      <c r="E10" s="18">
        <f>SUM(233+87)</f>
        <v>320</v>
      </c>
      <c r="F10" s="18">
        <f>SUM($E$2+$E$5+$E$6+$E$4+$E$3+$E$8+$E$7+$E$9+$E$10)</f>
        <v>11525.84</v>
      </c>
      <c r="G10" s="18">
        <v>25</v>
      </c>
      <c r="H10" s="19">
        <v>299</v>
      </c>
      <c r="I10" s="19"/>
    </row>
    <row r="11" spans="1:26" ht="14.25" customHeight="1" x14ac:dyDescent="0.25">
      <c r="A11" s="17">
        <f>Sales!A69</f>
        <v>45699</v>
      </c>
      <c r="B11" s="18">
        <f>SUMIF(Sales!A:A, A11, Sales!K:K)</f>
        <v>0</v>
      </c>
      <c r="C11" s="18">
        <f>SUMIF(Sales!A:A, A11, Sales!N:N)</f>
        <v>0</v>
      </c>
      <c r="D11" s="18">
        <f>SUM($C$2+$C$3+$C$4+$C$5+$C$6+$C$7+$C$8+$C$9+$C$10+$C$11)</f>
        <v>680</v>
      </c>
      <c r="E11" s="18">
        <f>SUM(173+162+148+87+173)</f>
        <v>743</v>
      </c>
      <c r="F11" s="18">
        <f>SUM($E$2+$E$5+$E$6+$E$4+$E$3+$E$8+$E$7+$E$9+$E$10+$E$11)</f>
        <v>12268.84</v>
      </c>
      <c r="G11" s="18">
        <v>106</v>
      </c>
      <c r="H11" s="19">
        <v>0</v>
      </c>
      <c r="I11" s="19"/>
    </row>
    <row r="12" spans="1:26" ht="14.25" customHeight="1" x14ac:dyDescent="0.25">
      <c r="A12" s="17">
        <f>Sales!A74</f>
        <v>45700</v>
      </c>
      <c r="B12" s="18">
        <f>SUMIF(Sales!A:A, A12, Sales!K:K)</f>
        <v>0</v>
      </c>
      <c r="C12" s="18">
        <f>SUMIF(Sales!A:A, A12, Sales!N:N)</f>
        <v>87.34</v>
      </c>
      <c r="D12" s="18">
        <f>SUM($C$2+$C$3+$C$4+$C$5+$C$6+$C$7+$C$8+$C$9+$C$10+$C$11+$C$12)</f>
        <v>767.34</v>
      </c>
      <c r="E12" s="18">
        <f>87+163+163</f>
        <v>413</v>
      </c>
      <c r="F12" s="18">
        <f>SUM($E$2+$E$5+$E$6+$E$4+$E$3+$E$8+$E$7+$E$9+$E$10+$E$11+$E$12)</f>
        <v>12681.84</v>
      </c>
      <c r="G12" s="18">
        <v>67</v>
      </c>
      <c r="H12" s="18"/>
      <c r="I12" s="18"/>
    </row>
    <row r="13" spans="1:26" ht="14.25" customHeight="1" x14ac:dyDescent="0.25">
      <c r="A13" s="17">
        <v>45701</v>
      </c>
      <c r="B13" s="18">
        <v>4</v>
      </c>
      <c r="C13" s="18">
        <v>1567</v>
      </c>
      <c r="D13" s="18">
        <f>SUM($C$2+$C$3+$C$4+$C$5+$C$6+$C$7+$C$8+$C$9+$C$10+$C$11+$C$12+$C$13)</f>
        <v>2334.34</v>
      </c>
      <c r="E13" s="18">
        <v>987</v>
      </c>
      <c r="F13" s="18">
        <f>SUM($E$2+$E$5+$E$6+$E$4+$E$3+$E$8+$E$7+$E$9+$E$10+$E$11+$E$12+$E$13)</f>
        <v>13668.84</v>
      </c>
      <c r="G13" s="18">
        <v>127</v>
      </c>
      <c r="H13" s="19">
        <v>637</v>
      </c>
      <c r="I13" s="19"/>
    </row>
    <row r="14" spans="1:26" ht="14.25" customHeight="1" x14ac:dyDescent="0.25">
      <c r="A14" s="17">
        <v>45702</v>
      </c>
      <c r="B14" s="18">
        <v>4</v>
      </c>
      <c r="C14" s="18">
        <v>1286</v>
      </c>
      <c r="D14" s="18">
        <f>SUM($C$2+$C$3+$C$4+$C$5+$C$6+$C$7+$C$8+$C$9+$C$10+$C$11+$C$12+$C$13+$C$14)</f>
        <v>3620.34</v>
      </c>
      <c r="E14" s="18">
        <v>784</v>
      </c>
      <c r="F14" s="18">
        <f>SUM($E$2+$E$5+$E$6+$E$4+$E$3+$E$8+$E$7+$E$9+$E$10+$E$11+$E$12+$E$13+$E$14)</f>
        <v>14452.84</v>
      </c>
      <c r="G14" s="18">
        <v>117</v>
      </c>
      <c r="H14" s="19">
        <v>0</v>
      </c>
      <c r="I14" s="19"/>
    </row>
    <row r="15" spans="1:26" ht="14.25" customHeight="1" x14ac:dyDescent="0.25">
      <c r="A15" s="17">
        <v>45703</v>
      </c>
      <c r="B15" s="18">
        <v>12</v>
      </c>
      <c r="C15" s="18">
        <v>4956.66</v>
      </c>
      <c r="D15" s="18">
        <f>SUM($C$2+$C$3+$C$4+$C$5+$C$6+$C$7+$C$8+$C$9+$C$10+$C$11+$C$12+$C$13+$C$14+$C$15)</f>
        <v>8577</v>
      </c>
      <c r="E15" s="18">
        <v>3267.8599999999997</v>
      </c>
      <c r="F15" s="18">
        <f>SUM($E$2+$E$5+$E$6+$E$4+$E$3+$E$8+$E$7+$E$9+$E$10+$E$11+$E$12+$E$13+$E$14+$E$15)</f>
        <v>17720.7</v>
      </c>
      <c r="G15" s="18">
        <v>100</v>
      </c>
      <c r="H15" s="19">
        <v>0</v>
      </c>
      <c r="I15" s="19"/>
    </row>
    <row r="16" spans="1:26" ht="14.25" customHeight="1" x14ac:dyDescent="0.25">
      <c r="A16" s="17">
        <v>45704</v>
      </c>
      <c r="B16" s="18">
        <v>7</v>
      </c>
      <c r="C16" s="18">
        <v>2594</v>
      </c>
      <c r="D16" s="18">
        <f>SUM($C$2+$C$3+$C$4+$C$5+$C$6+$C$7+$C$8+$C$9+$C$10+$C$11+$C$12+$C$13+$C$14+$C$15+$C$16)</f>
        <v>11171</v>
      </c>
      <c r="E16" s="18">
        <v>1720</v>
      </c>
      <c r="F16" s="18">
        <f>SUM($E$2+$E$5+$E$6+$E$4+$E$3+$E$8+$E$7+$E$9+$E$10+$E$11+$E$12+$E$13+$E$14+$E$15+$E$16)</f>
        <v>19440.7</v>
      </c>
      <c r="G16" s="18">
        <v>262</v>
      </c>
      <c r="H16" s="19">
        <v>0</v>
      </c>
      <c r="I16" s="19"/>
    </row>
    <row r="17" spans="1:9" ht="14.25" customHeight="1" x14ac:dyDescent="0.25">
      <c r="A17" s="17">
        <v>45705</v>
      </c>
      <c r="B17" s="18">
        <v>10</v>
      </c>
      <c r="C17" s="18">
        <v>3406</v>
      </c>
      <c r="D17" s="18">
        <f>SUM($C$2+$C$3+$C$4+$C$5+$C$6+$C$7+$C$8+$C$9+$C$10+$C$11+$C$12+$C$13+$C$14+$C$15+$C$16+$C$17)</f>
        <v>14577</v>
      </c>
      <c r="E17" s="18">
        <v>2138</v>
      </c>
      <c r="F17" s="18">
        <f>SUM($E$2+$E$5+$E$6+$E$4+$E$3+$E$8+$E$7+$E$9+$E$10+$E$11+$E$12+$E$13+$E$14+$E$15+$E$16+$E$17)</f>
        <v>21578.7</v>
      </c>
      <c r="G17" s="18">
        <v>149</v>
      </c>
      <c r="H17" s="19">
        <v>635</v>
      </c>
      <c r="I17" s="19"/>
    </row>
    <row r="18" spans="1:9" ht="14.25" customHeight="1" x14ac:dyDescent="0.25">
      <c r="A18" s="17">
        <v>45706</v>
      </c>
      <c r="B18" s="18">
        <v>5</v>
      </c>
      <c r="C18" s="18">
        <v>1755</v>
      </c>
      <c r="D18" s="18">
        <f>SUM($C$2+$C$3+$C$4+$C$5+$C$6+$C$7+$C$8+$C$9+$C$10+$C$11+$C$12+$C$13+$C$14+$C$15+$C$16+$C$17+$C$18)</f>
        <v>16332</v>
      </c>
      <c r="E18" s="18">
        <v>1097</v>
      </c>
      <c r="F18" s="18">
        <f>SUM($E$2+$E$5+$E$6+$E$4+$E$3+$E$8+$E$7+$E$9+$E$10+$E$11+$E$12+$E$13+$E$14+$E$15+$E$16+$E$17+$E$18)</f>
        <v>22675.7</v>
      </c>
      <c r="G18" s="18">
        <v>118</v>
      </c>
      <c r="H18" s="19">
        <v>0</v>
      </c>
      <c r="I18" s="19"/>
    </row>
    <row r="19" spans="1:9" ht="14.25" customHeight="1" x14ac:dyDescent="0.25">
      <c r="A19" s="17">
        <v>45707</v>
      </c>
      <c r="B19" s="18">
        <v>6</v>
      </c>
      <c r="C19" s="18">
        <v>2914</v>
      </c>
      <c r="D19" s="18">
        <f>SUM($C$2+$C$3+$C$4+$C$5+$C$6+$C$7+$C$8+$C$9+$C$10+$C$11+$C$12+$C$13+$C$14+$C$15+$C$16+$C$17+$C$18+$C$19)</f>
        <v>19246</v>
      </c>
      <c r="E19" s="18">
        <v>1954</v>
      </c>
      <c r="F19" s="18">
        <f>SUM($E$2+$E$5+$E$6+$E$4+$E$3+$E$8+$E$7+$E$9+$E$10+$E$11+$E$12+$E$13+$E$14+$E$15+$E$16+$E$17+$E$18+$E$19)</f>
        <v>24629.7</v>
      </c>
      <c r="G19" s="18">
        <v>210</v>
      </c>
      <c r="H19" s="19">
        <v>179</v>
      </c>
      <c r="I19" s="19"/>
    </row>
    <row r="20" spans="1:9" ht="14.25" customHeight="1" x14ac:dyDescent="0.25">
      <c r="A20" s="17">
        <v>45708</v>
      </c>
      <c r="B20" s="18">
        <v>9</v>
      </c>
      <c r="C20" s="18">
        <v>3593</v>
      </c>
      <c r="D20" s="18">
        <f>SUM($C$2+$C$3+$C$4+$C$5+$C$6+$C$7+$C$8+$C$9+$C$10+$C$11+$C$12+$C$13+$C$14+$C$15+$C$16+$C$17+$C$18+$C$19+C20)</f>
        <v>22839</v>
      </c>
      <c r="E20" s="18">
        <v>2409</v>
      </c>
      <c r="F20" s="18">
        <f>SUM($E$2+$E$5+$E$6+$E$4+$E$3+$E$8+$E$7+$E$9+$E$10+$E$11+$E$12+$E$13+$E$14+$E$15+$E$16+$E$17+$E$18+$E$20+$E$19)</f>
        <v>27038.7</v>
      </c>
      <c r="G20" s="18">
        <v>180</v>
      </c>
      <c r="H20" s="19">
        <v>284</v>
      </c>
      <c r="I20" s="19"/>
    </row>
    <row r="21" spans="1:9" ht="14.25" customHeight="1" x14ac:dyDescent="0.25">
      <c r="A21" s="17">
        <v>45709</v>
      </c>
      <c r="B21" s="18">
        <v>4</v>
      </c>
      <c r="C21" s="18">
        <v>1374</v>
      </c>
      <c r="D21" s="18">
        <f>SUM($C$2+$C$3+$C$4+$C$5+$C$6+$C$7+$C$8+$C$9+$C$10+$C$11+$C$12+$C$13+$C$14+$C$15+$C$16+$C$17+$C$18+$C$19+$C$21+$C$20)</f>
        <v>24213</v>
      </c>
      <c r="E21" s="18">
        <v>861</v>
      </c>
      <c r="F21" s="18">
        <f>SUM($E$2+$E$5+$E$6+$E$4+$E$3+$E$8+$E$7+$E$9+$E$10+$E$11+$E$12+$E$13+$E$14+$E$15+$E$16+$E$17+$E$18+$E$21+$E$19+$E$20)</f>
        <v>27899.7</v>
      </c>
      <c r="G21" s="18">
        <v>93</v>
      </c>
      <c r="H21" s="19">
        <v>0</v>
      </c>
      <c r="I21" s="19"/>
    </row>
    <row r="22" spans="1:9" ht="14.25" customHeight="1" x14ac:dyDescent="0.25">
      <c r="A22" s="17">
        <v>45710</v>
      </c>
      <c r="B22" s="18">
        <v>10</v>
      </c>
      <c r="C22" s="18">
        <v>4487</v>
      </c>
      <c r="D22" s="18">
        <f>SUM($C$2+$C$3+$C$4+$C$5+$C$6+$C$7+$C$8+$C$9+$C$10+$C$11+$C$12+$C$13+$C$14+$C$15+$C$16+$C$17+$C$18+$C$19+$C$21+$C$20+$C$22)</f>
        <v>28700</v>
      </c>
      <c r="E22" s="18">
        <v>3209</v>
      </c>
      <c r="F22" s="18">
        <f>SUM($E$2+$E$5+$E$6+$E$4+$E$3+$E$8+$E$7+$E$9+$E$10+$E$11+$E$12+$E$13+$E$14+$E$15+$E$16+$E$17+$E$18+$E$21+$E$19+$E$20+$E$22)</f>
        <v>31108.7</v>
      </c>
      <c r="G22" s="18">
        <v>193</v>
      </c>
      <c r="H22" s="19">
        <v>399</v>
      </c>
      <c r="I22" s="19"/>
    </row>
    <row r="23" spans="1:9" ht="14.25" customHeight="1" x14ac:dyDescent="0.25">
      <c r="A23" s="17">
        <v>45711</v>
      </c>
      <c r="B23" s="18">
        <v>5</v>
      </c>
      <c r="C23" s="18">
        <v>2735</v>
      </c>
      <c r="D23" s="18">
        <f>SUM($C$2+$C$3+$C$4+$C$5+$C$6+$C$7+$C$8+$C$9+$C$10+$C$11+$C$12+$C$13+$C$14+$C$15+$C$16+$C$17+$C$18+$C$19+$C$21+$C$20+$C$22+$C$23)</f>
        <v>31435</v>
      </c>
      <c r="E23" s="18">
        <v>1837</v>
      </c>
      <c r="F23" s="18">
        <f>SUM($E$2+$E$5+$E$6+$E$4+$E$3+$E$8+$E$7+$E$9+$E$10+$E$11+$E$12+$E$13+$E$14+$E$15+$E$16+$E$17+$E$18+$E$21+$E$19+$E$20+$E$22+$E$23)</f>
        <v>32945.699999999997</v>
      </c>
      <c r="G23" s="18">
        <v>216</v>
      </c>
      <c r="H23" s="19">
        <v>0</v>
      </c>
      <c r="I23" s="19"/>
    </row>
    <row r="24" spans="1:9" ht="14.25" customHeight="1" x14ac:dyDescent="0.25">
      <c r="A24" s="17">
        <v>45712</v>
      </c>
      <c r="B24" s="18">
        <v>7</v>
      </c>
      <c r="C24" s="18">
        <v>2718</v>
      </c>
      <c r="D24" s="18">
        <f>SUM($C$2+$C$3+$C$4+$C$5+$C$6+$C$7+$C$8+$C$9+$C$10+$C$11+$C$12+$C$13+$C$14+$C$15+$C$16+$C$17+$C$18+$C$19+$C$21+$C$20+$C$22+$C$23+$C$24)</f>
        <v>34153</v>
      </c>
      <c r="E24" s="18">
        <v>1685</v>
      </c>
      <c r="F24" s="18">
        <f>SUM($E$2+$E$5+$E$6+$E$4+$E$3+$E$8+$E$7+$E$9+$E$10+$E$11+$E$12+$E$13+$E$14+$E$15+$E$16+$E$17+$E$18+$E$21+$E$19+$E$20+$E$22+$E$23+$E$24)</f>
        <v>34630.699999999997</v>
      </c>
      <c r="G24" s="18">
        <v>309</v>
      </c>
      <c r="H24" s="19">
        <v>419</v>
      </c>
      <c r="I24" s="19"/>
    </row>
    <row r="25" spans="1:9" ht="14.25" customHeight="1" x14ac:dyDescent="0.25">
      <c r="A25" s="17">
        <v>45713</v>
      </c>
      <c r="B25" s="18">
        <v>17</v>
      </c>
      <c r="C25" s="18">
        <v>6765</v>
      </c>
      <c r="D25" s="18">
        <f>SUM($C$2+$C$3+$C$4+$C$5+$C$6+$C$7+$C$8+$C$9+$C$10+$C$11+$C$12+$C$13+$C$14+$C$15+$C$16+$C$17+$C$18+$C$19+$C$21+$C$20+$C$22+$C$23+$C$24+$C$25)</f>
        <v>40918</v>
      </c>
      <c r="E25" s="18">
        <v>4596</v>
      </c>
      <c r="F25" s="18">
        <f>SUM($E$2+$E$5+$E$6+$E$4+$E$3+$E$8+$E$7+$E$9+$E$10+$E$11+$E$12+$E$13+$E$14+$E$15+$E$16+$E$17+$E$18+$E$21+$E$19+$E$20+$E$22+$E$23+$E$24+$E$25)</f>
        <v>39226.699999999997</v>
      </c>
      <c r="G25" s="18">
        <v>143</v>
      </c>
      <c r="H25" s="19">
        <f>SUMIF(Returns!B:B, A25, Returns!P:P)</f>
        <v>0</v>
      </c>
      <c r="I25" s="19"/>
    </row>
    <row r="26" spans="1:9" ht="14.25" customHeight="1" x14ac:dyDescent="0.25">
      <c r="A26" s="17">
        <v>45714</v>
      </c>
      <c r="B26" s="18">
        <v>9</v>
      </c>
      <c r="C26" s="18">
        <v>4263</v>
      </c>
      <c r="D26" s="18">
        <f>SUM($C$2+$C$3+$C$4+$C$5+$C$6+$C$7+$C$8+$C$9+$C$10+$C$11+$C$12+$C$13+$C$14+$C$15+$C$16+$C$17+$C$18+$C$19+$C$21+$C$20+$C$22+$C$23+$C$24+$C$25+$C$26)</f>
        <v>45181</v>
      </c>
      <c r="E26" s="18">
        <v>2864</v>
      </c>
      <c r="F26" s="18">
        <f>SUM($E$2+$E$5+$E$6+$E$4+$E$3+$E$8+$E$7+$E$9+$E$10+$E$11+$E$12+$E$13+$E$14+$E$15+$E$16+$E$17+$E$18+$E$21+$E$19+$E$20+$E$22+$E$23+$E$24+$E$25+$E$26)</f>
        <v>42090.7</v>
      </c>
      <c r="G26" s="20">
        <v>71</v>
      </c>
      <c r="H26" s="19">
        <f>SUMIF(Returns!B:B, A26, Returns!P:P)</f>
        <v>0</v>
      </c>
      <c r="I26" s="19"/>
    </row>
    <row r="27" spans="1:9" ht="14.25" customHeight="1" x14ac:dyDescent="0.25">
      <c r="A27" s="17">
        <v>45715</v>
      </c>
      <c r="B27" s="18">
        <v>11</v>
      </c>
      <c r="C27" s="18">
        <v>4319</v>
      </c>
      <c r="D27" s="18">
        <f>SUM($C$2+$C$3+$C$4+$C$5+$C$6+$C$7+$C$8+$C$9+$C$10+$C$11+$C$12+$C$13+$C$14+$C$15+$C$16+$C$17+$C$18+$C$19+$C$21+$C$20+$C$22+$C$23+$C$24+$C$25+$C$26+$C$27)</f>
        <v>49500</v>
      </c>
      <c r="E27" s="21">
        <v>3010.95</v>
      </c>
      <c r="F27" s="21">
        <f>SUM($E$2+$E$5+$E$6+$E$4+$E$3+$E$8+$E$7+$E$9+$E$10+$E$11+$E$12+$E$13+$E$14+$E$15+$E$16+$E$17+$E$18+$E$21+$E$19+$E$20+$E$22+$E$23+$E$24+$E$25+$E$26+$E$27)</f>
        <v>45101.649999999994</v>
      </c>
      <c r="G27" s="20">
        <v>284</v>
      </c>
      <c r="H27" s="19">
        <f>SUMIF(Returns!B:B, A27, Returns!P:P)</f>
        <v>314</v>
      </c>
      <c r="I27" s="19"/>
    </row>
    <row r="28" spans="1:9" ht="14.25" customHeight="1" x14ac:dyDescent="0.25">
      <c r="A28" s="17">
        <v>45716</v>
      </c>
      <c r="B28" s="18">
        <v>7</v>
      </c>
      <c r="C28" s="18">
        <v>2643</v>
      </c>
      <c r="D28" s="18">
        <f>SUM($C$2+$C$3+$C$4+$C$5+$C$6+$C$7+$C$8+$C$9+$C$10+$C$11+$C$12+$C$13+$C$14+$C$15+$C$16+$C$17+$C$18+$C$19+$C$21+$C$20+$C$22+$C$23+$C$24+$C$25+$C$26+$C$27+$C$28)</f>
        <v>52143</v>
      </c>
      <c r="E28" s="21">
        <v>1732</v>
      </c>
      <c r="F28" s="21">
        <f>SUM($E$2+$E$5+$E$6+$E$4+$E$3+$E$8+$E$7+$E$9+$E$10+$E$11+$E$12+$E$13+$E$14+$E$15+$E$16+$E$17+$E$18+$E$21+$E$19+$E$20+$E$22+$E$23+$E$24+$E$25+$E$26+$E$27+$E$28)</f>
        <v>46833.649999999994</v>
      </c>
      <c r="G28" s="20">
        <v>320</v>
      </c>
      <c r="H28" s="19">
        <f>SUMIF(Returns!B:B, A28, Returns!P:P)</f>
        <v>0</v>
      </c>
      <c r="I28" s="19"/>
    </row>
    <row r="29" spans="1:9" ht="14.25" customHeight="1" x14ac:dyDescent="0.25"/>
    <row r="30" spans="1:9" ht="14.25" customHeight="1" x14ac:dyDescent="0.25">
      <c r="A30" s="22" t="s">
        <v>0</v>
      </c>
      <c r="B30" s="22" t="s">
        <v>119</v>
      </c>
      <c r="C30" s="22" t="s">
        <v>120</v>
      </c>
      <c r="D30" s="22" t="s">
        <v>121</v>
      </c>
      <c r="E30" s="22" t="s">
        <v>122</v>
      </c>
      <c r="F30" s="22" t="s">
        <v>123</v>
      </c>
      <c r="G30" s="23" t="s">
        <v>124</v>
      </c>
      <c r="H30" s="24" t="s">
        <v>127</v>
      </c>
      <c r="I30" s="15" t="s">
        <v>126</v>
      </c>
    </row>
    <row r="31" spans="1:9" ht="14.25" customHeight="1" x14ac:dyDescent="0.25">
      <c r="A31" s="17">
        <f>Sales!A201</f>
        <v>45717</v>
      </c>
      <c r="B31" s="18">
        <f>SUMIF(Sales!A:A, A31, Sales!J:J)</f>
        <v>15</v>
      </c>
      <c r="C31" s="18">
        <f>SUMIF(Sales!A:A, A31,Sales!M:M)</f>
        <v>7972</v>
      </c>
      <c r="D31" s="18">
        <f>SUM(C31)</f>
        <v>7972</v>
      </c>
      <c r="E31" s="18">
        <f>SUMIF(Sales!A:A, A31, Sales!N:N)</f>
        <v>4996</v>
      </c>
      <c r="F31" s="18">
        <f>SUM(E31)</f>
        <v>4996</v>
      </c>
      <c r="G31" s="18">
        <v>433</v>
      </c>
      <c r="H31" s="19">
        <f>SUMIF(Returns!B:B, A31, Returns!P:P)</f>
        <v>0</v>
      </c>
      <c r="I31" s="19">
        <f>SUMIF(Returns!B:B, A31, Returns!L:L)</f>
        <v>0</v>
      </c>
    </row>
    <row r="32" spans="1:9" ht="14.25" customHeight="1" x14ac:dyDescent="0.25">
      <c r="A32" s="17">
        <f>Sales!A218</f>
        <v>45718</v>
      </c>
      <c r="B32" s="18">
        <f>SUMIF(Sales!A:A, A32, Sales!J:J)</f>
        <v>10</v>
      </c>
      <c r="C32" s="18">
        <f>SUMIF(Sales!A:A, A32,Sales!M:M)</f>
        <v>4260</v>
      </c>
      <c r="D32" s="18">
        <f>SUM($C$32+$C$31)</f>
        <v>12232</v>
      </c>
      <c r="E32" s="18">
        <f>SUMIF(Sales!A:A, A32, Sales!N:N)</f>
        <v>2709</v>
      </c>
      <c r="F32" s="18">
        <f>SUM($E$32+$E$31)</f>
        <v>7705</v>
      </c>
      <c r="G32" s="18">
        <v>242</v>
      </c>
      <c r="H32" s="19">
        <f>SUMIF(Returns!B:B, A32, Returns!P:P)</f>
        <v>0</v>
      </c>
      <c r="I32" s="19">
        <f>SUMIF(Returns!B:B, A32, Returns!L:L)</f>
        <v>0</v>
      </c>
    </row>
    <row r="33" spans="1:9" ht="14.25" customHeight="1" x14ac:dyDescent="0.25">
      <c r="A33" s="17">
        <f>Sales!A226</f>
        <v>45719</v>
      </c>
      <c r="B33" s="18">
        <f>SUMIF(Sales!A:A, A33, Sales!J:J)</f>
        <v>9</v>
      </c>
      <c r="C33" s="18">
        <f>SUMIF(Sales!A:A, A33,Sales!M:M)</f>
        <v>3383</v>
      </c>
      <c r="D33" s="18">
        <f>SUM($C$32+$C$31+$C$33)</f>
        <v>15615</v>
      </c>
      <c r="E33" s="18">
        <f>SUMIF(Sales!A:A, A33, Sales!N:N)</f>
        <v>2103</v>
      </c>
      <c r="F33" s="18">
        <f>SUM($E$32+$E$31+$E$33)</f>
        <v>9808</v>
      </c>
      <c r="G33" s="18">
        <v>94</v>
      </c>
      <c r="H33" s="19">
        <f>SUMIF(Returns!B:B, A33, Returns!P:P)</f>
        <v>738</v>
      </c>
      <c r="I33" s="19">
        <f>SUMIF(Returns!B:B, A33, Returns!L:L)</f>
        <v>3</v>
      </c>
    </row>
    <row r="34" spans="1:9" ht="14.25" customHeight="1" x14ac:dyDescent="0.25">
      <c r="A34" s="17">
        <f>Sales!A239</f>
        <v>45720</v>
      </c>
      <c r="B34" s="18">
        <f>SUMIF(Sales!A:A, A34, Sales!J:J)</f>
        <v>6</v>
      </c>
      <c r="C34" s="18">
        <f>SUMIF(Sales!A:A, A34,Sales!M:M)</f>
        <v>2005</v>
      </c>
      <c r="D34" s="18">
        <f>SUM($C$32+$C$31+$C$33+$C$34)</f>
        <v>17620</v>
      </c>
      <c r="E34" s="18">
        <f>SUMIF(Sales!A:A, A34, Sales!N:N)</f>
        <v>1182</v>
      </c>
      <c r="F34" s="18">
        <f>SUM($E$32+$E$31+$E$33+$E$34)</f>
        <v>10990</v>
      </c>
      <c r="G34" s="18">
        <v>54</v>
      </c>
      <c r="H34" s="19">
        <f>SUMIF(Returns!B:B, A34, Returns!P:P)</f>
        <v>0</v>
      </c>
      <c r="I34" s="19">
        <f>SUMIF(Returns!B:B, A34, Returns!L:L)</f>
        <v>0</v>
      </c>
    </row>
    <row r="35" spans="1:9" ht="14.25" customHeight="1" x14ac:dyDescent="0.25">
      <c r="A35" s="17">
        <f>Sales!A248</f>
        <v>45721</v>
      </c>
      <c r="B35" s="18">
        <f>SUMIF(Sales!A:A, A35, Sales!J:J)</f>
        <v>12</v>
      </c>
      <c r="C35" s="18">
        <f>SUMIF(Sales!A:A, A35,Sales!M:M)</f>
        <v>4745</v>
      </c>
      <c r="D35" s="18">
        <f>SUM($C$32+$C$31+$C$33+$C$34+$C$35)</f>
        <v>22365</v>
      </c>
      <c r="E35" s="18">
        <f>SUMIF(Sales!A:A, A35, Sales!N:N)</f>
        <v>2935</v>
      </c>
      <c r="F35" s="18">
        <f>SUM($E$32+$E$31+$E$33+$E$34+$E$35)</f>
        <v>13925</v>
      </c>
      <c r="G35" s="18">
        <v>219</v>
      </c>
      <c r="H35" s="19">
        <f>SUMIF(Returns!B:B, A35, Returns!P:P)</f>
        <v>0</v>
      </c>
      <c r="I35" s="19">
        <f>SUMIF(Returns!B:B, A35, Returns!L:L)</f>
        <v>0</v>
      </c>
    </row>
    <row r="36" spans="1:9" ht="14.25" customHeight="1" x14ac:dyDescent="0.25">
      <c r="A36" s="17">
        <f>Sales!A263</f>
        <v>45722</v>
      </c>
      <c r="B36" s="18">
        <f>SUMIF(Sales!A:A, A36, Sales!J:J)</f>
        <v>12</v>
      </c>
      <c r="C36" s="18">
        <f>SUMIF(Sales!A:A, A36,Sales!M:M)</f>
        <v>6122</v>
      </c>
      <c r="D36" s="18">
        <f>SUM($C$32+$C$31+$C$33+$C$34+$C$35+$C$36)</f>
        <v>28487</v>
      </c>
      <c r="E36" s="18">
        <f>SUMIF(Sales!A:A, A36, Sales!N:N)</f>
        <v>4034</v>
      </c>
      <c r="F36" s="18">
        <f>SUM($E$32+$E$31+$E$33+$E$34+$E$35+$E$36)</f>
        <v>17959</v>
      </c>
      <c r="G36" s="18">
        <v>165</v>
      </c>
      <c r="H36" s="19">
        <f>SUMIF(Returns!B:B, A36, Returns!P:P)</f>
        <v>0</v>
      </c>
      <c r="I36" s="19">
        <f>SUMIF(Returns!B:B, A36, Returns!L:L)</f>
        <v>0</v>
      </c>
    </row>
    <row r="37" spans="1:9" ht="14.25" customHeight="1" x14ac:dyDescent="0.25">
      <c r="A37" s="17">
        <f>Sales!A266</f>
        <v>45723</v>
      </c>
      <c r="B37" s="18">
        <f>SUMIF(Sales!A:A, A37, Sales!J:J)</f>
        <v>5</v>
      </c>
      <c r="C37" s="18">
        <f>SUMIF(Sales!A:A, A37,Sales!M:M)</f>
        <v>1933</v>
      </c>
      <c r="D37" s="18">
        <f>SUM($C$32+$C$31+$C$33+$C$34+$C$35+$C$36+C37)</f>
        <v>30420</v>
      </c>
      <c r="E37" s="18">
        <f>SUMIF(Sales!A:A, A37, Sales!N:N)</f>
        <v>1219</v>
      </c>
      <c r="F37" s="18">
        <f>SUM($E$32+$E$31+$E$33+$E$34+$E$35+$E$36+$E$37)</f>
        <v>19178</v>
      </c>
      <c r="G37" s="18">
        <v>144</v>
      </c>
      <c r="H37" s="19">
        <f>SUMIF(Returns!B:B, A37, Returns!P:P)</f>
        <v>778</v>
      </c>
      <c r="I37" s="19">
        <f>SUMIF(Returns!B:B, A37, Returns!L:L)</f>
        <v>2</v>
      </c>
    </row>
    <row r="38" spans="1:9" ht="14.25" customHeight="1" x14ac:dyDescent="0.25">
      <c r="A38" s="17">
        <f>Sales!A274</f>
        <v>45724</v>
      </c>
      <c r="B38" s="18">
        <f>SUMIF(Sales!A:A, A38, Sales!J:J)</f>
        <v>8</v>
      </c>
      <c r="C38" s="18">
        <f>SUMIF(Sales!A:A, A38,Sales!M:M)</f>
        <v>4110</v>
      </c>
      <c r="D38" s="18">
        <f>SUM($C$32+$C$31+$C$33+$C$34+$C$35+$C$36+$C$38+$C$37)</f>
        <v>34530</v>
      </c>
      <c r="E38" s="18">
        <f>SUMIF(Sales!A:A, A38, Sales!N:N)</f>
        <v>3109</v>
      </c>
      <c r="F38" s="18">
        <f>SUM($E$32+$E$31+$E$33+$E$34+$E$35+$E$36+$E$37+$E$38)</f>
        <v>22287</v>
      </c>
      <c r="G38" s="18">
        <v>310</v>
      </c>
      <c r="H38" s="19">
        <f>SUMIF(Returns!B:B, A38, Returns!P:P)</f>
        <v>329</v>
      </c>
      <c r="I38" s="19">
        <f>SUMIF(Returns!B:B, A38, Returns!L:L)</f>
        <v>1</v>
      </c>
    </row>
    <row r="39" spans="1:9" ht="14.25" customHeight="1" x14ac:dyDescent="0.25">
      <c r="A39" s="17">
        <f>Sales!A286</f>
        <v>45725</v>
      </c>
      <c r="B39" s="18">
        <f>SUMIF(Sales!A:A, A39, Sales!J:J)</f>
        <v>12</v>
      </c>
      <c r="C39" s="18">
        <f>SUMIF(Sales!A:A, A39,Sales!M:M)</f>
        <v>5469.03</v>
      </c>
      <c r="D39" s="18">
        <f>SUM($C$32+$C$31+$C$33+$C$34+$C$35+$C$36+$C$39+$C$37+$C$38)</f>
        <v>39999.03</v>
      </c>
      <c r="E39" s="18">
        <f>SUMIF(Sales!A:A, A39, Sales!N:N)</f>
        <v>3579</v>
      </c>
      <c r="F39" s="18">
        <f>SUM($E$32+$E$31+$E$33+$E$34+$E$35+$E$36+$E$37+$E$38+$E$39)</f>
        <v>25866</v>
      </c>
      <c r="G39" s="18">
        <v>398</v>
      </c>
      <c r="H39" s="19">
        <f>SUMIF(Returns!B:B, A39, Returns!P:P)</f>
        <v>0</v>
      </c>
      <c r="I39" s="19">
        <f>SUMIF(Returns!B:B, A39, Returns!L:L)</f>
        <v>0</v>
      </c>
    </row>
    <row r="40" spans="1:9" ht="14.25" customHeight="1" x14ac:dyDescent="0.25">
      <c r="A40" s="17">
        <v>45726</v>
      </c>
      <c r="B40" s="18">
        <f>SUMIF(Sales!A:A, A40, Sales!J:J)</f>
        <v>16</v>
      </c>
      <c r="C40" s="18">
        <f>SUMIF(Sales!A:A, A40,Sales!M:M)</f>
        <v>7168.68</v>
      </c>
      <c r="D40" s="18">
        <f>SUM($C$32+$C$31+$C$33+$C$34+$C$35+$C$36+$C$39+$C$37+$C$38+$C$40)</f>
        <v>47167.71</v>
      </c>
      <c r="E40" s="18">
        <f>SUMIF(Sales!A:A, A40, Sales!N:N)</f>
        <v>4585</v>
      </c>
      <c r="F40" s="18">
        <f>SUM($E$32+$E$31+$E$33+$E$34+$E$35+$E$36+$E$37+$E$38+$E$39+$E$40)</f>
        <v>30451</v>
      </c>
      <c r="G40" s="18">
        <v>115</v>
      </c>
      <c r="H40" s="19">
        <f>SUMIF(Returns!B:B, A40, Returns!P:P)</f>
        <v>0</v>
      </c>
      <c r="I40" s="19">
        <f>SUMIF(Returns!B:B, A40, Returns!L:L)</f>
        <v>0</v>
      </c>
    </row>
    <row r="41" spans="1:9" ht="14.25" customHeight="1" x14ac:dyDescent="0.25">
      <c r="A41" s="17">
        <v>45727</v>
      </c>
      <c r="B41" s="18">
        <f>SUMIF(Sales!A:A, A41, Sales!J:J)</f>
        <v>6</v>
      </c>
      <c r="C41" s="18">
        <f>SUMIF(Sales!A:A, A41,Sales!M:M)</f>
        <v>3214</v>
      </c>
      <c r="D41" s="18">
        <f>SUM($C$32+$C$31+$C$33+$C$34+$C$35+$C$36+$C$39+$C$37+$C$38+$C$40+$C$41)</f>
        <v>50381.71</v>
      </c>
      <c r="E41" s="18">
        <f>SUMIF(Sales!A:A, A41, Sales!N:N)</f>
        <v>1980</v>
      </c>
      <c r="F41" s="18">
        <f>SUM($E$32+$E$31+$E$33+$E$34+$E$35+$E$36+$E$37+$E$38+$E$39+$E$40+$E$41)</f>
        <v>32431</v>
      </c>
      <c r="G41" s="18">
        <v>90</v>
      </c>
      <c r="H41" s="19">
        <f>SUMIF(Returns!B:B, A41, Returns!P:P)</f>
        <v>0</v>
      </c>
      <c r="I41" s="19">
        <f>SUMIF(Returns!B:B, A41, Returns!L:L)</f>
        <v>0</v>
      </c>
    </row>
    <row r="42" spans="1:9" ht="14.25" customHeight="1" x14ac:dyDescent="0.25">
      <c r="A42" s="17">
        <v>45728</v>
      </c>
      <c r="B42" s="18">
        <f>SUMIF(Sales!A:A, A42, Sales!J:J)</f>
        <v>14</v>
      </c>
      <c r="C42" s="18">
        <f>SUMIF(Sales!A:A, A42,Sales!M:M)</f>
        <v>6882</v>
      </c>
      <c r="D42" s="18">
        <f>SUM($C$32+$C$31+$C$33+$C$34+$C$35+$C$36+$C$39+$C$37+$C$38+$C$40+$C$41+$C$42)</f>
        <v>57263.71</v>
      </c>
      <c r="E42" s="18">
        <f>SUMIF(Sales!A:A, A42, Sales!N:N)</f>
        <v>4317</v>
      </c>
      <c r="F42" s="18">
        <f>SUM($E$32+$E$31+$E$33+$E$34+$E$35+$E$36+$E$37+$E$38+$E$39+$E$40+$E$41+$E$42)</f>
        <v>36748</v>
      </c>
      <c r="G42" s="18">
        <v>54</v>
      </c>
      <c r="H42" s="19">
        <f>SUMIF(Returns!B:B, A42, Returns!P:P)</f>
        <v>0</v>
      </c>
      <c r="I42" s="19">
        <f>SUMIF(Returns!B:B, A42, Returns!L:L)</f>
        <v>0</v>
      </c>
    </row>
    <row r="43" spans="1:9" ht="14.25" customHeight="1" x14ac:dyDescent="0.25">
      <c r="A43" s="17">
        <v>45729</v>
      </c>
      <c r="B43" s="18">
        <f>SUMIF(Sales!A:A, A43, Sales!J:J)</f>
        <v>12</v>
      </c>
      <c r="C43" s="18">
        <f>SUMIF(Sales!A:A, A43,Sales!M:M)</f>
        <v>4849</v>
      </c>
      <c r="D43" s="18">
        <f>SUM($C$32+$C$31+$C$33+$C$34+$C$35+$C$36+$C$39+$C$37+$C$38+$C$40+$C$41+$C$42+$C$43)</f>
        <v>62112.71</v>
      </c>
      <c r="E43" s="18">
        <f>SUMIF(Sales!A:A, A43, Sales!N:N)</f>
        <v>2935</v>
      </c>
      <c r="F43" s="18">
        <f>SUM($E$32+$E$31+$E$33+$E$34+$E$35+$E$36+$E$37+$E$38+$E$39+$E$40+$E$41+$E$42+$E$43)</f>
        <v>39683</v>
      </c>
      <c r="G43" s="18">
        <v>98</v>
      </c>
      <c r="H43" s="19">
        <f>SUMIF(Returns!B:B, A43, Returns!P:P)</f>
        <v>0</v>
      </c>
      <c r="I43" s="19">
        <f>SUMIF(Returns!B:B, A43, Returns!L:L)</f>
        <v>0</v>
      </c>
    </row>
    <row r="44" spans="1:9" ht="14.25" customHeight="1" x14ac:dyDescent="0.25">
      <c r="A44" s="17">
        <v>45730</v>
      </c>
      <c r="B44" s="18">
        <f>SUMIF(Sales!A:A, A44, Sales!J:J)</f>
        <v>16</v>
      </c>
      <c r="C44" s="18">
        <f>SUMIF(Sales!A:A, A44,Sales!M:M)</f>
        <v>6576</v>
      </c>
      <c r="D44" s="18">
        <f>SUM($C$32+$C$31+$C$33+$C$34+$C$35+$C$36+$C$39+$C$37+$C$38+$C$40+$C$41+$C$42+$C$43+$C$44)</f>
        <v>68688.709999999992</v>
      </c>
      <c r="E44" s="18">
        <f>SUMIF(Sales!A:A, A44, Sales!N:N)</f>
        <v>4252</v>
      </c>
      <c r="F44" s="18">
        <f>SUM($E$32+$E$31+$E$33+$E$34+$E$35+$E$36+$E$37+$E$38+$E$39+$E$40+$E$41+$E$42+$E$43+$E$44)</f>
        <v>43935</v>
      </c>
      <c r="G44" s="18">
        <v>74</v>
      </c>
      <c r="H44" s="19">
        <f>SUMIF(Returns!B:B, A44, Returns!P:P)</f>
        <v>0</v>
      </c>
      <c r="I44" s="19">
        <f>SUMIF(Returns!B:B, A44, Returns!L:L)</f>
        <v>0</v>
      </c>
    </row>
    <row r="45" spans="1:9" ht="14.25" customHeight="1" x14ac:dyDescent="0.25">
      <c r="A45" s="17">
        <v>45731</v>
      </c>
      <c r="B45" s="18">
        <f>SUMIF(Sales!A:A, A45, Sales!J:J)</f>
        <v>11</v>
      </c>
      <c r="C45" s="18">
        <f>SUMIF(Sales!A:A, A45,Sales!M:M)</f>
        <v>4803</v>
      </c>
      <c r="D45" s="18">
        <f>SUM($C$32+$C$31+$C$33+$C$34+$C$35+$C$36+$C$39+$C$37+$C$38+$C$40+$C$41+$C$42+$C$43+$C$44+$C$45)</f>
        <v>73491.709999999992</v>
      </c>
      <c r="E45" s="18">
        <f>SUMIF(Sales!A:A, A45, Sales!N:N)</f>
        <v>3023</v>
      </c>
      <c r="F45" s="18">
        <f>SUM($E$32+$E$31+$E$33+$E$34+$E$35+$E$36+$E$37+$E$38+$E$39+$E$40+$E$41+$E$42+$E$43+$E$44+$E$45)</f>
        <v>46958</v>
      </c>
      <c r="G45" s="18">
        <v>143</v>
      </c>
      <c r="H45" s="19">
        <f>SUMIF(Returns!B:B, A45, Returns!P:P)</f>
        <v>968.6</v>
      </c>
      <c r="I45" s="19">
        <f>SUMIF(Returns!B:B, A45, Returns!L:L)</f>
        <v>2</v>
      </c>
    </row>
    <row r="46" spans="1:9" ht="14.25" customHeight="1" x14ac:dyDescent="0.25">
      <c r="A46" s="17">
        <v>45732</v>
      </c>
      <c r="B46" s="18">
        <f>SUMIF(Sales!A:A, A46, Sales!J:J)</f>
        <v>9</v>
      </c>
      <c r="C46" s="18">
        <f>SUMIF(Sales!A:A, A46,Sales!M:M)</f>
        <v>4488</v>
      </c>
      <c r="D46" s="18">
        <f>SUM($C$32+$C$31+$C$33+$C$34+$C$35+$C$36+$C$39+$C$37+$C$38+$C$40+$C$41+$C$42+$C$43+$C$44+$C$45+$C$46)</f>
        <v>77979.709999999992</v>
      </c>
      <c r="E46" s="18">
        <f>SUMIF(Sales!A:A, A46, Sales!N:N)</f>
        <v>2876</v>
      </c>
      <c r="F46" s="18">
        <f>SUM($E$32+$E$31+$E$33+$E$34+$E$35+$E$36+$E$37+$E$38+$E$39+$E$40+$E$41+$E$42+$E$43+$E$44+$E$45+$E$46)</f>
        <v>49834</v>
      </c>
      <c r="G46" s="18">
        <v>187</v>
      </c>
      <c r="H46" s="19">
        <f>SUMIF(Returns!B:B, A46, Returns!P:P)</f>
        <v>0</v>
      </c>
      <c r="I46" s="19">
        <f>SUMIF(Returns!B:B, A46, Returns!L:L)</f>
        <v>0</v>
      </c>
    </row>
    <row r="47" spans="1:9" ht="14.25" customHeight="1" x14ac:dyDescent="0.25">
      <c r="A47" s="17">
        <v>45733</v>
      </c>
      <c r="B47" s="18">
        <f>SUMIF(Sales!A:A, A47, Sales!J:J)</f>
        <v>8</v>
      </c>
      <c r="C47" s="18">
        <f>SUMIF(Sales!A:A, A47,Sales!M:M)</f>
        <v>5007</v>
      </c>
      <c r="D47" s="18">
        <f>SUM($C$32+$C$31+$C$33+$C$34+$C$35+$C$36+$C$39+$C$37+$C$38+$C$40+$C$41+$C$42+$C$43+$C$44+$C$45+$C$46+$C$47)</f>
        <v>82986.709999999992</v>
      </c>
      <c r="E47" s="18">
        <f>SUMIF(Sales!A:A, A47, Sales!N:N)</f>
        <v>3270</v>
      </c>
      <c r="F47" s="18">
        <f>SUM($E$32+$E$31+$E$33+$E$34+$E$35+$E$36+$E$37+$E$38+$E$39+$E$40+$E$41+$E$42+$E$43+$E$44+$E$45+$E$46+$E$47)</f>
        <v>53104</v>
      </c>
      <c r="G47" s="18">
        <v>152</v>
      </c>
      <c r="H47" s="19">
        <f>SUMIF(Returns!B:B, A47, Returns!P:P)</f>
        <v>0</v>
      </c>
      <c r="I47" s="19">
        <f>SUMIF(Returns!B:B, A47, Returns!L:L)</f>
        <v>0</v>
      </c>
    </row>
    <row r="48" spans="1:9" ht="14.25" customHeight="1" x14ac:dyDescent="0.25">
      <c r="A48" s="17">
        <v>45734</v>
      </c>
      <c r="B48" s="18">
        <f>SUMIF(Sales!A:A, A48, Sales!J:J)</f>
        <v>9</v>
      </c>
      <c r="C48" s="18">
        <f>SUMIF(Sales!A:A, A48,Sales!M:M)</f>
        <v>5880</v>
      </c>
      <c r="D48" s="18">
        <f>SUM($C$32+$C$31+$C$33+$C$34+$C$35+$C$36+$C$39+$C$37+$C$38+$C$40+$C$41+$C$42+$C$43+$C$44+$C$45+$C$46+$C$47+$C$48)</f>
        <v>88866.709999999992</v>
      </c>
      <c r="E48" s="18">
        <f>SUMIF(Sales!A:A, A48, Sales!N:N)</f>
        <v>3922</v>
      </c>
      <c r="F48" s="18">
        <f>SUM($E$32+$E$31+$E$33+$E$34+$E$35+$E$36+$E$37+$E$38+$E$39+$E$40+$E$41+$E$42+$E$43+$E$44+$E$45+$E$46+$E$47+$E$48)</f>
        <v>57026</v>
      </c>
      <c r="G48" s="18">
        <v>89</v>
      </c>
      <c r="H48" s="19">
        <f>SUMIF(Returns!B:B, A48, Returns!P:P)</f>
        <v>798</v>
      </c>
      <c r="I48" s="19">
        <f>SUMIF(Returns!B:B, A48, Returns!L:L)</f>
        <v>2</v>
      </c>
    </row>
    <row r="49" spans="1:9" ht="14.25" customHeight="1" x14ac:dyDescent="0.25">
      <c r="A49" s="17">
        <v>45735</v>
      </c>
      <c r="B49" s="18">
        <f>SUMIF(Sales!A:A, A49, Sales!J:J)</f>
        <v>6</v>
      </c>
      <c r="C49" s="18">
        <f>SUMIF(Sales!A:A, A49,Sales!M:M)</f>
        <v>2638</v>
      </c>
      <c r="D49" s="18">
        <f>SUM($C$32+$C$31+$C$33+$C$34+$C$35+$C$36+$C$39+$C$37+$C$38+$C$40+$C$41+$C$42+$C$43+$C$44+$C$45+$C$46+$C$47+$C$48+$C$49)</f>
        <v>91504.709999999992</v>
      </c>
      <c r="E49" s="18">
        <f>SUMIF(Sales!A:A, A49, Sales!N:N)</f>
        <v>1577</v>
      </c>
      <c r="F49" s="18">
        <f>SUM($E$32+$E$31+$E$33+$E$34+$E$35+$E$36+$E$37+$E$38+$E$39+$E$40+$E$41+$E$42+$E$43+$E$44+$E$45+$E$46+$E$47+$E$48+$E$49)</f>
        <v>58603</v>
      </c>
      <c r="G49" s="18">
        <v>53</v>
      </c>
      <c r="H49" s="19">
        <f>SUMIF(Returns!B:B, A49, Returns!P:P)</f>
        <v>0</v>
      </c>
      <c r="I49" s="19">
        <f>SUMIF(Returns!B:B, A49, Returns!L:L)</f>
        <v>0</v>
      </c>
    </row>
    <row r="50" spans="1:9" ht="14.25" customHeight="1" x14ac:dyDescent="0.25">
      <c r="A50" s="17">
        <v>45736</v>
      </c>
      <c r="B50" s="18">
        <f>SUMIF(Sales!A:A, A50, Sales!J:J)</f>
        <v>11</v>
      </c>
      <c r="C50" s="18">
        <f>SUMIF(Sales!A:A, A50,Sales!M:M)</f>
        <v>7477</v>
      </c>
      <c r="D50" s="18">
        <f>SUM($C$32+$C$31+$C$33+$C$34+$C$35+$C$36+$C$39+$C$37+$C$38+$C$40+$C$41+$C$42+$C$43+$C$44+$C$45+$C$46+$C$47+$C$48+$C$49+$C$50)</f>
        <v>98981.709999999992</v>
      </c>
      <c r="E50" s="18">
        <f>SUMIF(Sales!A:A, A50, Sales!N:N)</f>
        <v>5132</v>
      </c>
      <c r="F50" s="18">
        <f>SUM($E$32+$E$31+$E$33+$E$34+$E$35+$E$36+$E$37+$E$38+$E$39+$E$40+$E$41+$E$42+$E$43+$E$44+$E$45+$E$46+$E$47+$E$48+$E$49+$E$50)</f>
        <v>63735</v>
      </c>
      <c r="G50" s="18">
        <v>95</v>
      </c>
      <c r="H50" s="19">
        <f>SUMIF(Returns!B:B, A50, Returns!P:P)</f>
        <v>0</v>
      </c>
      <c r="I50" s="19">
        <f>SUMIF(Returns!B:B, A50, Returns!L:L)</f>
        <v>0</v>
      </c>
    </row>
    <row r="51" spans="1:9" ht="14.25" customHeight="1" x14ac:dyDescent="0.25">
      <c r="A51" s="17">
        <v>45737</v>
      </c>
      <c r="B51" s="18">
        <f>SUMIF(Sales!A:A, A51, Sales!J:J)</f>
        <v>8</v>
      </c>
      <c r="C51" s="18">
        <f>SUMIF(Sales!A:A, A51,Sales!M:M)</f>
        <v>5255</v>
      </c>
      <c r="D51" s="18">
        <f>SUM($C$32+$C$31+$C$33+$C$34+$C$35+$C$36+$C$39+$C$37+$C$38+$C$40+$C$41+$C$42+$C$43+$C$44+$C$45+$C$46+$C$47+$C$48+$C$49+$C$50+$C$51)</f>
        <v>104236.70999999999</v>
      </c>
      <c r="E51" s="18">
        <f>SUMIF(Sales!A:A, A51, Sales!N:N)</f>
        <v>3501</v>
      </c>
      <c r="F51" s="18">
        <f>SUM($E$32+$E$31+$E$33+$E$34+$E$35+$E$36+$E$37+$E$38+$E$39+$E$40+$E$41+$E$42+$E$43+$E$44+$E$45+$E$46+$E$47+$E$48+$E$49+$E$50+$E$51)</f>
        <v>67236</v>
      </c>
      <c r="G51" s="18">
        <v>74</v>
      </c>
      <c r="H51" s="19">
        <f>SUMIF(Returns!B:B, A51, Returns!P:P)</f>
        <v>0</v>
      </c>
      <c r="I51" s="19">
        <f>SUMIF(Returns!B:B, A51, Returns!L:L)</f>
        <v>0</v>
      </c>
    </row>
    <row r="52" spans="1:9" ht="14.25" customHeight="1" x14ac:dyDescent="0.25">
      <c r="A52" s="17">
        <v>45738</v>
      </c>
      <c r="B52" s="18">
        <f>SUMIF(Sales!A:A, A52, Sales!J:J)</f>
        <v>5</v>
      </c>
      <c r="C52" s="18">
        <f>SUMIF(Sales!A:A, A52,Sales!M:M)</f>
        <v>2990</v>
      </c>
      <c r="D52" s="18">
        <f>SUM($C$32+$C$31+$C$33+$C$34+$C$35+$C$36+$C$39+$C$37+$C$38+$C$40+$C$41+$C$42+$C$43+$C$44+$C$45+$C$46+$C$47+$C$48+$C$49+$C$50+$C$51+$C$52)</f>
        <v>107226.70999999999</v>
      </c>
      <c r="E52" s="18">
        <f>SUMIF(Sales!A:A, A52, Sales!N:N)</f>
        <v>1972</v>
      </c>
      <c r="F52" s="18">
        <f>SUM($E$32+$E$31+$E$33+$E$34+$E$35+$E$36+$E$37+$E$38+$E$39+$E$40+$E$41+$E$42+$E$43+$E$44+$E$45+$E$46+$E$47+$E$48+$E$49+$E$50+$E$51+$E$52)</f>
        <v>69208</v>
      </c>
      <c r="G52" s="18">
        <v>112</v>
      </c>
      <c r="H52" s="19">
        <f>SUMIF(Returns!B:B, A52, Returns!P:P)</f>
        <v>0</v>
      </c>
      <c r="I52" s="19">
        <f>SUMIF(Returns!B:B, A52, Returns!L:L)</f>
        <v>0</v>
      </c>
    </row>
    <row r="53" spans="1:9" ht="14.25" customHeight="1" x14ac:dyDescent="0.25">
      <c r="A53" s="17">
        <v>45739</v>
      </c>
      <c r="B53" s="18">
        <f>SUMIF(Sales!A:A, A53, Sales!J:J)</f>
        <v>9</v>
      </c>
      <c r="C53" s="18">
        <f>SUMIF(Sales!A:A, A53,Sales!M:M)</f>
        <v>5068</v>
      </c>
      <c r="D53" s="18">
        <f>SUM($C$32+$C$31+$C$33+$C$34+$C$35+$C$36+$C$39+$C$37+$C$38+$C$40+$C$41+$C$42+$C$43+$C$44+$C$45+$C$46+$C$47+$C$48+$C$49+$C$50+$C$51+$C$52+C53)</f>
        <v>112294.70999999999</v>
      </c>
      <c r="E53" s="18">
        <f>SUMIF(Sales!A:A, A53, Sales!N:N)</f>
        <v>3386</v>
      </c>
      <c r="F53" s="18">
        <f>SUM($E$32+$E$31+$E$33+$E$34+$E$35+$E$36+$E$37+$E$38+$E$39+$E$40+$E$41+$E$42+$E$43+$E$44+$E$45+$E$46+$E$47+$E$48+$E$49+$E$50+$E$51+$E$52+E53)</f>
        <v>72594</v>
      </c>
      <c r="G53" s="18">
        <v>117</v>
      </c>
      <c r="H53" s="19">
        <f>SUMIF(Returns!B:B, A53, Returns!P:P)</f>
        <v>0</v>
      </c>
      <c r="I53" s="19">
        <f>SUMIF(Returns!B:B, A53, Returns!L:L)</f>
        <v>0</v>
      </c>
    </row>
    <row r="54" spans="1:9" ht="14.25" customHeight="1" x14ac:dyDescent="0.25">
      <c r="A54" s="17">
        <v>45740</v>
      </c>
      <c r="B54" s="18">
        <f>SUMIF(Sales!A:A, A54, Sales!J:J)</f>
        <v>7</v>
      </c>
      <c r="C54" s="18">
        <f>SUMIF(Sales!A:A, A54,Sales!M:M)</f>
        <v>3544</v>
      </c>
      <c r="D54" s="18">
        <f>SUM($C$32+$C$31+$C$33+$C$34+$C$35+$C$36+$C$39+$C$37+$C$38+$C$40+$C$41+$C$42+$C$43+$C$44+$C$45+$C$46+$C$47+$C$48+$C$49+$C$50+$C$51+$C$52+C54+C53)</f>
        <v>115838.70999999999</v>
      </c>
      <c r="E54" s="18">
        <f>SUMIF(Sales!A:A, A54, Sales!N:N)</f>
        <v>2299</v>
      </c>
      <c r="F54" s="18">
        <f>SUM($E$32+$E$31+$E$33+$E$34+$E$35+$E$36+$E$37+$E$38+$E$39+$E$40+$E$41+$E$42+$E$43+$E$44+$E$45+$E$46+$E$47+$E$48+$E$49+$E$50+$E$51+$E$52+E54+E53)</f>
        <v>74893</v>
      </c>
      <c r="G54" s="18">
        <v>74</v>
      </c>
      <c r="H54" s="19">
        <f>SUMIF(Returns!B:B, A54, Returns!P:P)</f>
        <v>0</v>
      </c>
      <c r="I54" s="19">
        <f>SUMIF(Returns!B:B, A54, Returns!L:L)</f>
        <v>0</v>
      </c>
    </row>
    <row r="55" spans="1:9" ht="14.25" customHeight="1" x14ac:dyDescent="0.25">
      <c r="A55" s="17">
        <v>45741</v>
      </c>
      <c r="B55" s="18">
        <f>SUMIF(Sales!A:A, A55, Sales!J:J)</f>
        <v>6</v>
      </c>
      <c r="C55" s="18">
        <f>SUMIF(Sales!A:A, A55,Sales!M:M)</f>
        <v>3019</v>
      </c>
      <c r="D55" s="18">
        <f>SUM($C$32+$C$31+$C$33+$C$34+$C$35+$C$36+$C$39+$C$37+$C$38+$C$40+$C$41+$C$42+$C$43+$C$44+$C$45+$C$46+$C$47+$C$48+$C$49+$C$50+$C$51+$C$52+C55+C54+C53)</f>
        <v>118857.70999999999</v>
      </c>
      <c r="E55" s="18">
        <f>SUMIF(Sales!A:A, A55, Sales!N:N)</f>
        <v>1952</v>
      </c>
      <c r="F55" s="18">
        <f>SUM($E$32+$E$31+$E$33+$E$34+$E$35+$E$36+$E$37+$E$38+$E$39+$E$40+$E$41+$E$42+$E$43+$E$44+$E$45+$E$46+$E$47+$E$48+$E$49+$E$50+$E$51+$E$52+E55+E54+E53)</f>
        <v>76845</v>
      </c>
      <c r="G55" s="18">
        <v>59</v>
      </c>
      <c r="H55" s="19">
        <f>SUMIF(Returns!B:B, A55, Returns!P:P)</f>
        <v>0</v>
      </c>
      <c r="I55" s="19">
        <f>SUMIF(Returns!B:B, A55, Returns!L:L)</f>
        <v>0</v>
      </c>
    </row>
    <row r="56" spans="1:9" ht="14.25" customHeight="1" x14ac:dyDescent="0.25">
      <c r="A56" s="17">
        <v>45742</v>
      </c>
      <c r="B56" s="18">
        <f>SUMIF(Sales!A:A, A56, Sales!J:J)</f>
        <v>9</v>
      </c>
      <c r="C56" s="18">
        <f>SUMIF(Sales!A:A, A56,Sales!M:M)</f>
        <v>4729</v>
      </c>
      <c r="D56" s="18">
        <f>SUM($C$32+$C$31+$C$33+$C$34+$C$35+$C$36+$C$39+$C$37+$C$38+$C$40+$C$41+$C$42+$C$43+$C$44+$C$45+$C$46+$C$47+$C$48+$C$49+$C$50+$C$51+$C$52+$C$56+$C$55+$C$54+$C$53)</f>
        <v>123586.70999999999</v>
      </c>
      <c r="E56" s="18">
        <f>SUMIF(Sales!A:A, A56, Sales!N:N)</f>
        <v>3102</v>
      </c>
      <c r="F56" s="18">
        <f>SUM($E$32+$E$31+$E$33+$E$34+$E$35+$E$36+$E$37+$E$38+$E$39+$E$40+$E$41+$E$42+$E$43+$E$44+$E$45+$E$46+$E$47+$E$48+$E$49+$E$50+$E$51+$E$52+E56+E55+E54+$E$53)</f>
        <v>79947</v>
      </c>
      <c r="G56" s="18">
        <v>40.5</v>
      </c>
      <c r="H56" s="19">
        <f>SUMIF(Returns!B:B, A56, Returns!P:P)</f>
        <v>449</v>
      </c>
      <c r="I56" s="19">
        <f>SUMIF(Returns!B:B, A56, Returns!L:L)</f>
        <v>1</v>
      </c>
    </row>
    <row r="57" spans="1:9" ht="14.25" customHeight="1" x14ac:dyDescent="0.25">
      <c r="A57" s="17">
        <v>45743</v>
      </c>
      <c r="B57" s="18">
        <f>SUMIF(Sales!A:A, A57, Sales!J:J)</f>
        <v>3</v>
      </c>
      <c r="C57" s="18">
        <f>SUMIF(Sales!A:A, A57,Sales!M:M)</f>
        <v>1448</v>
      </c>
      <c r="D57" s="18">
        <f>SUM($C$32+$C$31+$C$33+$C$34+$C$35+$C$36+$C$39+$C$37+$C$38+$C$40+$C$41+$C$42+$C$43+$C$44+$C$45+$C$46+$C$47+$C$48+$C$49+$C$50+$C$51+$C$52+$C$56+$C$55+$C$54+$C$53+$C$57)</f>
        <v>125034.70999999999</v>
      </c>
      <c r="E57" s="18">
        <f>SUMIF(Sales!A:A, A57, Sales!N:N)</f>
        <v>918</v>
      </c>
      <c r="F57" s="18">
        <f>SUM($E$32+$E$31+$E$33+$E$34+$E$35+$E$36+$E$37+$E$38+$E$39+$E$40+$E$41+$E$42+$E$43+$E$44+$E$45+$E$46+$E$47+$E$48+$E$49+$E$50+$E$51+$E$52+$E$57+$E$56+$E$55+$E$53+$E$54)</f>
        <v>80865</v>
      </c>
      <c r="G57" s="20">
        <v>77</v>
      </c>
      <c r="H57" s="19">
        <f>SUMIF(Returns!B:B, A57, Returns!P:P)</f>
        <v>738</v>
      </c>
      <c r="I57" s="19">
        <f>SUMIF(Returns!B:B, A57, Returns!L:L)</f>
        <v>2</v>
      </c>
    </row>
    <row r="58" spans="1:9" ht="14.25" customHeight="1" x14ac:dyDescent="0.25">
      <c r="A58" s="17">
        <v>45744</v>
      </c>
      <c r="B58" s="18">
        <f>SUMIF(Sales!A:A, A58, Sales!J:J)</f>
        <v>6</v>
      </c>
      <c r="C58" s="18">
        <f>SUMIF(Sales!A:A, A58,Sales!M:M)</f>
        <v>3525</v>
      </c>
      <c r="D58" s="18">
        <f>SUM($C$32+$C$31+$C$33+$C$34+$C$35+$C$36+$C$39+$C$37+$C$38+$C$40+$C$41+$C$42+$C$43+$C$44+$C$45+$C$46+$C$47+$C$48+$C$49+$C$50+$C$51+$C$52+$C$56+$C$55+$C$54+$C$53+$C$57+$C$58)</f>
        <v>128559.70999999999</v>
      </c>
      <c r="E58" s="18">
        <f>SUMIF(Sales!A:A, A58, Sales!N:N)</f>
        <v>2311</v>
      </c>
      <c r="F58" s="18">
        <f>SUM($E$32+$E$31+$E$33+$E$34+$E$35+$E$36+$E$37+$E$38+$E$39+$E$40+$E$41+$E$42+$E$43+$E$44+$E$45+$E$46+$E$47+$E$48+$E$49+$E$50+$E$51+$E$52+$E$57+$E$56+$E$55+$E$53+$E$54+$E$585+$E$58)</f>
        <v>83176</v>
      </c>
      <c r="G58" s="20">
        <v>132</v>
      </c>
      <c r="H58" s="19">
        <f>SUMIF(Returns!B:B, A58, Returns!P:P)</f>
        <v>0</v>
      </c>
      <c r="I58" s="19">
        <f>SUMIF(Returns!B:B, A58, Returns!L:L)</f>
        <v>0</v>
      </c>
    </row>
    <row r="59" spans="1:9" ht="14.25" customHeight="1" x14ac:dyDescent="0.25">
      <c r="A59" s="17">
        <v>45745</v>
      </c>
      <c r="B59" s="18">
        <f>SUMIF(Sales!A:A, A59, Sales!J:J)</f>
        <v>4</v>
      </c>
      <c r="C59" s="18">
        <f>SUMIF(Sales!A:A, A59,Sales!M:M)</f>
        <v>1859</v>
      </c>
      <c r="D59" s="18">
        <f>SUM($C$32+$C$31+$C$33+$C$34+$C$35+$C$36+$C$39+$C$37+$C$38+$C$40+$C$41+$C$42+$C$43+$C$44+$C$45+$C$46+$C$47+$C$48+$C$49+$C$50+$C$51+$C$52+$C$56+$C$55+$C$54+$C$53+$C$57+$C$58+$C$59)</f>
        <v>130418.70999999999</v>
      </c>
      <c r="E59" s="18">
        <f>SUMIF(Sales!A:A, A59, Sales!N:N)</f>
        <v>1117</v>
      </c>
      <c r="F59" s="18">
        <f>SUM($E$32+$E$31+$E$33+$E$34+$E$35+$E$36+$E$37+$E$38+$E$39+$E$40+$E$41+$E$42+$E$43+$E$44+$E$45+$E$46+$E$47+$E$48+$E$49+$E$50+$E$51+$E$52+$E$57+$E$56+$E$55+$E$53+$E$54+$E$585+E58+$E$59)</f>
        <v>84293</v>
      </c>
      <c r="G59" s="20">
        <v>137</v>
      </c>
      <c r="H59" s="19">
        <f>SUMIF(Returns!B:B, A59, Returns!P:P)</f>
        <v>0</v>
      </c>
      <c r="I59" s="19">
        <f>SUMIF(Returns!B:B, A59, Returns!L:L)</f>
        <v>0</v>
      </c>
    </row>
    <row r="60" spans="1:9" ht="14.25" customHeight="1" x14ac:dyDescent="0.25">
      <c r="A60" s="17">
        <v>45746</v>
      </c>
      <c r="B60" s="18">
        <f>SUMIF(Sales!A:A, A60, Sales!J:J)</f>
        <v>4</v>
      </c>
      <c r="C60" s="18">
        <f>SUMIF(Sales!A:A, A60,Sales!M:M)</f>
        <v>2508</v>
      </c>
      <c r="D60" s="18">
        <f>SUM($C$32+$C$31+$C$33+$C$34+$C$35+$C$36+$C$39+$C$37+$C$38+$C$40+$C$41+$C$42+$C$43+$C$44+$C$45+$C$46+$C$47+$C$48+$C$49+$C$50+$C$51+$C$52+$C$56+$C$55+$C$54+$C$53+$C$57+$C$58+$C$59+$C$60)</f>
        <v>132926.71</v>
      </c>
      <c r="E60" s="18">
        <f>SUMIF(Sales!A:A, A60, Sales!N:N)</f>
        <v>1618</v>
      </c>
      <c r="F60" s="18">
        <f>SUM($E$32+$E$31+$E$33+$E$34+$E$35+$E$36+$E$37+$E$38+$E$39+$E$40+$E$41+$E$42+$E$43+$E$44+$E$45+$E$46+$E$47+$E$48+$E$49+$E$50+$E$51+$E$52+$E$57+$E$56+$E$55+$E$53+$E$54+E$585+$E$59+$E$59+$E$58+$E$60)</f>
        <v>87028</v>
      </c>
      <c r="G60" s="20">
        <v>137</v>
      </c>
      <c r="H60" s="19">
        <f>SUMIF(Returns!B:B, A60, Returns!P:P)</f>
        <v>0</v>
      </c>
      <c r="I60" s="19">
        <f>SUMIF(Returns!B:B, A60, Returns!L:L)</f>
        <v>0</v>
      </c>
    </row>
    <row r="61" spans="1:9" ht="14.25" customHeight="1" x14ac:dyDescent="0.25">
      <c r="A61" s="17">
        <v>45747</v>
      </c>
      <c r="B61" s="18">
        <f>SUMIF(Sales!A:A, A61, Sales!J:J)</f>
        <v>9</v>
      </c>
      <c r="C61" s="18">
        <f>SUMIF(Sales!A:A, A61,Sales!M:M)</f>
        <v>6096</v>
      </c>
      <c r="D61" s="18">
        <f>SUM($C$32+$C$31+$C$33+$C$34+$C$35+$C$36+$C$39+$C$37+$C$38+$C$40+$C$41+$C$42+$C$43+$C$44+$C$45+$C$46+$C$47+$C$48+$C$49+$C$50+$C$51+$C$52+$C$56+$C$55+$C$54+$C$53+$C$57+$C$58+$C$59+$C$60+$C$61)</f>
        <v>139022.71</v>
      </c>
      <c r="E61" s="18">
        <f>SUMIF(Sales!A:A, A61, Sales!N:N)</f>
        <v>4015</v>
      </c>
      <c r="F61" s="18">
        <f>SUM($E$32+$E$31+$E$33+$E$34+$E$35+$E$36+$E$37+$E$38+$E$39+$E$40+$E$41+$E$42+$E$43+$E$44+$E$45+$E$46+$E$47+$E$48+$E$49+$E$50+$E$51+$E$52+$E$57+$E$56+$E$55+$E$53+$E$54+E$585+$E$59+$E$59+$E$58+$E$60+$E$61)</f>
        <v>91043</v>
      </c>
      <c r="G61" s="25">
        <v>272</v>
      </c>
      <c r="H61" s="19">
        <f>SUMIF(Returns!B:B, A61, Returns!P:P)</f>
        <v>0</v>
      </c>
      <c r="I61" s="19">
        <f>SUMIF(Returns!B:B, A61, Returns!L:L)</f>
        <v>0</v>
      </c>
    </row>
    <row r="62" spans="1:9" ht="14.25" customHeight="1" x14ac:dyDescent="0.25">
      <c r="A62" s="17">
        <v>45748</v>
      </c>
      <c r="B62" s="18">
        <f>SUMIF(Sales!A:A, A62, Sales!J:J)</f>
        <v>10</v>
      </c>
      <c r="C62" s="18">
        <f>SUMIF(Sales!A:A, A62,Sales!M:M)</f>
        <v>7560</v>
      </c>
    </row>
    <row r="63" spans="1:9" ht="14.25" customHeight="1" x14ac:dyDescent="0.25">
      <c r="D63" s="75" t="s">
        <v>236</v>
      </c>
      <c r="E63" s="74" t="s">
        <v>237</v>
      </c>
      <c r="F63" s="74" t="s">
        <v>238</v>
      </c>
      <c r="G63" s="75" t="s">
        <v>253</v>
      </c>
    </row>
    <row r="64" spans="1:9" ht="14.25" customHeight="1" x14ac:dyDescent="0.25">
      <c r="D64" s="75">
        <v>200000</v>
      </c>
      <c r="E64" s="77">
        <f>D94</f>
        <v>121157</v>
      </c>
      <c r="F64" s="76">
        <f>D64-E64</f>
        <v>78843</v>
      </c>
      <c r="G64" s="148">
        <f>E64/D64*1</f>
        <v>0.60578500000000002</v>
      </c>
    </row>
    <row r="65" spans="1:9" ht="14.25" customHeight="1" x14ac:dyDescent="0.25">
      <c r="A65" s="22" t="s">
        <v>0</v>
      </c>
      <c r="B65" s="22" t="s">
        <v>119</v>
      </c>
      <c r="C65" s="22" t="s">
        <v>120</v>
      </c>
      <c r="D65" s="22" t="s">
        <v>121</v>
      </c>
      <c r="E65" s="22" t="s">
        <v>122</v>
      </c>
      <c r="F65" s="22" t="s">
        <v>123</v>
      </c>
      <c r="G65" s="23" t="s">
        <v>124</v>
      </c>
      <c r="H65" s="24" t="s">
        <v>127</v>
      </c>
      <c r="I65" s="15" t="s">
        <v>126</v>
      </c>
    </row>
    <row r="66" spans="1:9" ht="14.25" customHeight="1" x14ac:dyDescent="0.25">
      <c r="A66" s="17">
        <v>45748</v>
      </c>
      <c r="B66" s="18">
        <f>SUMIF(Sales!A:A, A66, Sales!J:J)</f>
        <v>10</v>
      </c>
      <c r="C66" s="18">
        <f>SUMIF(Sales!A:A, A66,Sales!M:M)</f>
        <v>7560</v>
      </c>
      <c r="D66" s="18">
        <f>SUM(C66)</f>
        <v>7560</v>
      </c>
      <c r="E66" s="18">
        <f>SUMIF(Sales!A:A, A66, Sales!N:N)</f>
        <v>5054</v>
      </c>
      <c r="F66" s="18">
        <f>SUM(E66)</f>
        <v>5054</v>
      </c>
      <c r="G66" s="18">
        <v>228</v>
      </c>
      <c r="H66" s="19">
        <f>SUMIF(Returns!B:B, A66, Returns!P:P)</f>
        <v>930</v>
      </c>
      <c r="I66" s="19">
        <f>SUMIF(Returns!B:B, A66, Returns!L:L)</f>
        <v>1</v>
      </c>
    </row>
    <row r="67" spans="1:9" ht="14.25" customHeight="1" x14ac:dyDescent="0.25">
      <c r="A67" s="17">
        <v>45749</v>
      </c>
      <c r="B67" s="18">
        <f>SUMIF(Sales!A:A, A67, Sales!J:J)</f>
        <v>7</v>
      </c>
      <c r="C67" s="18">
        <f>SUMIF(Sales!A:A, A67,Sales!M:M)</f>
        <v>3283</v>
      </c>
      <c r="D67" s="18">
        <f>SUM($C$67+$C$66)</f>
        <v>10843</v>
      </c>
      <c r="E67" s="18">
        <f>SUMIF(Sales!A:A, A67, Sales!N:N)</f>
        <v>2060</v>
      </c>
      <c r="F67" s="18">
        <f>SUM($E$67+$E$66)</f>
        <v>7114</v>
      </c>
      <c r="G67" s="18">
        <v>202</v>
      </c>
      <c r="H67" s="19">
        <f>SUMIF(Returns!B:B, A67, Returns!P:P)</f>
        <v>0</v>
      </c>
      <c r="I67" s="19">
        <f>SUMIF(Returns!B:B, A67, Returns!L:L)</f>
        <v>0</v>
      </c>
    </row>
    <row r="68" spans="1:9" ht="14.25" customHeight="1" x14ac:dyDescent="0.25">
      <c r="A68" s="17">
        <v>45750</v>
      </c>
      <c r="B68" s="18">
        <f>SUMIF(Sales!A:A, A68, Sales!J:J)</f>
        <v>8</v>
      </c>
      <c r="C68" s="18">
        <f>SUMIF(Sales!A:A, A68,Sales!M:M)</f>
        <v>5044</v>
      </c>
      <c r="D68" s="18">
        <f>SUM($C$67+$C$66+$C$68)</f>
        <v>15887</v>
      </c>
      <c r="E68" s="18">
        <f>SUMIF(Sales!A:A, A68, Sales!N:N)</f>
        <v>3235</v>
      </c>
      <c r="F68" s="18">
        <f>SUM($E$67+$E$66+$E$68)</f>
        <v>10349</v>
      </c>
      <c r="G68" s="18">
        <v>132</v>
      </c>
      <c r="H68" s="19">
        <f>SUMIF(Returns!B:B, A68, Returns!P:P)</f>
        <v>0</v>
      </c>
      <c r="I68" s="19">
        <f>SUMIF(Returns!B:B, A68, Returns!L:L)</f>
        <v>0</v>
      </c>
    </row>
    <row r="69" spans="1:9" ht="14.25" customHeight="1" x14ac:dyDescent="0.25">
      <c r="A69" s="17">
        <v>45751</v>
      </c>
      <c r="B69" s="18">
        <f>SUMIF(Sales!A:A, A69, Sales!J:J)</f>
        <v>2</v>
      </c>
      <c r="C69" s="18">
        <f>SUMIF(Sales!A:A, A69,Sales!M:M)</f>
        <v>1444</v>
      </c>
      <c r="D69" s="18">
        <f>SUM($C$67+$C$66+$C$68+$C$69)</f>
        <v>17331</v>
      </c>
      <c r="E69" s="18">
        <f>SUMIF(Sales!A:A, A69, Sales!N:N)</f>
        <v>944</v>
      </c>
      <c r="F69" s="18">
        <f>SUM($E$67+$E$66+$E$68+$E$69)</f>
        <v>11293</v>
      </c>
      <c r="G69" s="18">
        <v>41</v>
      </c>
      <c r="H69" s="19">
        <f>SUMIF(Returns!B:B, A69, Returns!P:P)</f>
        <v>0</v>
      </c>
      <c r="I69" s="19">
        <f>SUMIF(Returns!B:B, A69, Returns!L:L)</f>
        <v>0</v>
      </c>
    </row>
    <row r="70" spans="1:9" ht="14.25" customHeight="1" x14ac:dyDescent="0.25">
      <c r="A70" s="17">
        <v>45752</v>
      </c>
      <c r="B70" s="18">
        <f>SUMIF(Sales!A:A, A70, Sales!J:J)</f>
        <v>9</v>
      </c>
      <c r="C70" s="18">
        <f>SUMIF(Sales!A:A, A70,Sales!M:M)</f>
        <v>3855</v>
      </c>
      <c r="D70" s="18">
        <f>SUM($C$67+$C$66+$C$68+$C$69+$C$70)</f>
        <v>21186</v>
      </c>
      <c r="E70" s="18">
        <f>SUMIF(Sales!A:A, A70, Sales!N:N)</f>
        <v>2259</v>
      </c>
      <c r="F70" s="18">
        <f>SUM($E$67+$E$66+$E$68+$E$69+$E$70)</f>
        <v>13552</v>
      </c>
      <c r="G70" s="18">
        <v>104</v>
      </c>
      <c r="H70" s="19">
        <f>SUMIF(Returns!B:B, A70, Returns!P:P)</f>
        <v>0</v>
      </c>
      <c r="I70" s="19">
        <f>SUMIF(Returns!B:B, A70, Returns!L:L)</f>
        <v>0</v>
      </c>
    </row>
    <row r="71" spans="1:9" ht="14.25" customHeight="1" x14ac:dyDescent="0.25">
      <c r="A71" s="17">
        <v>45753</v>
      </c>
      <c r="B71" s="18">
        <f>SUMIF(Sales!A:A, A71, Sales!J:J)</f>
        <v>2</v>
      </c>
      <c r="C71" s="18">
        <f>SUMIF(Sales!A:A, A71,Sales!M:M)</f>
        <v>1699</v>
      </c>
      <c r="D71" s="18">
        <f>SUM(C66:C71)</f>
        <v>22885</v>
      </c>
      <c r="E71" s="18">
        <f>SUMIF(Sales!A:A, A71, Sales!N:N)</f>
        <v>1328</v>
      </c>
      <c r="F71" s="18">
        <f>SUM($E$67+$E$66+$E$68+$E$69+$E$70+$E$71)</f>
        <v>14880</v>
      </c>
      <c r="G71" s="104">
        <v>110</v>
      </c>
      <c r="H71" s="19">
        <f>SUMIF(Returns!B:B, A71, Returns!P:P)</f>
        <v>0</v>
      </c>
      <c r="I71" s="19">
        <f>SUMIF(Returns!B:B, A71, Returns!L:L)</f>
        <v>0</v>
      </c>
    </row>
    <row r="72" spans="1:9" ht="14.25" customHeight="1" x14ac:dyDescent="0.25">
      <c r="A72" s="17">
        <v>45754</v>
      </c>
      <c r="B72" s="18">
        <f>SUMIF(Sales!A:A, A72, Sales!J:J)</f>
        <v>7</v>
      </c>
      <c r="C72" s="18">
        <f>SUMIF(Sales!A:A, A72,Sales!M:M)</f>
        <v>3726</v>
      </c>
      <c r="D72" s="18">
        <f>SUM(C66:C72)</f>
        <v>26611</v>
      </c>
      <c r="E72" s="18">
        <f>SUMIF(Sales!A:A, A72, Sales!N:N)</f>
        <v>2391</v>
      </c>
      <c r="F72" s="18">
        <f>SUM($E$67+$E$66+$E$68+$E$69+$E$70+$E$71+$E$72)</f>
        <v>17271</v>
      </c>
      <c r="G72" s="104">
        <v>106</v>
      </c>
      <c r="H72" s="19">
        <f>SUMIF(Returns!B:B, A72, Returns!P:P)</f>
        <v>0</v>
      </c>
      <c r="I72" s="19">
        <f>SUMIF(Returns!B:B, A72, Returns!L:L)</f>
        <v>0</v>
      </c>
    </row>
    <row r="73" spans="1:9" ht="14.25" customHeight="1" x14ac:dyDescent="0.25">
      <c r="A73" s="17">
        <v>45755</v>
      </c>
      <c r="B73" s="18">
        <f>SUMIF(Sales!A:A, A73, Sales!J:J)</f>
        <v>13</v>
      </c>
      <c r="C73" s="18">
        <f>SUMIF(Sales!A:A, A73,Sales!M:M)</f>
        <v>7116</v>
      </c>
      <c r="D73" s="18">
        <f>SUM(C66:C73)</f>
        <v>33727</v>
      </c>
      <c r="E73" s="18">
        <f>SUMIF(Sales!A:A, A73, Sales!N:N)</f>
        <v>4501</v>
      </c>
      <c r="F73" s="18">
        <f>SUM($E$67+$E$66+$E$68+$E$69+$E$70+$E$71+$E$72+E73)</f>
        <v>21772</v>
      </c>
      <c r="G73" s="104">
        <v>63</v>
      </c>
      <c r="H73" s="19">
        <f>SUMIF(Returns!B:B, A73, Returns!P:P)</f>
        <v>1879</v>
      </c>
      <c r="I73" s="19">
        <f>SUMIF(Returns!B:B, A73, Returns!L:L)</f>
        <v>2</v>
      </c>
    </row>
    <row r="74" spans="1:9" ht="14.25" customHeight="1" x14ac:dyDescent="0.25">
      <c r="A74" s="17">
        <v>45756</v>
      </c>
      <c r="B74" s="18">
        <f>SUMIF(Sales!A:A, A74, Sales!J:J)</f>
        <v>4</v>
      </c>
      <c r="C74" s="18">
        <f>SUMIF(Sales!A:A, A74,Sales!M:M)</f>
        <v>2096</v>
      </c>
      <c r="D74" s="18">
        <f>SUM(C66:C74)</f>
        <v>35823</v>
      </c>
      <c r="E74" s="18">
        <f>SUMIF(Sales!A:A, A74, Sales!N:N)</f>
        <v>1349</v>
      </c>
      <c r="F74" s="18">
        <f>SUM(E$67+E$66+E$68+E$69+E$70+E$71+E$72+E$74+E$73)</f>
        <v>23121</v>
      </c>
      <c r="G74" s="104">
        <v>95</v>
      </c>
      <c r="H74" s="19">
        <f>SUMIF(Returns!B:B, A74, Returns!P:P)</f>
        <v>0</v>
      </c>
      <c r="I74" s="19">
        <f>SUMIF(Returns!B:B, A74, Returns!L:L)</f>
        <v>0</v>
      </c>
    </row>
    <row r="75" spans="1:9" ht="14.25" customHeight="1" x14ac:dyDescent="0.25">
      <c r="A75" s="17">
        <v>45757</v>
      </c>
      <c r="B75" s="18">
        <f>SUMIF(Sales!A:A, A75, Sales!J:J)</f>
        <v>9</v>
      </c>
      <c r="C75" s="18">
        <f>SUMIF(Sales!A:A, A75,Sales!M:M)</f>
        <v>5588</v>
      </c>
      <c r="D75" s="18">
        <f>SUM(C66:C75)</f>
        <v>41411</v>
      </c>
      <c r="E75" s="18">
        <f>SUMIF(Sales!A:A, A75, Sales!N:N)</f>
        <v>3620</v>
      </c>
      <c r="F75" s="18">
        <f>SUM(E$67+E$66+E$68+E$69+E$70+E$71+E$72+E$74+E$73+$E$75)</f>
        <v>26741</v>
      </c>
      <c r="G75" s="104">
        <v>101</v>
      </c>
      <c r="H75" s="19">
        <f>SUMIF(Returns!B:B, A75, Returns!P:P)</f>
        <v>0</v>
      </c>
      <c r="I75" s="19">
        <f>SUMIF(Returns!B:B, A75, Returns!L:L)</f>
        <v>0</v>
      </c>
    </row>
    <row r="76" spans="1:9" ht="14.25" customHeight="1" x14ac:dyDescent="0.25">
      <c r="A76" s="17">
        <v>45758</v>
      </c>
      <c r="B76" s="18">
        <f>SUMIF(Sales!A:A, A76, Sales!J:J)</f>
        <v>4</v>
      </c>
      <c r="C76" s="18">
        <f>SUMIF(Sales!A:A, A76,Sales!M:M)</f>
        <v>1677</v>
      </c>
      <c r="D76" s="18">
        <f>SUM(C66:C76)</f>
        <v>43088</v>
      </c>
      <c r="E76" s="18">
        <f>SUMIF(Sales!A:A, A76, Sales!N:N)</f>
        <v>1010</v>
      </c>
      <c r="F76" s="18">
        <f>SUM(E$67+E$66+E$68+E$69+E$70+E$71+E$72+E$74+E$73+$E$75+E76)</f>
        <v>27751</v>
      </c>
      <c r="G76" s="104">
        <v>103</v>
      </c>
      <c r="H76" s="19">
        <f>SUMIF(Returns!B:B, A76, Returns!P:P)</f>
        <v>0</v>
      </c>
      <c r="I76" s="19">
        <f>SUMIF(Returns!B:B, A76, Returns!L:L)</f>
        <v>0</v>
      </c>
    </row>
    <row r="77" spans="1:9" ht="14.25" customHeight="1" x14ac:dyDescent="0.25">
      <c r="A77" s="17">
        <v>45759</v>
      </c>
      <c r="B77" s="18">
        <f>SUMIF(Sales!A:A, A77, Sales!J:J)</f>
        <v>2</v>
      </c>
      <c r="C77" s="18">
        <f>SUMIF(Sales!A:A, A77,Sales!M:M)</f>
        <v>1284</v>
      </c>
      <c r="D77" s="18">
        <f>SUM(C66:C77)</f>
        <v>44372</v>
      </c>
      <c r="E77" s="18">
        <f>SUMIF(Sales!A:A, A77, Sales!N:N)</f>
        <v>858</v>
      </c>
      <c r="F77" s="18">
        <f>SUM($E67+$E66+$E68+$E69+$E70+$E71+$E72+$E74+$E73+$E75+$E77+$E76)</f>
        <v>28609</v>
      </c>
      <c r="G77" s="104">
        <v>137</v>
      </c>
      <c r="H77" s="19">
        <f>SUMIF(Returns!B:B, A77, Returns!P:P)</f>
        <v>0</v>
      </c>
      <c r="I77" s="19">
        <f>SUMIF(Returns!B:B, A77, Returns!L:L)</f>
        <v>0</v>
      </c>
    </row>
    <row r="78" spans="1:9" ht="14.25" customHeight="1" x14ac:dyDescent="0.25">
      <c r="A78" s="17">
        <v>45760</v>
      </c>
      <c r="B78" s="18">
        <f>SUMIF(Sales!A:A, A78, Sales!J:J)</f>
        <v>7</v>
      </c>
      <c r="C78" s="18">
        <f>SUMIF(Sales!A:A, A78,Sales!M:M)</f>
        <v>4511</v>
      </c>
      <c r="D78" s="18">
        <f>SUM(C66:C78)</f>
        <v>48883</v>
      </c>
      <c r="E78" s="18">
        <f>SUMIF(Sales!A:A, A78, Sales!N:N)</f>
        <v>2922</v>
      </c>
      <c r="F78" s="18">
        <f>SUM($E67+$E66+$E68+$E69+$E70+$E71+$E72+$E74+$E73+$E75+$E78+$E77+$E76)</f>
        <v>31531</v>
      </c>
      <c r="G78" s="104">
        <v>331</v>
      </c>
      <c r="H78" s="19">
        <f>SUMIF(Returns!B:B, A78, Returns!P:P)</f>
        <v>0</v>
      </c>
      <c r="I78" s="19">
        <f>SUMIF(Returns!B:B, A78, Returns!L:L)</f>
        <v>0</v>
      </c>
    </row>
    <row r="79" spans="1:9" ht="14.25" customHeight="1" x14ac:dyDescent="0.25">
      <c r="A79" s="17">
        <v>45761</v>
      </c>
      <c r="B79" s="18">
        <f>SUMIF(Sales!A:A, A79, Sales!J:J)</f>
        <v>6</v>
      </c>
      <c r="C79" s="18">
        <f>SUMIF(Sales!A:A, A79,Sales!M:M)</f>
        <v>2775</v>
      </c>
      <c r="D79" s="18">
        <f>SUM(C66:C79)</f>
        <v>51658</v>
      </c>
      <c r="E79" s="18">
        <f>SUMIF(Sales!A:A, A79, Sales!N:N)</f>
        <v>1718</v>
      </c>
      <c r="F79" s="18">
        <f>SUM($E68+$E67+$E69+$E70+$E71+$E72+$E73+$E75+$E74+$E76+$E79+$E78+$E77+$E$66)</f>
        <v>33249</v>
      </c>
      <c r="G79" s="104">
        <v>266</v>
      </c>
      <c r="H79" s="19">
        <f>SUMIF(Returns!B:B, A79, Returns!P:P)</f>
        <v>0</v>
      </c>
      <c r="I79" s="19">
        <f>SUMIF(Returns!B:B, A79, Returns!L:L)</f>
        <v>0</v>
      </c>
    </row>
    <row r="80" spans="1:9" ht="14.25" customHeight="1" x14ac:dyDescent="0.25">
      <c r="A80" s="17">
        <v>45762</v>
      </c>
      <c r="B80" s="18">
        <f>SUMIF(Sales!A:A, A80, Sales!J:J)</f>
        <v>16</v>
      </c>
      <c r="C80" s="18">
        <f>SUMIF(Sales!A:A, A80,Sales!M:M)</f>
        <v>6549</v>
      </c>
      <c r="D80" s="18">
        <f>SUM(C66:C80)</f>
        <v>58207</v>
      </c>
      <c r="E80" s="18">
        <f>SUMIF(Sales!A:A, A80, Sales!N:N)</f>
        <v>4573</v>
      </c>
      <c r="F80" s="18">
        <f>SUM(E66:E80)</f>
        <v>37822</v>
      </c>
      <c r="G80" s="104">
        <v>149</v>
      </c>
      <c r="H80" s="19">
        <f>SUMIF(Returns!B:B, A80, Returns!P:P)</f>
        <v>0</v>
      </c>
      <c r="I80" s="19">
        <f>SUMIF(Returns!B:B, A80, Returns!L:L)</f>
        <v>0</v>
      </c>
    </row>
    <row r="81" spans="1:9" ht="14.25" customHeight="1" x14ac:dyDescent="0.25">
      <c r="A81" s="17">
        <v>45763</v>
      </c>
      <c r="B81" s="18">
        <f>SUMIF(Sales!A:A, A81, Sales!J:J)</f>
        <v>4</v>
      </c>
      <c r="C81" s="18">
        <f>SUMIF(Sales!A:A, A81,Sales!M:M)</f>
        <v>1776</v>
      </c>
      <c r="D81" s="18">
        <f>SUM(C66:C81)</f>
        <v>59983</v>
      </c>
      <c r="E81" s="18">
        <f>SUMIF(Sales!A:A, A81, Sales!N:N)</f>
        <v>1148</v>
      </c>
      <c r="F81" s="18">
        <f>SUM(E66:E81)</f>
        <v>38970</v>
      </c>
      <c r="G81" s="104">
        <v>276</v>
      </c>
      <c r="H81" s="19">
        <f>SUMIF(Returns!B:B, A81, Returns!P:P)</f>
        <v>0</v>
      </c>
      <c r="I81" s="19">
        <f>SUMIF(Returns!B:B, A81, Returns!L:L)</f>
        <v>0</v>
      </c>
    </row>
    <row r="82" spans="1:9" ht="14.25" customHeight="1" x14ac:dyDescent="0.25">
      <c r="A82" s="17">
        <v>45764</v>
      </c>
      <c r="B82" s="18">
        <f>SUMIF(Sales!A:A, A82, Sales!J:J)</f>
        <v>8</v>
      </c>
      <c r="C82" s="18">
        <f>SUMIF(Sales!A:A, A82,Sales!M:M)</f>
        <v>5232</v>
      </c>
      <c r="D82" s="18">
        <f>SUM(C66:C82)</f>
        <v>65215</v>
      </c>
      <c r="E82" s="18">
        <f>SUMIF(Sales!A:A, A82, Sales!N:N)</f>
        <v>3372</v>
      </c>
      <c r="F82" s="18">
        <f>SUM(E66:E82)</f>
        <v>42342</v>
      </c>
      <c r="G82" s="104">
        <v>166</v>
      </c>
      <c r="H82" s="19">
        <f>SUMIF(Returns!B:B, A82, Returns!P:P)</f>
        <v>0</v>
      </c>
      <c r="I82" s="19">
        <f>SUMIF(Returns!B:B, A82, Returns!L:L)</f>
        <v>0</v>
      </c>
    </row>
    <row r="83" spans="1:9" ht="14.25" customHeight="1" x14ac:dyDescent="0.25">
      <c r="A83" s="17">
        <v>45765</v>
      </c>
      <c r="B83" s="18">
        <f>SUMIF(Sales!A:A, A83, Sales!J:J)</f>
        <v>6</v>
      </c>
      <c r="C83" s="18">
        <f>SUMIF(Sales!A:A, A83,Sales!M:M)</f>
        <v>2463</v>
      </c>
      <c r="D83" s="18">
        <f>SUM(C66:C83)</f>
        <v>67678</v>
      </c>
      <c r="E83" s="18">
        <f>SUMIF(Sales!A:A, A83, Sales!N:N)</f>
        <v>1522</v>
      </c>
      <c r="F83" s="18">
        <f>SUM(E66:E83)</f>
        <v>43864</v>
      </c>
      <c r="G83" s="104">
        <v>101</v>
      </c>
      <c r="H83" s="19">
        <f>SUMIF(Returns!B:B, A83, Returns!P:P)</f>
        <v>0</v>
      </c>
      <c r="I83" s="19">
        <f>SUMIF(Returns!B:B, A83, Returns!L:L)</f>
        <v>0</v>
      </c>
    </row>
    <row r="84" spans="1:9" ht="14.25" customHeight="1" x14ac:dyDescent="0.25">
      <c r="A84" s="17">
        <v>45766</v>
      </c>
      <c r="B84" s="18">
        <f>SUMIF(Sales!A:A, A84, Sales!J:J)</f>
        <v>4</v>
      </c>
      <c r="C84" s="18">
        <f>SUMIF(Sales!A:A, A84,Sales!M:M)</f>
        <v>2626</v>
      </c>
      <c r="D84" s="18">
        <f>SUM(C66:C84)</f>
        <v>70304</v>
      </c>
      <c r="E84" s="18">
        <f>SUMIF(Sales!A:A, A84, Sales!N:N)</f>
        <v>1873</v>
      </c>
      <c r="F84" s="18">
        <f>SUM(E66:E84)</f>
        <v>45737</v>
      </c>
      <c r="G84" s="104">
        <v>139</v>
      </c>
      <c r="H84" s="19">
        <f>SUMIF(Returns!B:B, A84, Returns!P:P)</f>
        <v>0</v>
      </c>
      <c r="I84" s="19">
        <f>SUMIF(Returns!B:B, A84, Returns!L:L)</f>
        <v>0</v>
      </c>
    </row>
    <row r="85" spans="1:9" ht="14.25" customHeight="1" x14ac:dyDescent="0.25">
      <c r="A85" s="17">
        <v>45767</v>
      </c>
      <c r="B85" s="18">
        <f>SUMIF(Sales!A:A, A85, Sales!J:J)</f>
        <v>6</v>
      </c>
      <c r="C85" s="18">
        <f>SUMIF(Sales!A:A, A85,Sales!M:M)</f>
        <v>4603</v>
      </c>
      <c r="D85" s="18">
        <f>SUM(C66:C85)</f>
        <v>74907</v>
      </c>
      <c r="E85" s="18">
        <f>SUMIF(Sales!A:A, A85, Sales!N:N)</f>
        <v>3128</v>
      </c>
      <c r="F85" s="18">
        <f>SUM(E66:E85)</f>
        <v>48865</v>
      </c>
      <c r="G85" s="104">
        <v>53</v>
      </c>
      <c r="H85" s="19">
        <f>SUMIF(Returns!B:B, A85, Returns!P:P)</f>
        <v>0</v>
      </c>
      <c r="I85" s="19">
        <f>SUMIF(Returns!B:B, A85, Returns!L:L)</f>
        <v>0</v>
      </c>
    </row>
    <row r="86" spans="1:9" ht="14.25" customHeight="1" x14ac:dyDescent="0.25">
      <c r="A86" s="17">
        <v>45768</v>
      </c>
      <c r="B86" s="18">
        <f>SUMIF(Sales!A:A, A86, Sales!J:J)</f>
        <v>13</v>
      </c>
      <c r="C86" s="18">
        <f>SUMIF(Sales!A:A, A86,Sales!M:M)</f>
        <v>7997</v>
      </c>
      <c r="D86" s="18">
        <f>SUM(C66:C86)</f>
        <v>82904</v>
      </c>
      <c r="E86" s="18">
        <f>SUMIF(Sales!A:A, A86, Sales!N:N)</f>
        <v>5381</v>
      </c>
      <c r="F86" s="18">
        <f>SUM(E66:E86)</f>
        <v>54246</v>
      </c>
      <c r="G86" s="104">
        <v>219</v>
      </c>
      <c r="H86" s="19">
        <f>SUMIF(Returns!B:B, A86, Returns!P:P)</f>
        <v>0</v>
      </c>
      <c r="I86" s="19">
        <f>SUMIF(Returns!B:B, A86, Returns!L:L)</f>
        <v>0</v>
      </c>
    </row>
    <row r="87" spans="1:9" ht="14.25" customHeight="1" x14ac:dyDescent="0.25">
      <c r="A87" s="17">
        <v>45769</v>
      </c>
      <c r="B87" s="18">
        <f>SUMIF(Sales!A:A, A87, Sales!J:J)</f>
        <v>8</v>
      </c>
      <c r="C87" s="18">
        <f>SUMIF(Sales!A:A, A87,Sales!M:M)</f>
        <v>4485</v>
      </c>
      <c r="D87" s="18">
        <f>SUM(C66:C87)</f>
        <v>87389</v>
      </c>
      <c r="E87" s="18">
        <f>SUMIF(Sales!A:A, A87, Sales!N:N)</f>
        <v>3195</v>
      </c>
      <c r="F87" s="18">
        <f>SUM(E66:E87)</f>
        <v>57441</v>
      </c>
      <c r="G87" s="104">
        <v>227</v>
      </c>
      <c r="H87" s="19">
        <f>SUMIF(Returns!B:B, A87, Returns!P:P)</f>
        <v>0</v>
      </c>
      <c r="I87" s="19">
        <f>SUMIF(Returns!B:B, A87, Returns!L:L)</f>
        <v>0</v>
      </c>
    </row>
    <row r="88" spans="1:9" ht="14.25" customHeight="1" x14ac:dyDescent="0.25">
      <c r="A88" s="17">
        <v>45770</v>
      </c>
      <c r="B88" s="18">
        <f>SUMIF(Sales!A:A, A88, Sales!J:J)</f>
        <v>9</v>
      </c>
      <c r="C88" s="18">
        <f>SUMIF(Sales!A:A, A88,Sales!M:M)</f>
        <v>2897</v>
      </c>
      <c r="D88" s="18">
        <f>SUM(C66:C88)</f>
        <v>90286</v>
      </c>
      <c r="E88" s="18">
        <f>SUMIF(Sales!A:A, A88, Sales!N:N)</f>
        <v>1945</v>
      </c>
      <c r="F88" s="18">
        <f>SUM(E66:E88)</f>
        <v>59386</v>
      </c>
      <c r="G88" s="104">
        <v>222</v>
      </c>
      <c r="H88" s="19">
        <f>SUMIF(Returns!B:B, A88, Returns!P:P)</f>
        <v>0</v>
      </c>
      <c r="I88" s="19">
        <f>SUMIF(Returns!B:B, A88, Returns!L:L)</f>
        <v>0</v>
      </c>
    </row>
    <row r="89" spans="1:9" ht="14.25" customHeight="1" x14ac:dyDescent="0.25">
      <c r="A89" s="17">
        <v>45771</v>
      </c>
      <c r="B89" s="18">
        <f>SUMIF(Sales!A:A, A89, Sales!J:J)</f>
        <v>8</v>
      </c>
      <c r="C89" s="18">
        <f>SUMIF(Sales!A:A, A89,Sales!M:M)</f>
        <v>4225</v>
      </c>
      <c r="D89" s="18">
        <f>SUM(C66:C89)</f>
        <v>94511</v>
      </c>
      <c r="E89" s="18">
        <f>SUMIF(Sales!A:A, A89, Sales!N:N)</f>
        <v>2939</v>
      </c>
      <c r="F89" s="18">
        <f>SUM(E66:E89)</f>
        <v>62325</v>
      </c>
      <c r="G89" s="104">
        <v>136</v>
      </c>
      <c r="H89" s="19">
        <f>SUMIF(Returns!B:B, A89, Returns!P:P)</f>
        <v>0</v>
      </c>
      <c r="I89" s="19">
        <f>SUMIF(Returns!B:B, A89, Returns!L:L)</f>
        <v>0</v>
      </c>
    </row>
    <row r="90" spans="1:9" ht="14.25" customHeight="1" x14ac:dyDescent="0.25">
      <c r="A90" s="17">
        <v>45772</v>
      </c>
      <c r="B90" s="18">
        <f>SUMIF(Sales!A:A, A90, Sales!J:J)</f>
        <v>9</v>
      </c>
      <c r="C90" s="18">
        <f>SUMIF(Sales!A:A, A90,Sales!M:M)</f>
        <v>6747</v>
      </c>
      <c r="D90" s="18">
        <f>SUM(C66:C90)</f>
        <v>101258</v>
      </c>
      <c r="E90" s="18">
        <f>SUMIF(Sales!A:A, A90, Sales!N:N)</f>
        <v>4732</v>
      </c>
      <c r="F90" s="18">
        <f>SUM(E66:E90)</f>
        <v>67057</v>
      </c>
      <c r="G90" s="104">
        <v>90</v>
      </c>
      <c r="H90" s="19">
        <f>SUMIF(Returns!B:B, A90, Returns!P:P)</f>
        <v>0</v>
      </c>
      <c r="I90" s="19">
        <f>SUMIF(Returns!B:B, A90, Returns!L:L)</f>
        <v>0</v>
      </c>
    </row>
    <row r="91" spans="1:9" ht="14.25" customHeight="1" x14ac:dyDescent="0.25">
      <c r="A91" s="17">
        <v>45773</v>
      </c>
      <c r="B91" s="18">
        <f>SUMIF(Sales!A:A, A91, Sales!J:J)</f>
        <v>8</v>
      </c>
      <c r="C91" s="18">
        <f>SUMIF(Sales!A:A, A91,Sales!M:M)</f>
        <v>3608</v>
      </c>
      <c r="D91" s="18">
        <f>SUM(C66:C91)</f>
        <v>104866</v>
      </c>
      <c r="E91" s="18">
        <f>SUMIF(Sales!A:A, A91, Sales!N:N)</f>
        <v>2411</v>
      </c>
      <c r="F91" s="18">
        <f>SUM(E66:E91)</f>
        <v>69468</v>
      </c>
      <c r="G91" s="104">
        <v>173</v>
      </c>
      <c r="H91" s="19">
        <f>SUMIF(Returns!B:B, A91, Returns!P:P)</f>
        <v>0</v>
      </c>
      <c r="I91" s="19">
        <f>SUMIF(Returns!B:B, A91, Returns!L:L)</f>
        <v>0</v>
      </c>
    </row>
    <row r="92" spans="1:9" ht="14.25" customHeight="1" x14ac:dyDescent="0.25">
      <c r="A92" s="17">
        <v>45774</v>
      </c>
      <c r="B92" s="18">
        <f>SUMIF(Sales!A:A, A92, Sales!J:J)</f>
        <v>10</v>
      </c>
      <c r="C92" s="18">
        <f>SUMIF(Sales!A:A, A92,Sales!M:M)</f>
        <v>6656</v>
      </c>
      <c r="D92" s="18">
        <f>SUM(C66:C92)</f>
        <v>111522</v>
      </c>
      <c r="E92" s="18">
        <f>SUMIF(Sales!A:A, A92, Sales!N:N)</f>
        <v>4728</v>
      </c>
      <c r="F92" s="18">
        <f>SUM(E66:E92)</f>
        <v>74196</v>
      </c>
      <c r="G92" s="104">
        <v>164</v>
      </c>
      <c r="H92" s="19">
        <f>SUMIF(Returns!B:B, A92, Returns!P:P)</f>
        <v>0</v>
      </c>
      <c r="I92" s="19">
        <f>SUMIF(Returns!B:B, A92, Returns!L:L)</f>
        <v>0</v>
      </c>
    </row>
    <row r="93" spans="1:9" ht="14.25" customHeight="1" x14ac:dyDescent="0.25">
      <c r="A93" s="17">
        <v>45775</v>
      </c>
      <c r="B93" s="18">
        <f>SUMIF(Sales!A:A, A93, Sales!J:J)</f>
        <v>9</v>
      </c>
      <c r="C93" s="18">
        <f>SUMIF(Sales!A:A, A93,Sales!M:M)</f>
        <v>5158</v>
      </c>
      <c r="D93" s="18">
        <f>SUM(C66:C93)</f>
        <v>116680</v>
      </c>
      <c r="E93" s="18">
        <f>SUMIF(Sales!A:A, A93, Sales!N:N)</f>
        <v>3593</v>
      </c>
      <c r="F93" s="18">
        <f>SUM(E66:E93)</f>
        <v>77789</v>
      </c>
      <c r="G93" s="104">
        <v>121</v>
      </c>
      <c r="H93" s="19">
        <f>SUMIF(Returns!B:B, A93, Returns!P:P)</f>
        <v>0</v>
      </c>
      <c r="I93" s="19">
        <f>SUMIF(Returns!B:B, A93, Returns!L:L)</f>
        <v>0</v>
      </c>
    </row>
    <row r="94" spans="1:9" ht="14.25" customHeight="1" x14ac:dyDescent="0.25">
      <c r="A94" s="17">
        <v>45776</v>
      </c>
      <c r="B94" s="18">
        <f>SUMIF(Sales!A:A, A94, Sales!J:J)</f>
        <v>7</v>
      </c>
      <c r="C94" s="18">
        <f>SUMIF(Sales!A:A, A94,Sales!M:M)</f>
        <v>4477</v>
      </c>
      <c r="D94" s="18">
        <f>SUM(C66:C94)</f>
        <v>121157</v>
      </c>
      <c r="E94" s="18">
        <f>SUMIF(Sales!A:A, A94, Sales!N:N)</f>
        <v>3198</v>
      </c>
      <c r="F94" s="18">
        <f>SUM(E66:E94)</f>
        <v>80987</v>
      </c>
      <c r="G94" s="104">
        <v>121</v>
      </c>
      <c r="H94" s="19">
        <f>SUMIF(Returns!B:B, A94, Returns!P:P)</f>
        <v>0</v>
      </c>
      <c r="I94" s="19">
        <f>SUMIF(Returns!B:B, A94, Returns!L:L)</f>
        <v>0</v>
      </c>
    </row>
    <row r="95" spans="1:9" ht="14.25" customHeight="1" x14ac:dyDescent="0.25">
      <c r="A95" s="17">
        <v>45777</v>
      </c>
    </row>
    <row r="96" spans="1:9" ht="14.25" customHeight="1" x14ac:dyDescent="0.25">
      <c r="A96" s="17"/>
    </row>
    <row r="97" spans="1:1" ht="14.25" customHeight="1" x14ac:dyDescent="0.25">
      <c r="A97" s="17"/>
    </row>
    <row r="98" spans="1:1" ht="14.25" customHeight="1" x14ac:dyDescent="0.25">
      <c r="A98" s="17"/>
    </row>
    <row r="99" spans="1:1" ht="14.25" customHeight="1" x14ac:dyDescent="0.25">
      <c r="A99" s="17"/>
    </row>
    <row r="100" spans="1:1" ht="14.25" customHeight="1" x14ac:dyDescent="0.25">
      <c r="A100" s="17"/>
    </row>
    <row r="101" spans="1:1" ht="14.25" customHeight="1" x14ac:dyDescent="0.25">
      <c r="A101" s="17"/>
    </row>
    <row r="102" spans="1:1" ht="14.25" customHeight="1" x14ac:dyDescent="0.25">
      <c r="A102" s="17"/>
    </row>
    <row r="103" spans="1:1" ht="14.25" customHeight="1" x14ac:dyDescent="0.25">
      <c r="A103" s="17"/>
    </row>
    <row r="104" spans="1:1" ht="14.25" customHeight="1" x14ac:dyDescent="0.25">
      <c r="A104" s="17"/>
    </row>
    <row r="105" spans="1:1" ht="14.25" customHeight="1" x14ac:dyDescent="0.25">
      <c r="A105" s="17"/>
    </row>
    <row r="106" spans="1:1" ht="14.25" customHeight="1" x14ac:dyDescent="0.25">
      <c r="A106" s="17"/>
    </row>
    <row r="107" spans="1:1" ht="14.25" customHeight="1" x14ac:dyDescent="0.25">
      <c r="A107" s="17"/>
    </row>
    <row r="108" spans="1:1" ht="14.25" customHeight="1" x14ac:dyDescent="0.25">
      <c r="A108" s="17"/>
    </row>
    <row r="109" spans="1:1" ht="14.25" customHeight="1" x14ac:dyDescent="0.25">
      <c r="A109" s="17"/>
    </row>
    <row r="110" spans="1:1" ht="14.25" customHeight="1" x14ac:dyDescent="0.25">
      <c r="A110" s="17"/>
    </row>
    <row r="111" spans="1:1" ht="14.25" customHeight="1" x14ac:dyDescent="0.25">
      <c r="A111" s="17"/>
    </row>
    <row r="112" spans="1:1" ht="14.25" customHeight="1" x14ac:dyDescent="0.25">
      <c r="A112" s="17"/>
    </row>
    <row r="113" spans="1:1" ht="14.25" customHeight="1" x14ac:dyDescent="0.25">
      <c r="A113" s="17"/>
    </row>
    <row r="114" spans="1:1" ht="14.25" customHeight="1" x14ac:dyDescent="0.25">
      <c r="A114" s="17"/>
    </row>
    <row r="115" spans="1:1" ht="14.25" customHeight="1" x14ac:dyDescent="0.25">
      <c r="A115" s="17"/>
    </row>
    <row r="116" spans="1:1" ht="14.25" customHeight="1" x14ac:dyDescent="0.25">
      <c r="A116" s="17"/>
    </row>
    <row r="117" spans="1:1" ht="14.25" customHeight="1" x14ac:dyDescent="0.25">
      <c r="A117" s="17"/>
    </row>
    <row r="118" spans="1:1" ht="14.25" customHeight="1" x14ac:dyDescent="0.25"/>
    <row r="119" spans="1:1" ht="14.25" customHeight="1" x14ac:dyDescent="0.25"/>
    <row r="120" spans="1:1" ht="14.25" customHeight="1" x14ac:dyDescent="0.25"/>
    <row r="121" spans="1:1" ht="14.25" customHeight="1" x14ac:dyDescent="0.25"/>
    <row r="122" spans="1:1" ht="14.25" customHeight="1" x14ac:dyDescent="0.25"/>
    <row r="123" spans="1:1" ht="14.25" customHeight="1" x14ac:dyDescent="0.25"/>
    <row r="124" spans="1:1" ht="14.25" customHeight="1" x14ac:dyDescent="0.25"/>
    <row r="125" spans="1:1" ht="14.25" customHeight="1" x14ac:dyDescent="0.25"/>
    <row r="126" spans="1:1" ht="14.25" customHeight="1" x14ac:dyDescent="0.25"/>
    <row r="127" spans="1:1" ht="14.25" customHeight="1" x14ac:dyDescent="0.25"/>
    <row r="128" spans="1:1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A83" workbookViewId="0">
      <selection activeCell="C98" sqref="C98"/>
    </sheetView>
  </sheetViews>
  <sheetFormatPr defaultColWidth="14.42578125" defaultRowHeight="15" customHeight="1" x14ac:dyDescent="0.25"/>
  <cols>
    <col min="1" max="1" width="17.7109375" customWidth="1"/>
    <col min="2" max="2" width="22.85546875" customWidth="1"/>
    <col min="3" max="3" width="16.42578125" customWidth="1"/>
    <col min="4" max="4" width="17.5703125" customWidth="1"/>
    <col min="5" max="5" width="19.42578125" customWidth="1"/>
    <col min="6" max="6" width="14.5703125" customWidth="1"/>
    <col min="7" max="7" width="15.42578125" customWidth="1"/>
    <col min="8" max="8" width="15.140625" customWidth="1"/>
    <col min="9" max="9" width="14.42578125" customWidth="1"/>
    <col min="10" max="10" width="15" customWidth="1"/>
    <col min="11" max="11" width="15.140625" customWidth="1"/>
    <col min="12" max="12" width="13.42578125" customWidth="1"/>
    <col min="13" max="26" width="8.85546875" customWidth="1"/>
  </cols>
  <sheetData>
    <row r="1" spans="1:26" ht="14.25" customHeight="1" x14ac:dyDescent="0.25">
      <c r="A1" s="26" t="s">
        <v>0</v>
      </c>
      <c r="B1" s="27" t="s">
        <v>3</v>
      </c>
      <c r="C1" s="28" t="s">
        <v>128</v>
      </c>
      <c r="D1" s="28" t="s">
        <v>129</v>
      </c>
      <c r="E1" s="29" t="s">
        <v>130</v>
      </c>
      <c r="F1" s="28" t="s">
        <v>8</v>
      </c>
      <c r="G1" s="28" t="s">
        <v>131</v>
      </c>
      <c r="H1" s="28" t="s">
        <v>132</v>
      </c>
      <c r="I1" s="28" t="s">
        <v>133</v>
      </c>
      <c r="J1" s="28" t="s">
        <v>134</v>
      </c>
      <c r="K1" s="28" t="s">
        <v>135</v>
      </c>
      <c r="L1" s="29" t="s">
        <v>136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4.25" customHeight="1" x14ac:dyDescent="0.25">
      <c r="A2" s="26">
        <v>45668</v>
      </c>
      <c r="B2" s="31" t="s">
        <v>14</v>
      </c>
      <c r="C2" s="28">
        <v>21.24</v>
      </c>
      <c r="D2" s="28">
        <v>0</v>
      </c>
      <c r="E2" s="32" t="s">
        <v>137</v>
      </c>
      <c r="F2" s="28">
        <v>0</v>
      </c>
      <c r="G2" s="32">
        <v>0</v>
      </c>
      <c r="H2" s="33">
        <v>0</v>
      </c>
      <c r="I2" s="28">
        <v>2</v>
      </c>
      <c r="J2" s="33">
        <f t="shared" ref="J2:J4" si="0">I2/K2</f>
        <v>8.130081300813009E-3</v>
      </c>
      <c r="K2" s="28">
        <v>246</v>
      </c>
      <c r="L2" s="32">
        <f>Ads_Cost!$C2/Ads_Cost!$I2</f>
        <v>10.62</v>
      </c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4.25" customHeight="1" x14ac:dyDescent="0.25">
      <c r="A3" s="26">
        <v>45669</v>
      </c>
      <c r="B3" s="31" t="s">
        <v>14</v>
      </c>
      <c r="C3" s="28">
        <v>70.569999999999993</v>
      </c>
      <c r="D3" s="28">
        <v>250</v>
      </c>
      <c r="E3" s="32" t="s">
        <v>137</v>
      </c>
      <c r="F3" s="28">
        <v>1</v>
      </c>
      <c r="G3" s="34">
        <f t="shared" ref="G3:G4" si="1">D3/C3</f>
        <v>3.5425818336403574</v>
      </c>
      <c r="H3" s="33">
        <f>C3/D3</f>
        <v>0.28227999999999998</v>
      </c>
      <c r="I3" s="28">
        <v>7</v>
      </c>
      <c r="J3" s="33">
        <f t="shared" si="0"/>
        <v>1.5945330296127564E-2</v>
      </c>
      <c r="K3" s="28">
        <v>439</v>
      </c>
      <c r="L3" s="34">
        <f>Ads_Cost!$C3/Ads_Cost!$I3</f>
        <v>10.081428571428571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4.25" customHeight="1" x14ac:dyDescent="0.25">
      <c r="A4" s="26">
        <v>45670</v>
      </c>
      <c r="B4" s="31" t="s">
        <v>14</v>
      </c>
      <c r="C4" s="28">
        <v>28.54</v>
      </c>
      <c r="D4" s="28">
        <v>0</v>
      </c>
      <c r="E4" s="32" t="s">
        <v>137</v>
      </c>
      <c r="F4" s="28">
        <v>0</v>
      </c>
      <c r="G4" s="34">
        <f t="shared" si="1"/>
        <v>0</v>
      </c>
      <c r="H4" s="33">
        <f>IF(Ads_Cost!$D4=0, 0, (Ads_Cost!$C4/Ads_Cost!$D4)*1)</f>
        <v>0</v>
      </c>
      <c r="I4" s="28">
        <v>5</v>
      </c>
      <c r="J4" s="33">
        <f t="shared" si="0"/>
        <v>1.4164305949008499E-2</v>
      </c>
      <c r="K4" s="28">
        <v>353</v>
      </c>
      <c r="L4" s="32">
        <f>Ads_Cost!$C4/Ads_Cost!$I4</f>
        <v>5.7080000000000002</v>
      </c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4.25" customHeight="1" x14ac:dyDescent="0.25">
      <c r="A5" s="26">
        <v>45671</v>
      </c>
      <c r="B5" s="31" t="s">
        <v>14</v>
      </c>
      <c r="C5" s="35">
        <v>17.7</v>
      </c>
      <c r="D5" s="28">
        <v>494.07</v>
      </c>
      <c r="E5" s="32" t="s">
        <v>137</v>
      </c>
      <c r="F5" s="28">
        <v>2</v>
      </c>
      <c r="G5" s="34">
        <f>IF(Ads_Cost!$C5=0, 0, Ads_Cost!$D5/Ads_Cost!$C5)</f>
        <v>27.913559322033898</v>
      </c>
      <c r="H5" s="33">
        <f>IF(Ads_Cost!$D5=0, 0, (Ads_Cost!$C5/Ads_Cost!$D5)*1)</f>
        <v>3.582488311372882E-2</v>
      </c>
      <c r="I5" s="28">
        <v>2</v>
      </c>
      <c r="J5" s="33">
        <f>IF(Ads_Cost!$D5=0, 0, (Ads_Cost!$C5/Ads_Cost!$D5)*1)</f>
        <v>3.582488311372882E-2</v>
      </c>
      <c r="K5" s="28">
        <v>277</v>
      </c>
      <c r="L5" s="32">
        <f>IF(Ads_Cost!$I5=0, 0, Ads_Cost!$C5/Ads_Cost!$I5)</f>
        <v>8.85</v>
      </c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4.25" customHeight="1" x14ac:dyDescent="0.25">
      <c r="A6" s="26">
        <v>45672</v>
      </c>
      <c r="B6" s="31" t="s">
        <v>14</v>
      </c>
      <c r="C6" s="28">
        <v>21.15</v>
      </c>
      <c r="D6" s="28">
        <v>0</v>
      </c>
      <c r="E6" s="32" t="s">
        <v>137</v>
      </c>
      <c r="F6" s="28">
        <v>0</v>
      </c>
      <c r="G6" s="34">
        <f>IF(Ads_Cost!$C6=0, 0, Ads_Cost!$D6/Ads_Cost!$C6)</f>
        <v>0</v>
      </c>
      <c r="H6" s="33">
        <f>IF(Ads_Cost!$D6=0, 0, (Ads_Cost!$C6/Ads_Cost!$D6)*1)</f>
        <v>0</v>
      </c>
      <c r="I6" s="28">
        <v>2</v>
      </c>
      <c r="J6" s="33">
        <f>IF(Ads_Cost!$D6=0, 0, (Ads_Cost!$C6/Ads_Cost!$D6)*1)</f>
        <v>0</v>
      </c>
      <c r="K6" s="28">
        <v>345</v>
      </c>
      <c r="L6" s="32">
        <f>IF(Ads_Cost!$I6=0, 0, Ads_Cost!$C6/Ads_Cost!$I6)</f>
        <v>10.574999999999999</v>
      </c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4.25" customHeight="1" x14ac:dyDescent="0.25">
      <c r="A7" s="26">
        <v>45673</v>
      </c>
      <c r="B7" s="31" t="s">
        <v>14</v>
      </c>
      <c r="C7" s="28">
        <v>42.57</v>
      </c>
      <c r="D7" s="28">
        <v>0</v>
      </c>
      <c r="E7" s="32" t="s">
        <v>137</v>
      </c>
      <c r="F7" s="28">
        <v>0</v>
      </c>
      <c r="G7" s="34">
        <f>IF(Ads_Cost!$C7=0, 0, Ads_Cost!$D7/Ads_Cost!$C7)</f>
        <v>0</v>
      </c>
      <c r="H7" s="33">
        <f>IF(Ads_Cost!$D7=0, 0, (Ads_Cost!$C7/Ads_Cost!$D7)*1)</f>
        <v>0</v>
      </c>
      <c r="I7" s="28">
        <v>6</v>
      </c>
      <c r="J7" s="33">
        <f>IF(Ads_Cost!$D7=0, 0, (Ads_Cost!$C7/Ads_Cost!$D7)*1)</f>
        <v>0</v>
      </c>
      <c r="K7" s="28">
        <v>352</v>
      </c>
      <c r="L7" s="32">
        <f>IF(Ads_Cost!$I7=0, 0, Ads_Cost!$C7/Ads_Cost!$I7)</f>
        <v>7.0949999999999998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4.25" customHeight="1" x14ac:dyDescent="0.25">
      <c r="A8" s="26">
        <v>45674</v>
      </c>
      <c r="B8" s="31" t="s">
        <v>14</v>
      </c>
      <c r="C8" s="28">
        <v>255.98</v>
      </c>
      <c r="D8" s="28">
        <v>0</v>
      </c>
      <c r="E8" s="32" t="s">
        <v>137</v>
      </c>
      <c r="F8" s="28">
        <v>0</v>
      </c>
      <c r="G8" s="34">
        <f>IF(Ads_Cost!$C8=0, 0, Ads_Cost!$D8/Ads_Cost!$C8)</f>
        <v>0</v>
      </c>
      <c r="H8" s="33">
        <f>IF(Ads_Cost!$D8=0, 0, (Ads_Cost!$C8/Ads_Cost!$D8)*1)</f>
        <v>0</v>
      </c>
      <c r="I8" s="28">
        <v>17</v>
      </c>
      <c r="J8" s="33">
        <f t="shared" ref="J8:J74" si="2">I8/K8</f>
        <v>1.3178294573643411E-2</v>
      </c>
      <c r="K8" s="28">
        <v>1290</v>
      </c>
      <c r="L8" s="32">
        <f>Ads_Cost!$C8/Ads_Cost!$I8</f>
        <v>15.057647058823528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4.25" customHeight="1" x14ac:dyDescent="0.25">
      <c r="A9" s="26">
        <v>45675</v>
      </c>
      <c r="B9" s="31" t="s">
        <v>14</v>
      </c>
      <c r="C9" s="28">
        <v>131.57</v>
      </c>
      <c r="D9" s="28">
        <v>0</v>
      </c>
      <c r="E9" s="32" t="s">
        <v>137</v>
      </c>
      <c r="F9" s="28">
        <v>0</v>
      </c>
      <c r="G9" s="34">
        <f>IF(Ads_Cost!$C9=0, 0, Ads_Cost!$D9/Ads_Cost!$C9)</f>
        <v>0</v>
      </c>
      <c r="H9" s="33">
        <f>IF(Ads_Cost!$D9=0, 0, (Ads_Cost!$C9/Ads_Cost!$D9)*1)</f>
        <v>0</v>
      </c>
      <c r="I9" s="28">
        <v>14</v>
      </c>
      <c r="J9" s="33">
        <f t="shared" si="2"/>
        <v>2.329450915141431E-2</v>
      </c>
      <c r="K9" s="28">
        <v>601</v>
      </c>
      <c r="L9" s="32">
        <f>Ads_Cost!$C9/Ads_Cost!$I9</f>
        <v>9.3978571428571431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4.25" customHeight="1" x14ac:dyDescent="0.25">
      <c r="A10" s="26">
        <v>45676</v>
      </c>
      <c r="B10" s="31" t="s">
        <v>14</v>
      </c>
      <c r="C10" s="28">
        <v>274.52999999999997</v>
      </c>
      <c r="D10" s="28">
        <v>211.02</v>
      </c>
      <c r="E10" s="32" t="s">
        <v>137</v>
      </c>
      <c r="F10" s="28">
        <v>1</v>
      </c>
      <c r="G10" s="34">
        <f>IF(Ads_Cost!$C10=0, 0, Ads_Cost!$D10/Ads_Cost!$C10)</f>
        <v>0.76865916293301295</v>
      </c>
      <c r="H10" s="33">
        <f>IF(Ads_Cost!$D10=0, 0, (Ads_Cost!$C10/Ads_Cost!$D10)*1)</f>
        <v>1.3009667330110888</v>
      </c>
      <c r="I10" s="28">
        <v>32</v>
      </c>
      <c r="J10" s="33">
        <f t="shared" si="2"/>
        <v>1.50093808630394E-2</v>
      </c>
      <c r="K10" s="28">
        <v>2132</v>
      </c>
      <c r="L10" s="32">
        <f>Ads_Cost!$C10/Ads_Cost!$I10</f>
        <v>8.5790624999999991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4.25" customHeight="1" x14ac:dyDescent="0.25">
      <c r="A11" s="26">
        <v>45677</v>
      </c>
      <c r="B11" s="31" t="s">
        <v>14</v>
      </c>
      <c r="C11" s="28">
        <v>373.06</v>
      </c>
      <c r="D11" s="28">
        <v>844.92</v>
      </c>
      <c r="E11" s="32" t="s">
        <v>137</v>
      </c>
      <c r="F11" s="28">
        <v>2</v>
      </c>
      <c r="G11" s="34">
        <f>IF(Ads_Cost!$C11=0, 0, Ads_Cost!$D11/Ads_Cost!$C11)</f>
        <v>2.2648367554816917</v>
      </c>
      <c r="H11" s="33">
        <f>IF(Ads_Cost!$D11=0, 0, (Ads_Cost!$C11/Ads_Cost!$D11)*1)</f>
        <v>0.44153292619419593</v>
      </c>
      <c r="I11" s="28">
        <v>46</v>
      </c>
      <c r="J11" s="33">
        <f t="shared" si="2"/>
        <v>1.2791991101223582E-2</v>
      </c>
      <c r="K11" s="28">
        <v>3596</v>
      </c>
      <c r="L11" s="32">
        <f>Ads_Cost!$C11/Ads_Cost!$I11</f>
        <v>8.11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4.25" customHeight="1" x14ac:dyDescent="0.25">
      <c r="A12" s="26">
        <v>45678</v>
      </c>
      <c r="B12" s="31" t="s">
        <v>14</v>
      </c>
      <c r="C12" s="28">
        <v>213.4</v>
      </c>
      <c r="D12" s="28">
        <v>211.02</v>
      </c>
      <c r="E12" s="32" t="s">
        <v>137</v>
      </c>
      <c r="F12" s="28">
        <v>1</v>
      </c>
      <c r="G12" s="34">
        <f>IF(Ads_Cost!$C12=0, 0, Ads_Cost!$D12/Ads_Cost!$C12)</f>
        <v>0.98884723523898788</v>
      </c>
      <c r="H12" s="33">
        <f>IF(Ads_Cost!$D12=0, 0, (Ads_Cost!$C12/Ads_Cost!$D12)*1)</f>
        <v>1.0112785517960383</v>
      </c>
      <c r="I12" s="28">
        <v>25</v>
      </c>
      <c r="J12" s="33">
        <f t="shared" si="2"/>
        <v>1.0775862068965518E-2</v>
      </c>
      <c r="K12" s="28">
        <v>2320</v>
      </c>
      <c r="L12" s="32">
        <f>Ads_Cost!$C12/Ads_Cost!$I12</f>
        <v>8.5359999999999996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4.25" customHeight="1" x14ac:dyDescent="0.25">
      <c r="A13" s="26">
        <v>45679</v>
      </c>
      <c r="B13" s="31" t="s">
        <v>14</v>
      </c>
      <c r="C13" s="28">
        <v>323.60000000000002</v>
      </c>
      <c r="D13" s="28">
        <v>0</v>
      </c>
      <c r="E13" s="32" t="s">
        <v>137</v>
      </c>
      <c r="F13" s="28">
        <v>0</v>
      </c>
      <c r="G13" s="34">
        <f>IF(Ads_Cost!$C13=0, 0, Ads_Cost!$D13/Ads_Cost!$C13)</f>
        <v>0</v>
      </c>
      <c r="H13" s="33">
        <f>IF(Ads_Cost!$D13=0, 0, (Ads_Cost!$C13/Ads_Cost!$D13)*1)</f>
        <v>0</v>
      </c>
      <c r="I13" s="28">
        <v>21</v>
      </c>
      <c r="J13" s="33">
        <f t="shared" si="2"/>
        <v>2.5414498366210818E-3</v>
      </c>
      <c r="K13" s="28">
        <v>8263</v>
      </c>
      <c r="L13" s="32">
        <f>Ads_Cost!$C13/Ads_Cost!$I13</f>
        <v>15.40952380952381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4.25" customHeight="1" x14ac:dyDescent="0.25">
      <c r="A14" s="26">
        <v>45680</v>
      </c>
      <c r="B14" s="31" t="s">
        <v>14</v>
      </c>
      <c r="C14" s="28">
        <v>269.52</v>
      </c>
      <c r="D14" s="28">
        <v>0</v>
      </c>
      <c r="E14" s="32" t="s">
        <v>137</v>
      </c>
      <c r="F14" s="28">
        <v>0</v>
      </c>
      <c r="G14" s="34">
        <f>IF(Ads_Cost!$C14=0, 0, Ads_Cost!$D14/Ads_Cost!$C14)</f>
        <v>0</v>
      </c>
      <c r="H14" s="33">
        <f>IF(Ads_Cost!$D14=0, 0, (Ads_Cost!$C14/Ads_Cost!$D14)*1)</f>
        <v>0</v>
      </c>
      <c r="I14" s="28">
        <v>27</v>
      </c>
      <c r="J14" s="33">
        <f t="shared" si="2"/>
        <v>5.0037064492216453E-3</v>
      </c>
      <c r="K14" s="28">
        <v>5396</v>
      </c>
      <c r="L14" s="32">
        <f>Ads_Cost!$C14/Ads_Cost!$I14</f>
        <v>9.9822222222222212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4.25" customHeight="1" x14ac:dyDescent="0.25">
      <c r="A15" s="26">
        <v>45681</v>
      </c>
      <c r="B15" s="31" t="s">
        <v>14</v>
      </c>
      <c r="C15" s="28">
        <v>119.08</v>
      </c>
      <c r="D15" s="28">
        <v>219.49</v>
      </c>
      <c r="E15" s="32" t="s">
        <v>137</v>
      </c>
      <c r="F15" s="28">
        <v>1</v>
      </c>
      <c r="G15" s="34">
        <f>IF(Ads_Cost!$C15=0, 0, Ads_Cost!$D15/Ads_Cost!$C15)</f>
        <v>1.8432146456163925</v>
      </c>
      <c r="H15" s="33">
        <f>IF(Ads_Cost!$D15=0, 0, (Ads_Cost!$C15/Ads_Cost!$D15)*1)</f>
        <v>0.54253041140826463</v>
      </c>
      <c r="I15" s="28">
        <v>16</v>
      </c>
      <c r="J15" s="33">
        <f t="shared" si="2"/>
        <v>4.2953020134228184E-3</v>
      </c>
      <c r="K15" s="28">
        <v>3725</v>
      </c>
      <c r="L15" s="32">
        <f>Ads_Cost!$C15/Ads_Cost!$I15</f>
        <v>7.4424999999999999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4.25" customHeight="1" x14ac:dyDescent="0.25">
      <c r="A16" s="26">
        <v>45682</v>
      </c>
      <c r="B16" s="31" t="s">
        <v>14</v>
      </c>
      <c r="C16" s="28">
        <v>210.21</v>
      </c>
      <c r="D16" s="28">
        <v>0</v>
      </c>
      <c r="E16" s="32" t="s">
        <v>137</v>
      </c>
      <c r="F16" s="28">
        <v>0</v>
      </c>
      <c r="G16" s="34">
        <f>IF(Ads_Cost!$C16=0, 0, Ads_Cost!$D16/Ads_Cost!$C16)</f>
        <v>0</v>
      </c>
      <c r="H16" s="33">
        <f>IF(Ads_Cost!$D16=0, 0, (Ads_Cost!$C16/Ads_Cost!$D16)*1)</f>
        <v>0</v>
      </c>
      <c r="I16" s="28">
        <v>30</v>
      </c>
      <c r="J16" s="33">
        <f t="shared" si="2"/>
        <v>1.0642071656615822E-2</v>
      </c>
      <c r="K16" s="28">
        <v>2819</v>
      </c>
      <c r="L16" s="32">
        <f>Ads_Cost!$C16/Ads_Cost!$I16</f>
        <v>7.0070000000000006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4.25" customHeight="1" x14ac:dyDescent="0.25">
      <c r="A17" s="26">
        <v>45683</v>
      </c>
      <c r="B17" s="31" t="s">
        <v>14</v>
      </c>
      <c r="C17" s="28">
        <v>208.69</v>
      </c>
      <c r="D17" s="28">
        <v>0</v>
      </c>
      <c r="E17" s="32" t="s">
        <v>137</v>
      </c>
      <c r="F17" s="28">
        <v>0</v>
      </c>
      <c r="G17" s="34">
        <f>IF(Ads_Cost!$C17=0, 0, Ads_Cost!$D17/Ads_Cost!$C17)</f>
        <v>0</v>
      </c>
      <c r="H17" s="33">
        <f>IF(Ads_Cost!$D17=0, 0, (Ads_Cost!$C17/Ads_Cost!$D17)*1)</f>
        <v>0</v>
      </c>
      <c r="I17" s="28">
        <v>35</v>
      </c>
      <c r="J17" s="33">
        <f t="shared" si="2"/>
        <v>1.6233766233766232E-2</v>
      </c>
      <c r="K17" s="28">
        <v>2156</v>
      </c>
      <c r="L17" s="32">
        <f>Ads_Cost!$C17/Ads_Cost!$I17</f>
        <v>5.9625714285714286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4.25" customHeight="1" x14ac:dyDescent="0.25">
      <c r="A18" s="26">
        <v>45684</v>
      </c>
      <c r="B18" s="31" t="s">
        <v>14</v>
      </c>
      <c r="C18" s="28">
        <v>168.36</v>
      </c>
      <c r="D18" s="28">
        <v>643.22</v>
      </c>
      <c r="E18" s="32" t="s">
        <v>137</v>
      </c>
      <c r="F18" s="28">
        <v>1</v>
      </c>
      <c r="G18" s="34">
        <f>IF(Ads_Cost!$C18=0, 0, Ads_Cost!$D18/Ads_Cost!$C18)</f>
        <v>3.820503682584937</v>
      </c>
      <c r="H18" s="33">
        <f>IF(Ads_Cost!$D18=0, 0, (Ads_Cost!$C18/Ads_Cost!$D18)*1)</f>
        <v>0.26174559248779578</v>
      </c>
      <c r="I18" s="28">
        <v>31</v>
      </c>
      <c r="J18" s="33">
        <f t="shared" si="2"/>
        <v>3.967746064251888E-3</v>
      </c>
      <c r="K18" s="28">
        <v>7813</v>
      </c>
      <c r="L18" s="32">
        <f>Ads_Cost!$C18/Ads_Cost!$I18</f>
        <v>5.4309677419354845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4.25" customHeight="1" x14ac:dyDescent="0.25">
      <c r="A19" s="26">
        <v>45685</v>
      </c>
      <c r="B19" s="31" t="s">
        <v>14</v>
      </c>
      <c r="C19" s="28">
        <v>283.36</v>
      </c>
      <c r="D19" s="28">
        <v>732.21</v>
      </c>
      <c r="E19" s="32" t="s">
        <v>137</v>
      </c>
      <c r="F19" s="28">
        <v>2</v>
      </c>
      <c r="G19" s="34">
        <f>IF(Ads_Cost!$C19=0, 0, Ads_Cost!$D19/Ads_Cost!$C19)</f>
        <v>2.5840273856578206</v>
      </c>
      <c r="H19" s="33">
        <f>IF(Ads_Cost!$D19=0, 0, (Ads_Cost!$C19/Ads_Cost!$D19)*1)</f>
        <v>0.38699280261127272</v>
      </c>
      <c r="I19" s="28">
        <v>64</v>
      </c>
      <c r="J19" s="33">
        <f t="shared" si="2"/>
        <v>3.4296125609560046E-3</v>
      </c>
      <c r="K19" s="28">
        <v>18661</v>
      </c>
      <c r="L19" s="32">
        <f>Ads_Cost!$C19/Ads_Cost!$I19</f>
        <v>4.4275000000000002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4.25" customHeight="1" x14ac:dyDescent="0.25">
      <c r="A20" s="26">
        <v>45686</v>
      </c>
      <c r="B20" s="31" t="s">
        <v>14</v>
      </c>
      <c r="C20" s="28">
        <v>270.47000000000003</v>
      </c>
      <c r="D20" s="28">
        <v>219.49</v>
      </c>
      <c r="E20" s="32" t="s">
        <v>137</v>
      </c>
      <c r="F20" s="28">
        <v>1</v>
      </c>
      <c r="G20" s="34">
        <f>IF(Ads_Cost!$C20=0, 0, Ads_Cost!$D20/Ads_Cost!$C20)</f>
        <v>0.81151329167745034</v>
      </c>
      <c r="H20" s="33">
        <f>IF(Ads_Cost!$D20=0, 0, (Ads_Cost!$C20/Ads_Cost!$D20)*1)</f>
        <v>1.2322657068659164</v>
      </c>
      <c r="I20" s="28">
        <v>52</v>
      </c>
      <c r="J20" s="33">
        <f t="shared" si="2"/>
        <v>3.4427966101694915E-3</v>
      </c>
      <c r="K20" s="28">
        <v>15104</v>
      </c>
      <c r="L20" s="32">
        <f>Ads_Cost!$C20/Ads_Cost!$I20</f>
        <v>5.2013461538461545</v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4.25" customHeight="1" x14ac:dyDescent="0.25">
      <c r="A21" s="26">
        <v>45687</v>
      </c>
      <c r="B21" s="31" t="s">
        <v>14</v>
      </c>
      <c r="C21" s="28">
        <v>329.11</v>
      </c>
      <c r="D21" s="28">
        <v>504.24</v>
      </c>
      <c r="E21" s="32" t="s">
        <v>137</v>
      </c>
      <c r="F21" s="28">
        <v>1</v>
      </c>
      <c r="G21" s="34">
        <f>IF(Ads_Cost!$C21=0, 0, Ads_Cost!$D21/Ads_Cost!$C21)</f>
        <v>1.5321321138828963</v>
      </c>
      <c r="H21" s="33">
        <f>IF(Ads_Cost!$D21=0, 0, (Ads_Cost!$C21/Ads_Cost!$D21)*1)</f>
        <v>0.65268522925590988</v>
      </c>
      <c r="I21" s="28">
        <v>87</v>
      </c>
      <c r="J21" s="33">
        <f t="shared" si="2"/>
        <v>4.559270516717325E-3</v>
      </c>
      <c r="K21" s="28">
        <v>19082</v>
      </c>
      <c r="L21" s="32">
        <f>Ads_Cost!$C21/Ads_Cost!$I21</f>
        <v>3.782873563218391</v>
      </c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4.25" customHeight="1" x14ac:dyDescent="0.25">
      <c r="A22" s="26">
        <v>45688</v>
      </c>
      <c r="B22" s="31" t="s">
        <v>14</v>
      </c>
      <c r="C22" s="28">
        <v>354.13</v>
      </c>
      <c r="D22" s="28">
        <v>1369.5</v>
      </c>
      <c r="E22" s="32" t="s">
        <v>137</v>
      </c>
      <c r="F22" s="28">
        <v>4</v>
      </c>
      <c r="G22" s="34">
        <f>IF(Ads_Cost!$C22=0, 0, Ads_Cost!$D22/Ads_Cost!$C22)</f>
        <v>3.8672239008273799</v>
      </c>
      <c r="H22" s="33">
        <f>IF(Ads_Cost!$D22=0, 0, (Ads_Cost!$C22/Ads_Cost!$D22)*1)</f>
        <v>0.25858342460752098</v>
      </c>
      <c r="I22" s="28">
        <v>68</v>
      </c>
      <c r="J22" s="33">
        <f t="shared" si="2"/>
        <v>4.6780407264722067E-3</v>
      </c>
      <c r="K22" s="28">
        <v>14536</v>
      </c>
      <c r="L22" s="32">
        <f>Ads_Cost!$C22/Ads_Cost!$I22</f>
        <v>5.207794117647059</v>
      </c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4.25" customHeight="1" x14ac:dyDescent="0.25">
      <c r="A23" s="26">
        <v>45689</v>
      </c>
      <c r="B23" s="31" t="s">
        <v>14</v>
      </c>
      <c r="C23" s="28">
        <v>182.86</v>
      </c>
      <c r="D23" s="28">
        <v>0</v>
      </c>
      <c r="E23" s="32" t="s">
        <v>137</v>
      </c>
      <c r="F23" s="28">
        <v>0</v>
      </c>
      <c r="G23" s="34">
        <f>IF(Ads_Cost!$C23=0, 0, Ads_Cost!$D23/Ads_Cost!$C23)</f>
        <v>0</v>
      </c>
      <c r="H23" s="33">
        <f>IF(Ads_Cost!$D23=0, 0, (Ads_Cost!$C23/Ads_Cost!$D23)*1)</f>
        <v>0</v>
      </c>
      <c r="I23" s="28">
        <v>27</v>
      </c>
      <c r="J23" s="33">
        <f t="shared" si="2"/>
        <v>9.6463022508038593E-3</v>
      </c>
      <c r="K23" s="28">
        <v>2799</v>
      </c>
      <c r="L23" s="32">
        <f>Ads_Cost!$C23/Ads_Cost!$I23</f>
        <v>6.7725925925925932</v>
      </c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4.25" customHeight="1" x14ac:dyDescent="0.25">
      <c r="A24" s="26">
        <v>45690</v>
      </c>
      <c r="B24" s="31" t="s">
        <v>14</v>
      </c>
      <c r="C24" s="28">
        <v>32.01</v>
      </c>
      <c r="D24" s="28">
        <v>0</v>
      </c>
      <c r="E24" s="32" t="s">
        <v>137</v>
      </c>
      <c r="F24" s="28">
        <v>0</v>
      </c>
      <c r="G24" s="34">
        <f>IF(Ads_Cost!$C24=0, 0, Ads_Cost!$D24/Ads_Cost!$C24)</f>
        <v>0</v>
      </c>
      <c r="H24" s="33">
        <f>IF(Ads_Cost!$D24=0, 0, (Ads_Cost!$C24/Ads_Cost!$D24)*1)</f>
        <v>0</v>
      </c>
      <c r="I24" s="28">
        <v>4</v>
      </c>
      <c r="J24" s="33">
        <f t="shared" si="2"/>
        <v>2.3161551823972205E-3</v>
      </c>
      <c r="K24" s="28">
        <v>1727</v>
      </c>
      <c r="L24" s="32">
        <f>Ads_Cost!$C24/Ads_Cost!$I24</f>
        <v>8.0024999999999995</v>
      </c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4.25" customHeight="1" x14ac:dyDescent="0.25">
      <c r="A25" s="26">
        <v>45691</v>
      </c>
      <c r="B25" s="31" t="s">
        <v>14</v>
      </c>
      <c r="C25" s="28">
        <v>46.61</v>
      </c>
      <c r="D25" s="28">
        <v>1346.61</v>
      </c>
      <c r="E25" s="32" t="s">
        <v>137</v>
      </c>
      <c r="F25" s="28">
        <v>2</v>
      </c>
      <c r="G25" s="34">
        <f>IF(Ads_Cost!$C25=0, 0, Ads_Cost!$D25/Ads_Cost!$C25)</f>
        <v>28.891010512765501</v>
      </c>
      <c r="H25" s="33">
        <f>IF(Ads_Cost!$D25=0, 0, (Ads_Cost!$C25/Ads_Cost!$D25)*1)</f>
        <v>3.4612842619615183E-2</v>
      </c>
      <c r="I25" s="28">
        <v>8</v>
      </c>
      <c r="J25" s="33">
        <f t="shared" si="2"/>
        <v>4.2895442359249334E-3</v>
      </c>
      <c r="K25" s="28">
        <v>1865</v>
      </c>
      <c r="L25" s="32">
        <f>Ads_Cost!$C25/Ads_Cost!$I25</f>
        <v>5.8262499999999999</v>
      </c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4.25" customHeight="1" x14ac:dyDescent="0.25">
      <c r="A26" s="26">
        <v>45692</v>
      </c>
      <c r="B26" s="31" t="s">
        <v>14</v>
      </c>
      <c r="C26" s="28">
        <v>112.87</v>
      </c>
      <c r="D26" s="28">
        <v>733.05</v>
      </c>
      <c r="E26" s="32" t="s">
        <v>137</v>
      </c>
      <c r="F26" s="28">
        <v>2</v>
      </c>
      <c r="G26" s="34">
        <f>IF(Ads_Cost!$C26=0, 0, Ads_Cost!$D26/Ads_Cost!$C26)</f>
        <v>6.4946398511561965</v>
      </c>
      <c r="H26" s="33">
        <f>IF(Ads_Cost!$D26=0, 0, (Ads_Cost!$C26/Ads_Cost!$D26)*1)</f>
        <v>0.15397312598049248</v>
      </c>
      <c r="I26" s="28">
        <v>20</v>
      </c>
      <c r="J26" s="33">
        <f t="shared" si="2"/>
        <v>3.952569169960474E-3</v>
      </c>
      <c r="K26" s="28">
        <v>5060</v>
      </c>
      <c r="L26" s="32">
        <f>Ads_Cost!$C26/Ads_Cost!$I26</f>
        <v>5.6435000000000004</v>
      </c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4.25" customHeight="1" x14ac:dyDescent="0.25">
      <c r="A27" s="26">
        <v>45693</v>
      </c>
      <c r="B27" s="31" t="s">
        <v>14</v>
      </c>
      <c r="C27" s="28">
        <v>150.43</v>
      </c>
      <c r="D27" s="28">
        <v>1413.34</v>
      </c>
      <c r="E27" s="32" t="s">
        <v>137</v>
      </c>
      <c r="F27" s="28">
        <v>2</v>
      </c>
      <c r="G27" s="34">
        <f>IF(Ads_Cost!$C27=0, 0, Ads_Cost!$D27/Ads_Cost!$C27)</f>
        <v>9.3953333776507328</v>
      </c>
      <c r="H27" s="33">
        <f>IF(Ads_Cost!$D27=0, 0, (Ads_Cost!$C27/Ads_Cost!$D27)*1)</f>
        <v>0.10643581869896841</v>
      </c>
      <c r="I27" s="28">
        <v>28</v>
      </c>
      <c r="J27" s="33">
        <f t="shared" si="2"/>
        <v>5.601120224044809E-3</v>
      </c>
      <c r="K27" s="28">
        <v>4999</v>
      </c>
      <c r="L27" s="32">
        <f>Ads_Cost!$C27/Ads_Cost!$I27</f>
        <v>5.3725000000000005</v>
      </c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4.25" customHeight="1" x14ac:dyDescent="0.25">
      <c r="A28" s="26">
        <v>45694</v>
      </c>
      <c r="B28" s="31" t="s">
        <v>14</v>
      </c>
      <c r="C28" s="28">
        <v>170.06</v>
      </c>
      <c r="D28" s="28">
        <v>1906.67</v>
      </c>
      <c r="E28" s="32" t="s">
        <v>137</v>
      </c>
      <c r="F28" s="28">
        <v>4</v>
      </c>
      <c r="G28" s="34">
        <f>IF(Ads_Cost!$C28=0, 0, Ads_Cost!$D28/Ads_Cost!$C28)</f>
        <v>11.211748794543103</v>
      </c>
      <c r="H28" s="33">
        <f>IF(Ads_Cost!$D28=0, 0, (Ads_Cost!$C28/Ads_Cost!$D28)*1)</f>
        <v>8.9192151761972441E-2</v>
      </c>
      <c r="I28" s="28">
        <v>39</v>
      </c>
      <c r="J28" s="33">
        <f t="shared" si="2"/>
        <v>5.7034220532319393E-3</v>
      </c>
      <c r="K28" s="28">
        <v>6838</v>
      </c>
      <c r="L28" s="32">
        <f>Ads_Cost!$C28/Ads_Cost!$I28</f>
        <v>4.3605128205128203</v>
      </c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4.25" customHeight="1" x14ac:dyDescent="0.25">
      <c r="A29" s="26">
        <v>45695</v>
      </c>
      <c r="B29" s="31" t="s">
        <v>14</v>
      </c>
      <c r="C29" s="28">
        <v>59.33</v>
      </c>
      <c r="D29" s="28">
        <v>1079.05</v>
      </c>
      <c r="E29" s="32" t="s">
        <v>137</v>
      </c>
      <c r="F29" s="28">
        <v>3</v>
      </c>
      <c r="G29" s="34">
        <f>IF(Ads_Cost!$C29=0, 0, Ads_Cost!$D29/Ads_Cost!$C29)</f>
        <v>18.187257711107364</v>
      </c>
      <c r="H29" s="33">
        <f>IF(Ads_Cost!$D29=0, 0, (Ads_Cost!$C29/Ads_Cost!$D29)*1)</f>
        <v>5.4983550345211067E-2</v>
      </c>
      <c r="I29" s="28">
        <v>14</v>
      </c>
      <c r="J29" s="33">
        <f t="shared" si="2"/>
        <v>6.241640659830584E-3</v>
      </c>
      <c r="K29" s="28">
        <v>2243</v>
      </c>
      <c r="L29" s="32">
        <f>Ads_Cost!$C29/Ads_Cost!$I29</f>
        <v>4.237857142857143</v>
      </c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4.25" customHeight="1" x14ac:dyDescent="0.25">
      <c r="A30" s="26">
        <v>45696</v>
      </c>
      <c r="B30" s="31" t="s">
        <v>14</v>
      </c>
      <c r="C30" s="28">
        <v>65.489999999999995</v>
      </c>
      <c r="D30" s="28">
        <v>414.29</v>
      </c>
      <c r="E30" s="32" t="s">
        <v>137</v>
      </c>
      <c r="F30" s="28">
        <v>1</v>
      </c>
      <c r="G30" s="34">
        <f>IF(Ads_Cost!$C30=0, 0, Ads_Cost!$D30/Ads_Cost!$C30)</f>
        <v>6.3260039700717678</v>
      </c>
      <c r="H30" s="33">
        <f>IF(Ads_Cost!$D30=0, 0, (Ads_Cost!$C30/Ads_Cost!$D30)*1)</f>
        <v>0.15807767505853385</v>
      </c>
      <c r="I30" s="28">
        <v>13</v>
      </c>
      <c r="J30" s="33">
        <f t="shared" si="2"/>
        <v>3.9501671224551806E-3</v>
      </c>
      <c r="K30" s="28">
        <v>3291</v>
      </c>
      <c r="L30" s="32">
        <f>Ads_Cost!$C30/Ads_Cost!$I30</f>
        <v>5.037692307692307</v>
      </c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4.25" customHeight="1" x14ac:dyDescent="0.25">
      <c r="A31" s="26">
        <v>45697</v>
      </c>
      <c r="B31" s="31" t="s">
        <v>14</v>
      </c>
      <c r="C31" s="28">
        <v>53.29</v>
      </c>
      <c r="D31" s="28">
        <v>1674.28</v>
      </c>
      <c r="E31" s="32" t="s">
        <v>137</v>
      </c>
      <c r="F31" s="28">
        <v>3</v>
      </c>
      <c r="G31" s="34">
        <f>IF(Ads_Cost!$C31=0, 0, Ads_Cost!$D31/Ads_Cost!$C31)</f>
        <v>31.418277350347157</v>
      </c>
      <c r="H31" s="33">
        <f>IF(Ads_Cost!$D31=0, 0, (Ads_Cost!$C31/Ads_Cost!$D31)*1)</f>
        <v>3.1828606923573116E-2</v>
      </c>
      <c r="I31" s="28">
        <v>12</v>
      </c>
      <c r="J31" s="33">
        <f t="shared" si="2"/>
        <v>8.0375083724045539E-3</v>
      </c>
      <c r="K31" s="28">
        <v>1493</v>
      </c>
      <c r="L31" s="32">
        <f>Ads_Cost!$C31/Ads_Cost!$I31</f>
        <v>4.440833333333333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4.25" customHeight="1" x14ac:dyDescent="0.25">
      <c r="A32" s="26">
        <v>45698</v>
      </c>
      <c r="B32" s="31" t="s">
        <v>14</v>
      </c>
      <c r="C32" s="28">
        <v>25.04</v>
      </c>
      <c r="D32" s="28">
        <v>0</v>
      </c>
      <c r="E32" s="32" t="s">
        <v>137</v>
      </c>
      <c r="F32" s="28">
        <v>0</v>
      </c>
      <c r="G32" s="34">
        <f>IF(Ads_Cost!$C32=0, 0, Ads_Cost!$D32/Ads_Cost!$C32)</f>
        <v>0</v>
      </c>
      <c r="H32" s="33">
        <f>IF(Ads_Cost!$D32=0, 0, (Ads_Cost!$C32/Ads_Cost!$D32)*1)</f>
        <v>0</v>
      </c>
      <c r="I32" s="28">
        <v>5</v>
      </c>
      <c r="J32" s="33">
        <f t="shared" si="2"/>
        <v>2.9797377830750892E-3</v>
      </c>
      <c r="K32" s="28">
        <v>1678</v>
      </c>
      <c r="L32" s="32">
        <f>Ads_Cost!$C32/Ads_Cost!$I32</f>
        <v>5.008</v>
      </c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4.25" customHeight="1" x14ac:dyDescent="0.25">
      <c r="A33" s="26">
        <v>45699</v>
      </c>
      <c r="B33" s="31" t="s">
        <v>14</v>
      </c>
      <c r="C33" s="28">
        <v>106.08</v>
      </c>
      <c r="D33" s="28">
        <v>2756</v>
      </c>
      <c r="E33" s="32" t="s">
        <v>137</v>
      </c>
      <c r="F33" s="28">
        <v>1</v>
      </c>
      <c r="G33" s="34">
        <f>IF(Ads_Cost!$C33=0, 0, Ads_Cost!$D33/Ads_Cost!$C33)</f>
        <v>25.980392156862745</v>
      </c>
      <c r="H33" s="33">
        <f>IF(Ads_Cost!$D33=0, 0, (Ads_Cost!$C33/Ads_Cost!$D33)*1)</f>
        <v>3.8490566037735846E-2</v>
      </c>
      <c r="I33" s="28">
        <v>18</v>
      </c>
      <c r="J33" s="33">
        <f t="shared" si="2"/>
        <v>6.5312046444121917E-3</v>
      </c>
      <c r="K33" s="28">
        <v>2756</v>
      </c>
      <c r="L33" s="32">
        <f>Ads_Cost!$C33/Ads_Cost!$I33</f>
        <v>5.8933333333333335</v>
      </c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4.25" customHeight="1" x14ac:dyDescent="0.25">
      <c r="A34" s="26">
        <v>45700</v>
      </c>
      <c r="B34" s="31" t="s">
        <v>14</v>
      </c>
      <c r="C34" s="28">
        <v>67.44</v>
      </c>
      <c r="D34" s="28">
        <v>399.05</v>
      </c>
      <c r="E34" s="32" t="s">
        <v>137</v>
      </c>
      <c r="F34" s="28">
        <v>1</v>
      </c>
      <c r="G34" s="34">
        <f>IF(Ads_Cost!$C34=0, 0, Ads_Cost!$D34/Ads_Cost!$C34)</f>
        <v>5.9171115065243187</v>
      </c>
      <c r="H34" s="33">
        <f>IF(Ads_Cost!$D34=0, 0, (Ads_Cost!$C34/Ads_Cost!$D34)*1)</f>
        <v>0.16900137827339931</v>
      </c>
      <c r="I34" s="28">
        <v>15</v>
      </c>
      <c r="J34" s="33">
        <f t="shared" si="2"/>
        <v>1.4792899408284023E-2</v>
      </c>
      <c r="K34" s="28">
        <v>1014</v>
      </c>
      <c r="L34" s="32">
        <f>Ads_Cost!$C34/Ads_Cost!$I34</f>
        <v>4.4959999999999996</v>
      </c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4.25" customHeight="1" x14ac:dyDescent="0.25">
      <c r="A35" s="26">
        <v>45701</v>
      </c>
      <c r="B35" s="31" t="s">
        <v>14</v>
      </c>
      <c r="C35" s="28">
        <v>127.81</v>
      </c>
      <c r="D35" s="28">
        <v>551.42999999999995</v>
      </c>
      <c r="E35" s="32" t="s">
        <v>137</v>
      </c>
      <c r="F35" s="28">
        <v>1</v>
      </c>
      <c r="G35" s="34">
        <f>IF(Ads_Cost!$C35=0, 0, Ads_Cost!$D35/Ads_Cost!$C35)</f>
        <v>4.3144511384085744</v>
      </c>
      <c r="H35" s="33">
        <f>IF(Ads_Cost!$D35=0, 0, (Ads_Cost!$C35/Ads_Cost!$D35)*1)</f>
        <v>0.23177919228188532</v>
      </c>
      <c r="I35" s="28">
        <v>18</v>
      </c>
      <c r="J35" s="33">
        <f t="shared" si="2"/>
        <v>5.1443269505573024E-3</v>
      </c>
      <c r="K35" s="28">
        <v>3499</v>
      </c>
      <c r="L35" s="32">
        <f>Ads_Cost!$C35/Ads_Cost!$I35</f>
        <v>7.1005555555555553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4.25" customHeight="1" x14ac:dyDescent="0.25">
      <c r="A36" s="26">
        <v>45702</v>
      </c>
      <c r="B36" s="31" t="s">
        <v>14</v>
      </c>
      <c r="C36" s="28">
        <v>117.36</v>
      </c>
      <c r="D36" s="28">
        <v>408.57</v>
      </c>
      <c r="E36" s="32" t="s">
        <v>137</v>
      </c>
      <c r="F36" s="28">
        <v>1</v>
      </c>
      <c r="G36" s="34">
        <f>IF(Ads_Cost!$C36=0, 0, Ads_Cost!$D36/Ads_Cost!$C36)</f>
        <v>3.4813394683026586</v>
      </c>
      <c r="H36" s="33">
        <f>IF(Ads_Cost!$D36=0, 0, (Ads_Cost!$C36/Ads_Cost!$D36)*1)</f>
        <v>0.28724575960055804</v>
      </c>
      <c r="I36" s="28">
        <v>18</v>
      </c>
      <c r="J36" s="33">
        <f t="shared" si="2"/>
        <v>5.7416267942583732E-3</v>
      </c>
      <c r="K36" s="28">
        <v>3135</v>
      </c>
      <c r="L36" s="32">
        <f>Ads_Cost!$C36/Ads_Cost!$I36</f>
        <v>6.52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4.25" customHeight="1" x14ac:dyDescent="0.25">
      <c r="A37" s="26">
        <v>45703</v>
      </c>
      <c r="B37" s="31" t="s">
        <v>14</v>
      </c>
      <c r="C37" s="28">
        <v>100.48</v>
      </c>
      <c r="D37" s="28">
        <v>0</v>
      </c>
      <c r="E37" s="32" t="s">
        <v>137</v>
      </c>
      <c r="F37" s="28">
        <v>0</v>
      </c>
      <c r="G37" s="34">
        <f>IF(Ads_Cost!$C37=0, 0, Ads_Cost!$D37/Ads_Cost!$C37)</f>
        <v>0</v>
      </c>
      <c r="H37" s="33">
        <f>IF(Ads_Cost!$D37=0, 0, (Ads_Cost!$C37/Ads_Cost!$D37)*1)</f>
        <v>0</v>
      </c>
      <c r="I37" s="28">
        <v>21</v>
      </c>
      <c r="J37" s="33">
        <f t="shared" si="2"/>
        <v>8.8907705334462326E-3</v>
      </c>
      <c r="K37" s="28">
        <v>2362</v>
      </c>
      <c r="L37" s="32">
        <f>Ads_Cost!$C37/Ads_Cost!$I37</f>
        <v>4.784761904761905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4.25" customHeight="1" x14ac:dyDescent="0.25">
      <c r="A38" s="26">
        <v>45704</v>
      </c>
      <c r="B38" s="31" t="s">
        <v>14</v>
      </c>
      <c r="C38" s="28">
        <v>262.47000000000003</v>
      </c>
      <c r="D38" s="28">
        <v>2860.96</v>
      </c>
      <c r="E38" s="32" t="s">
        <v>137</v>
      </c>
      <c r="F38" s="28">
        <v>6</v>
      </c>
      <c r="G38" s="34">
        <f>IF(Ads_Cost!$C38=0, 0, Ads_Cost!$D38/Ads_Cost!$C38)</f>
        <v>10.900140968491636</v>
      </c>
      <c r="H38" s="33">
        <f>IF(Ads_Cost!$D38=0, 0, (Ads_Cost!$C38/Ads_Cost!$D38)*1)</f>
        <v>9.1741932777808857E-2</v>
      </c>
      <c r="I38" s="28">
        <v>45</v>
      </c>
      <c r="J38" s="33">
        <f t="shared" si="2"/>
        <v>7.1576268490536029E-3</v>
      </c>
      <c r="K38" s="28">
        <v>6287</v>
      </c>
      <c r="L38" s="32">
        <f>Ads_Cost!$C38/Ads_Cost!$I38</f>
        <v>5.8326666666666673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4.25" customHeight="1" x14ac:dyDescent="0.25">
      <c r="A39" s="26">
        <v>45705</v>
      </c>
      <c r="B39" s="31" t="s">
        <v>14</v>
      </c>
      <c r="C39" s="28">
        <v>149.34</v>
      </c>
      <c r="D39" s="28">
        <v>0</v>
      </c>
      <c r="E39" s="32" t="s">
        <v>137</v>
      </c>
      <c r="F39" s="28">
        <v>0</v>
      </c>
      <c r="G39" s="34">
        <f>IF(Ads_Cost!$C39=0, 0, Ads_Cost!$D39/Ads_Cost!$C39)</f>
        <v>0</v>
      </c>
      <c r="H39" s="33">
        <f>IF(Ads_Cost!$D39=0, 0, (Ads_Cost!$C39/Ads_Cost!$D39)*1)</f>
        <v>0</v>
      </c>
      <c r="I39" s="28">
        <v>26</v>
      </c>
      <c r="J39" s="33">
        <f t="shared" si="2"/>
        <v>1.0280743376828785E-2</v>
      </c>
      <c r="K39" s="28">
        <v>2529</v>
      </c>
      <c r="L39" s="32">
        <f>Ads_Cost!$C39/Ads_Cost!$I39</f>
        <v>5.743846153846154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4.25" customHeight="1" x14ac:dyDescent="0.25">
      <c r="A40" s="26">
        <v>45706</v>
      </c>
      <c r="B40" s="31" t="s">
        <v>14</v>
      </c>
      <c r="C40" s="28">
        <v>118.87</v>
      </c>
      <c r="D40" s="28">
        <v>0</v>
      </c>
      <c r="E40" s="32" t="s">
        <v>137</v>
      </c>
      <c r="F40" s="28">
        <v>0</v>
      </c>
      <c r="G40" s="34">
        <f>IF(Ads_Cost!$C40=0, 0, Ads_Cost!$D40/Ads_Cost!$C40)</f>
        <v>0</v>
      </c>
      <c r="H40" s="33">
        <f>IF(Ads_Cost!$D40=0, 0, (Ads_Cost!$C40/Ads_Cost!$D40)*1)</f>
        <v>0</v>
      </c>
      <c r="I40" s="28">
        <v>25</v>
      </c>
      <c r="J40" s="33">
        <f t="shared" si="2"/>
        <v>9.4304036212749902E-3</v>
      </c>
      <c r="K40" s="28">
        <v>2651</v>
      </c>
      <c r="L40" s="32">
        <f>Ads_Cost!$C40/Ads_Cost!$I40</f>
        <v>4.7548000000000004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4.25" customHeight="1" x14ac:dyDescent="0.25">
      <c r="A41" s="26">
        <v>45707</v>
      </c>
      <c r="B41" s="31" t="s">
        <v>14</v>
      </c>
      <c r="C41" s="28">
        <v>209.57</v>
      </c>
      <c r="D41" s="28">
        <v>2224.75</v>
      </c>
      <c r="E41" s="32" t="s">
        <v>137</v>
      </c>
      <c r="F41" s="28">
        <v>4</v>
      </c>
      <c r="G41" s="34">
        <f>IF(Ads_Cost!$C41=0, 0, Ads_Cost!$D41/Ads_Cost!$C41)</f>
        <v>10.615784702008876</v>
      </c>
      <c r="H41" s="33">
        <f>IF(Ads_Cost!$D41=0, 0, (Ads_Cost!$C41/Ads_Cost!$D41)*1)</f>
        <v>9.4199348241375436E-2</v>
      </c>
      <c r="I41" s="28">
        <v>39</v>
      </c>
      <c r="J41" s="33">
        <f t="shared" si="2"/>
        <v>7.6575692126448066E-3</v>
      </c>
      <c r="K41" s="28">
        <v>5093</v>
      </c>
      <c r="L41" s="32">
        <f>Ads_Cost!$C41/Ads_Cost!$I41</f>
        <v>5.3735897435897435</v>
      </c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4.25" customHeight="1" x14ac:dyDescent="0.25">
      <c r="A42" s="26">
        <v>45708</v>
      </c>
      <c r="B42" s="31" t="s">
        <v>14</v>
      </c>
      <c r="C42" s="28">
        <v>180.63</v>
      </c>
      <c r="D42" s="28">
        <v>3167.63</v>
      </c>
      <c r="E42" s="32" t="s">
        <v>137</v>
      </c>
      <c r="F42" s="28">
        <v>4</v>
      </c>
      <c r="G42" s="34">
        <f>IF(Ads_Cost!$C42=0, 0, Ads_Cost!$D42/Ads_Cost!$C42)</f>
        <v>17.536566461828048</v>
      </c>
      <c r="H42" s="33">
        <f>IF(Ads_Cost!$D42=0, 0, (Ads_Cost!$C42/Ads_Cost!$D42)*1)</f>
        <v>5.7023705420140604E-2</v>
      </c>
      <c r="I42" s="28">
        <v>33</v>
      </c>
      <c r="J42" s="33">
        <f t="shared" si="2"/>
        <v>1.0226216299969011E-2</v>
      </c>
      <c r="K42" s="28">
        <v>3227</v>
      </c>
      <c r="L42" s="32">
        <f>Ads_Cost!$C42/Ads_Cost!$I42</f>
        <v>5.4736363636363636</v>
      </c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4.25" customHeight="1" x14ac:dyDescent="0.25">
      <c r="A43" s="26">
        <v>45709</v>
      </c>
      <c r="B43" s="31" t="s">
        <v>14</v>
      </c>
      <c r="C43" s="28">
        <v>93.8</v>
      </c>
      <c r="D43" s="28">
        <v>1244.75</v>
      </c>
      <c r="E43" s="32" t="s">
        <v>137</v>
      </c>
      <c r="F43" s="28">
        <v>3</v>
      </c>
      <c r="G43" s="34">
        <f>IF(Ads_Cost!$C43=0, 0, Ads_Cost!$D43/Ads_Cost!$C43)</f>
        <v>13.270255863539447</v>
      </c>
      <c r="H43" s="33">
        <f>IF(Ads_Cost!$D43=0, 0, (Ads_Cost!$C43/Ads_Cost!$D43)*1)</f>
        <v>7.535649728861217E-2</v>
      </c>
      <c r="I43" s="28">
        <v>32</v>
      </c>
      <c r="J43" s="33">
        <f t="shared" si="2"/>
        <v>8.4277060837503297E-3</v>
      </c>
      <c r="K43" s="28">
        <v>3797</v>
      </c>
      <c r="L43" s="32">
        <f>Ads_Cost!$C43/Ads_Cost!$I43</f>
        <v>2.9312499999999999</v>
      </c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4.25" customHeight="1" x14ac:dyDescent="0.25">
      <c r="A44" s="26">
        <v>45710</v>
      </c>
      <c r="B44" s="31" t="s">
        <v>14</v>
      </c>
      <c r="C44" s="28">
        <v>193.27</v>
      </c>
      <c r="D44" s="28">
        <v>0</v>
      </c>
      <c r="E44" s="32" t="s">
        <v>137</v>
      </c>
      <c r="F44" s="28">
        <v>0</v>
      </c>
      <c r="G44" s="34">
        <f>IF(Ads_Cost!$C44=0, 0, Ads_Cost!$D44/Ads_Cost!$C44)</f>
        <v>0</v>
      </c>
      <c r="H44" s="33">
        <f>IF(Ads_Cost!$D44=0, 0, (Ads_Cost!$C44/Ads_Cost!$D44)*1)</f>
        <v>0</v>
      </c>
      <c r="I44" s="28">
        <v>43</v>
      </c>
      <c r="J44" s="33">
        <f t="shared" si="2"/>
        <v>6.4496775161241937E-3</v>
      </c>
      <c r="K44" s="28">
        <v>6667</v>
      </c>
      <c r="L44" s="32">
        <f>Ads_Cost!$C44/Ads_Cost!$I44</f>
        <v>4.4946511627906975</v>
      </c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4.25" customHeight="1" x14ac:dyDescent="0.25">
      <c r="A45" s="26">
        <v>45711</v>
      </c>
      <c r="B45" s="31" t="s">
        <v>14</v>
      </c>
      <c r="C45" s="28">
        <v>216.54</v>
      </c>
      <c r="D45" s="28">
        <v>617.79999999999995</v>
      </c>
      <c r="E45" s="32" t="s">
        <v>137</v>
      </c>
      <c r="F45" s="28">
        <v>1</v>
      </c>
      <c r="G45" s="34">
        <f>IF(Ads_Cost!$C45=0, 0, Ads_Cost!$D45/Ads_Cost!$C45)</f>
        <v>2.8530525538006835</v>
      </c>
      <c r="H45" s="33">
        <f>IF(Ads_Cost!$D45=0, 0, (Ads_Cost!$C45/Ads_Cost!$D45)*1)</f>
        <v>0.35050178051149239</v>
      </c>
      <c r="I45" s="28">
        <v>34</v>
      </c>
      <c r="J45" s="33">
        <f t="shared" si="2"/>
        <v>7.5254537405931828E-3</v>
      </c>
      <c r="K45" s="28">
        <v>4518</v>
      </c>
      <c r="L45" s="32">
        <f>Ads_Cost!$C45/Ads_Cost!$I45</f>
        <v>6.3688235294117641</v>
      </c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4.25" customHeight="1" x14ac:dyDescent="0.25">
      <c r="A46" s="26">
        <v>45712</v>
      </c>
      <c r="B46" s="31" t="s">
        <v>14</v>
      </c>
      <c r="C46" s="28">
        <v>309.82</v>
      </c>
      <c r="D46" s="28">
        <v>951.43</v>
      </c>
      <c r="E46" s="32" t="s">
        <v>137</v>
      </c>
      <c r="F46" s="28">
        <v>2</v>
      </c>
      <c r="G46" s="34">
        <f>IF(Ads_Cost!$C46=0, 0, Ads_Cost!$D46/Ads_Cost!$C46)</f>
        <v>3.0709121425343748</v>
      </c>
      <c r="H46" s="33">
        <f>IF(Ads_Cost!$D46=0, 0, (Ads_Cost!$C46/Ads_Cost!$D46)*1)</f>
        <v>0.32563614769347193</v>
      </c>
      <c r="I46" s="28">
        <v>52</v>
      </c>
      <c r="J46" s="33">
        <f t="shared" si="2"/>
        <v>9.9693251533742328E-3</v>
      </c>
      <c r="K46" s="28">
        <v>5216</v>
      </c>
      <c r="L46" s="32">
        <f>Ads_Cost!$C46/Ads_Cost!$I46</f>
        <v>5.9580769230769226</v>
      </c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4.25" customHeight="1" x14ac:dyDescent="0.25">
      <c r="A47" s="26">
        <v>45713</v>
      </c>
      <c r="B47" s="31" t="s">
        <v>14</v>
      </c>
      <c r="C47" s="28">
        <v>143.69</v>
      </c>
      <c r="D47" s="28">
        <v>2668.56</v>
      </c>
      <c r="E47" s="32" t="s">
        <v>137</v>
      </c>
      <c r="F47" s="28">
        <v>5</v>
      </c>
      <c r="G47" s="34">
        <f>IF(Ads_Cost!$C47=0, 0, Ads_Cost!$D47/Ads_Cost!$C47)</f>
        <v>18.571647296262789</v>
      </c>
      <c r="H47" s="33">
        <f>IF(Ads_Cost!$D47=0, 0, (Ads_Cost!$C47/Ads_Cost!$D47)*1)</f>
        <v>5.3845519681026473E-2</v>
      </c>
      <c r="I47" s="28">
        <v>32</v>
      </c>
      <c r="J47" s="33">
        <f t="shared" si="2"/>
        <v>1.1922503725782414E-2</v>
      </c>
      <c r="K47" s="28">
        <v>2684</v>
      </c>
      <c r="L47" s="32">
        <f>Ads_Cost!$C47/Ads_Cost!$I47</f>
        <v>4.4903124999999999</v>
      </c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4.25" customHeight="1" x14ac:dyDescent="0.25">
      <c r="A48" s="26">
        <v>45714</v>
      </c>
      <c r="B48" s="31" t="s">
        <v>14</v>
      </c>
      <c r="C48" s="28">
        <v>71.16</v>
      </c>
      <c r="D48" s="28">
        <v>0</v>
      </c>
      <c r="E48" s="32" t="s">
        <v>137</v>
      </c>
      <c r="F48" s="28">
        <v>0</v>
      </c>
      <c r="G48" s="34">
        <f>IF(Ads_Cost!$C48=0, 0, Ads_Cost!$D48/Ads_Cost!$C48)</f>
        <v>0</v>
      </c>
      <c r="H48" s="33">
        <f>IF(Ads_Cost!$D48=0, 0, (Ads_Cost!$C48/Ads_Cost!$D48)*1)</f>
        <v>0</v>
      </c>
      <c r="I48" s="28">
        <v>21</v>
      </c>
      <c r="J48" s="33">
        <f t="shared" si="2"/>
        <v>9.6818810511756573E-3</v>
      </c>
      <c r="K48" s="28">
        <v>2169</v>
      </c>
      <c r="L48" s="32">
        <f>Ads_Cost!$C48/Ads_Cost!$I48</f>
        <v>3.3885714285714283</v>
      </c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4.25" customHeight="1" x14ac:dyDescent="0.25">
      <c r="A49" s="26">
        <v>45715</v>
      </c>
      <c r="B49" s="31" t="s">
        <v>14</v>
      </c>
      <c r="C49" s="28">
        <v>284.14999999999998</v>
      </c>
      <c r="D49" s="28">
        <v>1670.54</v>
      </c>
      <c r="E49" s="32" t="s">
        <v>137</v>
      </c>
      <c r="F49" s="28">
        <v>4</v>
      </c>
      <c r="G49" s="34">
        <f>IF(Ads_Cost!$C49=0, 0, Ads_Cost!$D49/Ads_Cost!$C49)</f>
        <v>5.8790779517860292</v>
      </c>
      <c r="H49" s="33">
        <f>IF(Ads_Cost!$D49=0, 0, (Ads_Cost!$C49/Ads_Cost!$D49)*1)</f>
        <v>0.17009469991739198</v>
      </c>
      <c r="I49" s="28">
        <v>54</v>
      </c>
      <c r="J49" s="33">
        <f t="shared" si="2"/>
        <v>7.0560564484515873E-3</v>
      </c>
      <c r="K49" s="28">
        <v>7653</v>
      </c>
      <c r="L49" s="32">
        <f>Ads_Cost!$C49/Ads_Cost!$I49</f>
        <v>5.2620370370370368</v>
      </c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4.25" customHeight="1" x14ac:dyDescent="0.25">
      <c r="A50" s="26">
        <v>45716</v>
      </c>
      <c r="B50" s="31" t="s">
        <v>14</v>
      </c>
      <c r="C50" s="28">
        <v>320.08</v>
      </c>
      <c r="D50" s="28">
        <v>0</v>
      </c>
      <c r="E50" s="32" t="s">
        <v>137</v>
      </c>
      <c r="F50" s="28">
        <v>0</v>
      </c>
      <c r="G50" s="34">
        <f>IF(Ads_Cost!$C50=0, 0, Ads_Cost!$D50/Ads_Cost!$C50)</f>
        <v>0</v>
      </c>
      <c r="H50" s="33">
        <f>IF(Ads_Cost!$D50=0, 0, (Ads_Cost!$C50/Ads_Cost!$D50)*1)</f>
        <v>0</v>
      </c>
      <c r="I50" s="28">
        <v>52</v>
      </c>
      <c r="J50" s="33">
        <f t="shared" si="2"/>
        <v>5.4501624567655383E-3</v>
      </c>
      <c r="K50" s="28">
        <v>9541</v>
      </c>
      <c r="L50" s="32">
        <f>Ads_Cost!$C50/Ads_Cost!$I50</f>
        <v>6.155384615384615</v>
      </c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4.25" customHeight="1" x14ac:dyDescent="0.25">
      <c r="A51" s="26">
        <v>45717</v>
      </c>
      <c r="B51" s="31" t="s">
        <v>14</v>
      </c>
      <c r="C51" s="28">
        <v>433.9</v>
      </c>
      <c r="D51" s="28">
        <v>3376.15</v>
      </c>
      <c r="E51" s="32" t="s">
        <v>137</v>
      </c>
      <c r="F51" s="28">
        <v>6</v>
      </c>
      <c r="G51" s="34">
        <f>IF(Ads_Cost!$C51=0, 0, Ads_Cost!$D51/Ads_Cost!$C51)</f>
        <v>7.7809403088269189</v>
      </c>
      <c r="H51" s="33">
        <f>IF(Ads_Cost!$D51=0, 0, (Ads_Cost!$C51/Ads_Cost!$D51)*1)</f>
        <v>0.12851917124535342</v>
      </c>
      <c r="I51" s="28">
        <v>100</v>
      </c>
      <c r="J51" s="33">
        <f t="shared" si="2"/>
        <v>9.261831990367694E-3</v>
      </c>
      <c r="K51" s="28">
        <v>10797</v>
      </c>
      <c r="L51" s="32">
        <f>Ads_Cost!$C51/Ads_Cost!$I51</f>
        <v>4.3389999999999995</v>
      </c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4.25" customHeight="1" x14ac:dyDescent="0.25">
      <c r="A52" s="26">
        <v>45718</v>
      </c>
      <c r="B52" s="31" t="s">
        <v>14</v>
      </c>
      <c r="C52" s="28">
        <v>242.8</v>
      </c>
      <c r="D52" s="28">
        <v>1137.51</v>
      </c>
      <c r="E52" s="32" t="s">
        <v>137</v>
      </c>
      <c r="F52" s="28">
        <v>2</v>
      </c>
      <c r="G52" s="34">
        <f>IF(Ads_Cost!$C52=0, 0, Ads_Cost!$D52/Ads_Cost!$C52)</f>
        <v>4.6849670510708403</v>
      </c>
      <c r="H52" s="33">
        <f>IF(Ads_Cost!$D52=0, 0, (Ads_Cost!$C52/Ads_Cost!$D52)*1)</f>
        <v>0.2134486729786991</v>
      </c>
      <c r="I52" s="28">
        <v>53</v>
      </c>
      <c r="J52" s="33">
        <f t="shared" si="2"/>
        <v>1.1730854360336431E-2</v>
      </c>
      <c r="K52" s="28">
        <v>4518</v>
      </c>
      <c r="L52" s="32">
        <f>Ads_Cost!$C52/Ads_Cost!$I52</f>
        <v>4.5811320754716984</v>
      </c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4.25" customHeight="1" x14ac:dyDescent="0.25">
      <c r="A53" s="26">
        <v>45719</v>
      </c>
      <c r="B53" s="31" t="s">
        <v>14</v>
      </c>
      <c r="C53" s="28">
        <v>94.81</v>
      </c>
      <c r="D53" s="28">
        <v>499.77</v>
      </c>
      <c r="E53" s="32" t="s">
        <v>137</v>
      </c>
      <c r="F53" s="28">
        <v>2</v>
      </c>
      <c r="G53" s="34">
        <f>IF(Ads_Cost!$C53=0, 0, Ads_Cost!$D53/Ads_Cost!$C53)</f>
        <v>5.2712794009070771</v>
      </c>
      <c r="H53" s="33">
        <f>IF(Ads_Cost!$D53=0, 0, (Ads_Cost!$C53/Ads_Cost!$D53)*1)</f>
        <v>0.18970726534205737</v>
      </c>
      <c r="I53" s="28">
        <v>19</v>
      </c>
      <c r="J53" s="33">
        <f t="shared" si="2"/>
        <v>6.7567567567567571E-3</v>
      </c>
      <c r="K53" s="28">
        <v>2812</v>
      </c>
      <c r="L53" s="32">
        <f>Ads_Cost!$C53/Ads_Cost!$I53</f>
        <v>4.99</v>
      </c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4.25" customHeight="1" x14ac:dyDescent="0.25">
      <c r="A54" s="26">
        <v>45720</v>
      </c>
      <c r="B54" s="31" t="s">
        <v>14</v>
      </c>
      <c r="C54" s="28">
        <v>53.45</v>
      </c>
      <c r="D54" s="28">
        <v>0</v>
      </c>
      <c r="E54" s="32" t="s">
        <v>137</v>
      </c>
      <c r="F54" s="28">
        <v>0</v>
      </c>
      <c r="G54" s="34">
        <f>IF(Ads_Cost!$C54=0, 0, Ads_Cost!$D54/Ads_Cost!$C54)</f>
        <v>0</v>
      </c>
      <c r="H54" s="33">
        <f>IF(Ads_Cost!$D54=0, 0, (Ads_Cost!$C54/Ads_Cost!$D54)*1)</f>
        <v>0</v>
      </c>
      <c r="I54" s="28">
        <v>17</v>
      </c>
      <c r="J54" s="33">
        <f t="shared" si="2"/>
        <v>8.0721747388414061E-3</v>
      </c>
      <c r="K54" s="28">
        <v>2106</v>
      </c>
      <c r="L54" s="32">
        <f>Ads_Cost!$C54/Ads_Cost!$I54</f>
        <v>3.1441176470588239</v>
      </c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4.25" customHeight="1" x14ac:dyDescent="0.25">
      <c r="A55" s="26">
        <v>45721</v>
      </c>
      <c r="B55" s="31" t="s">
        <v>14</v>
      </c>
      <c r="C55" s="28">
        <v>219.08</v>
      </c>
      <c r="D55" s="28">
        <v>1729.53</v>
      </c>
      <c r="E55" s="32" t="s">
        <v>137</v>
      </c>
      <c r="F55" s="28">
        <v>4</v>
      </c>
      <c r="G55" s="34">
        <f>IF(Ads_Cost!$C55=0, 0, Ads_Cost!$D55/Ads_Cost!$C55)</f>
        <v>7.8945134197553397</v>
      </c>
      <c r="H55" s="33">
        <f>IF(Ads_Cost!$D55=0, 0, (Ads_Cost!$C55/Ads_Cost!$D55)*1)</f>
        <v>0.12667025145559777</v>
      </c>
      <c r="I55" s="28">
        <v>49</v>
      </c>
      <c r="J55" s="33">
        <f t="shared" si="2"/>
        <v>8.220097299110888E-3</v>
      </c>
      <c r="K55" s="28">
        <v>5961</v>
      </c>
      <c r="L55" s="32">
        <f>Ads_Cost!$C55/Ads_Cost!$I55</f>
        <v>4.4710204081632652</v>
      </c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4.25" customHeight="1" x14ac:dyDescent="0.25">
      <c r="A56" s="26">
        <v>45722</v>
      </c>
      <c r="B56" s="31" t="s">
        <v>14</v>
      </c>
      <c r="C56" s="28">
        <v>165.75</v>
      </c>
      <c r="D56" s="28">
        <v>1725.98</v>
      </c>
      <c r="E56" s="32" t="s">
        <v>137</v>
      </c>
      <c r="F56" s="28">
        <v>3</v>
      </c>
      <c r="G56" s="34">
        <f>IF(Ads_Cost!$C56=0, 0, Ads_Cost!$D56/Ads_Cost!$C56)</f>
        <v>10.41315233785822</v>
      </c>
      <c r="H56" s="33">
        <f>IF(Ads_Cost!$D56=0, 0, (Ads_Cost!$C56/Ads_Cost!$D56)*1)</f>
        <v>9.6032398984924508E-2</v>
      </c>
      <c r="I56" s="28">
        <v>36</v>
      </c>
      <c r="J56" s="33">
        <f t="shared" si="2"/>
        <v>6.029140847429241E-3</v>
      </c>
      <c r="K56" s="28">
        <v>5971</v>
      </c>
      <c r="L56" s="32">
        <f>Ads_Cost!$C56/Ads_Cost!$I56</f>
        <v>4.604166666666667</v>
      </c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4.25" customHeight="1" x14ac:dyDescent="0.25">
      <c r="A57" s="26">
        <v>45723</v>
      </c>
      <c r="B57" s="31" t="s">
        <v>14</v>
      </c>
      <c r="C57" s="28">
        <v>138.38999999999999</v>
      </c>
      <c r="D57" s="28">
        <v>1193.77</v>
      </c>
      <c r="E57" s="32" t="s">
        <v>137</v>
      </c>
      <c r="F57" s="28">
        <v>2</v>
      </c>
      <c r="G57" s="34">
        <f>IF(Ads_Cost!$C57=0, 0, Ads_Cost!$D57/Ads_Cost!$C57)</f>
        <v>8.6261290555675991</v>
      </c>
      <c r="H57" s="33">
        <f>IF(Ads_Cost!$D57=0, 0, (Ads_Cost!$C57/Ads_Cost!$D57)*1)</f>
        <v>0.11592685358151067</v>
      </c>
      <c r="I57" s="28">
        <v>34</v>
      </c>
      <c r="J57" s="33">
        <f t="shared" si="2"/>
        <v>4.5735808447672855E-3</v>
      </c>
      <c r="K57" s="28">
        <v>7434</v>
      </c>
      <c r="L57" s="32">
        <f>Ads_Cost!$C57/Ads_Cost!$I57</f>
        <v>4.0702941176470588</v>
      </c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4.25" customHeight="1" x14ac:dyDescent="0.25">
      <c r="A58" s="26">
        <v>45724</v>
      </c>
      <c r="B58" s="31" t="s">
        <v>14</v>
      </c>
      <c r="C58" s="28">
        <v>310.32</v>
      </c>
      <c r="D58" s="28">
        <v>1426.66</v>
      </c>
      <c r="E58" s="32" t="s">
        <v>137</v>
      </c>
      <c r="F58" s="28">
        <v>2</v>
      </c>
      <c r="G58" s="34">
        <f>IF(Ads_Cost!$C58=0, 0, Ads_Cost!$D58/Ads_Cost!$C58)</f>
        <v>4.5973833462232534</v>
      </c>
      <c r="H58" s="33">
        <f>IF(Ads_Cost!$D58=0, 0, (Ads_Cost!$C58/Ads_Cost!$D58)*1)</f>
        <v>0.2175150351169865</v>
      </c>
      <c r="I58" s="28">
        <v>43</v>
      </c>
      <c r="J58" s="33">
        <f t="shared" si="2"/>
        <v>4.5206055508830948E-3</v>
      </c>
      <c r="K58" s="28">
        <v>9512</v>
      </c>
      <c r="L58" s="32">
        <f>Ads_Cost!$C58/Ads_Cost!$I58</f>
        <v>7.2167441860465118</v>
      </c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4.25" customHeight="1" x14ac:dyDescent="0.25">
      <c r="A59" s="26">
        <v>45725</v>
      </c>
      <c r="B59" s="31" t="s">
        <v>14</v>
      </c>
      <c r="C59" s="28">
        <v>398.73</v>
      </c>
      <c r="D59" s="28">
        <v>5119.37</v>
      </c>
      <c r="E59" s="32" t="s">
        <v>137</v>
      </c>
      <c r="F59" s="28">
        <v>10</v>
      </c>
      <c r="G59" s="34">
        <f>IF(Ads_Cost!$C59=0, 0, Ads_Cost!$D59/Ads_Cost!$C59)</f>
        <v>12.839189426428911</v>
      </c>
      <c r="H59" s="33">
        <f>IF(Ads_Cost!$D59=0, 0, (Ads_Cost!$C59/Ads_Cost!$D59)*1)</f>
        <v>7.7886536819960273E-2</v>
      </c>
      <c r="I59" s="28">
        <v>58</v>
      </c>
      <c r="J59" s="33">
        <f t="shared" si="2"/>
        <v>6.2947688300412415E-3</v>
      </c>
      <c r="K59" s="28">
        <v>9214</v>
      </c>
      <c r="L59" s="32">
        <f>Ads_Cost!$C59/Ads_Cost!$I59</f>
        <v>6.8746551724137932</v>
      </c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4.25" customHeight="1" x14ac:dyDescent="0.25">
      <c r="A60" s="26">
        <v>45726</v>
      </c>
      <c r="B60" s="31" t="s">
        <v>14</v>
      </c>
      <c r="C60" s="28">
        <v>110.07</v>
      </c>
      <c r="D60" s="28">
        <v>341.9</v>
      </c>
      <c r="E60" s="32" t="s">
        <v>137</v>
      </c>
      <c r="F60" s="28">
        <v>1</v>
      </c>
      <c r="G60" s="34">
        <f>IF(Ads_Cost!$C60=0, 0, Ads_Cost!$D60/Ads_Cost!$C60)</f>
        <v>3.1062051421822479</v>
      </c>
      <c r="H60" s="33">
        <f>IF(Ads_Cost!$D60=0, 0, (Ads_Cost!$C60/Ads_Cost!$D60)*1)</f>
        <v>0.32193623866627669</v>
      </c>
      <c r="I60" s="28">
        <v>23</v>
      </c>
      <c r="J60" s="33">
        <f t="shared" si="2"/>
        <v>4.6766978446522974E-3</v>
      </c>
      <c r="K60" s="28">
        <v>4918</v>
      </c>
      <c r="L60" s="32">
        <f>Ads_Cost!$C60/Ads_Cost!$I60</f>
        <v>4.7856521739130429</v>
      </c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4.25" customHeight="1" x14ac:dyDescent="0.25">
      <c r="A61" s="26">
        <v>45727</v>
      </c>
      <c r="B61" s="31" t="s">
        <v>14</v>
      </c>
      <c r="C61" s="28">
        <v>90.48</v>
      </c>
      <c r="D61" s="28">
        <v>351.43</v>
      </c>
      <c r="E61" s="32" t="s">
        <v>137</v>
      </c>
      <c r="F61" s="28">
        <v>1</v>
      </c>
      <c r="G61" s="34">
        <f>IF(Ads_Cost!$C61=0, 0, Ads_Cost!$D61/Ads_Cost!$C61)</f>
        <v>3.8840627763041553</v>
      </c>
      <c r="H61" s="33">
        <f>IF(Ads_Cost!$D61=0, 0, (Ads_Cost!$C61/Ads_Cost!$D61)*1)</f>
        <v>0.25746236803915434</v>
      </c>
      <c r="I61" s="28">
        <v>24</v>
      </c>
      <c r="J61" s="33">
        <f t="shared" si="2"/>
        <v>8.1163341224213727E-3</v>
      </c>
      <c r="K61" s="28">
        <v>2957</v>
      </c>
      <c r="L61" s="32">
        <f>Ads_Cost!$C61/Ads_Cost!$I61</f>
        <v>3.77</v>
      </c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4.25" customHeight="1" x14ac:dyDescent="0.25">
      <c r="A62" s="26">
        <v>45728</v>
      </c>
      <c r="B62" s="31" t="s">
        <v>14</v>
      </c>
      <c r="C62" s="28">
        <v>54.26</v>
      </c>
      <c r="D62" s="28">
        <v>1395.76</v>
      </c>
      <c r="E62" s="32" t="s">
        <v>137</v>
      </c>
      <c r="F62" s="28">
        <v>2</v>
      </c>
      <c r="G62" s="34">
        <f>IF(Ads_Cost!$C62=0, 0, Ads_Cost!$D62/Ads_Cost!$C62)</f>
        <v>25.723553262071508</v>
      </c>
      <c r="H62" s="33">
        <f>IF(Ads_Cost!$D62=0, 0, (Ads_Cost!$C62/Ads_Cost!$D62)*1)</f>
        <v>3.8874878202556314E-2</v>
      </c>
      <c r="I62" s="28">
        <v>13</v>
      </c>
      <c r="J62" s="33">
        <f t="shared" si="2"/>
        <v>5.5531824006834684E-3</v>
      </c>
      <c r="K62" s="28">
        <v>2341</v>
      </c>
      <c r="L62" s="32">
        <f>Ads_Cost!$C62/Ads_Cost!$I62</f>
        <v>4.1738461538461538</v>
      </c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4.25" customHeight="1" x14ac:dyDescent="0.25">
      <c r="A63" s="26">
        <v>45729</v>
      </c>
      <c r="B63" s="31" t="s">
        <v>14</v>
      </c>
      <c r="C63" s="28">
        <v>131.38999999999999</v>
      </c>
      <c r="D63" s="28">
        <v>360.95</v>
      </c>
      <c r="E63" s="32" t="s">
        <v>137</v>
      </c>
      <c r="F63" s="28">
        <v>1</v>
      </c>
      <c r="G63" s="34">
        <f>IF(Ads_Cost!$C63=0, 0, Ads_Cost!$D63/Ads_Cost!$C63)</f>
        <v>2.7471649288378113</v>
      </c>
      <c r="H63" s="33">
        <f>IF(Ads_Cost!$D63=0, 0, (Ads_Cost!$C63/Ads_Cost!$D63)*1)</f>
        <v>0.36401163596065933</v>
      </c>
      <c r="I63" s="28">
        <v>34</v>
      </c>
      <c r="J63" s="33">
        <f t="shared" si="2"/>
        <v>1.1228533685601057E-2</v>
      </c>
      <c r="K63" s="28">
        <v>3028</v>
      </c>
      <c r="L63" s="32">
        <f>Ads_Cost!$C63/Ads_Cost!$I63</f>
        <v>3.8644117647058818</v>
      </c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4.25" customHeight="1" x14ac:dyDescent="0.25">
      <c r="A64" s="26">
        <v>45730</v>
      </c>
      <c r="B64" s="31" t="s">
        <v>14</v>
      </c>
      <c r="C64" s="28">
        <v>74.91</v>
      </c>
      <c r="D64" s="28">
        <v>1122.81</v>
      </c>
      <c r="E64" s="32" t="s">
        <v>137</v>
      </c>
      <c r="F64" s="28">
        <v>2</v>
      </c>
      <c r="G64" s="34">
        <f>IF(Ads_Cost!$C64=0, 0, Ads_Cost!$D64/Ads_Cost!$C64)</f>
        <v>14.988786543852623</v>
      </c>
      <c r="H64" s="33">
        <f>IF(Ads_Cost!$D64=0, 0, (Ads_Cost!$C64/Ads_Cost!$D64)*1)</f>
        <v>6.6716541534186546E-2</v>
      </c>
      <c r="I64" s="28">
        <v>21</v>
      </c>
      <c r="J64" s="33">
        <f t="shared" si="2"/>
        <v>9.7993467102193196E-3</v>
      </c>
      <c r="K64" s="28">
        <v>2143</v>
      </c>
      <c r="L64" s="32">
        <f>Ads_Cost!$C64/Ads_Cost!$I64</f>
        <v>3.5671428571428572</v>
      </c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4.25" customHeight="1" x14ac:dyDescent="0.25">
      <c r="A65" s="26">
        <v>45731</v>
      </c>
      <c r="B65" s="31" t="s">
        <v>14</v>
      </c>
      <c r="C65" s="28">
        <v>143.21</v>
      </c>
      <c r="D65" s="28">
        <v>0</v>
      </c>
      <c r="E65" s="32" t="s">
        <v>137</v>
      </c>
      <c r="F65" s="28">
        <v>0</v>
      </c>
      <c r="G65" s="34">
        <f>IF(Ads_Cost!$C65=0, 0, Ads_Cost!$D65/Ads_Cost!$C65)</f>
        <v>0</v>
      </c>
      <c r="H65" s="33">
        <f>IF(Ads_Cost!$D65=0, 0, (Ads_Cost!$C65/Ads_Cost!$D65)*1)</f>
        <v>0</v>
      </c>
      <c r="I65" s="28">
        <v>38</v>
      </c>
      <c r="J65" s="33">
        <f t="shared" si="2"/>
        <v>6.7881386209360482E-3</v>
      </c>
      <c r="K65" s="28">
        <v>5598</v>
      </c>
      <c r="L65" s="32">
        <f>Ads_Cost!$C65/Ads_Cost!$I65</f>
        <v>3.7686842105263159</v>
      </c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4.25" customHeight="1" x14ac:dyDescent="0.25">
      <c r="A66" s="26">
        <v>45732</v>
      </c>
      <c r="B66" s="31" t="s">
        <v>14</v>
      </c>
      <c r="C66" s="28">
        <v>187.79</v>
      </c>
      <c r="D66" s="28">
        <v>761.86</v>
      </c>
      <c r="E66" s="32" t="s">
        <v>137</v>
      </c>
      <c r="F66" s="28">
        <v>1</v>
      </c>
      <c r="G66" s="34">
        <f>IF(Ads_Cost!$C66=0, 0, Ads_Cost!$D66/Ads_Cost!$C66)</f>
        <v>4.0569785398583527</v>
      </c>
      <c r="H66" s="33">
        <f>IF(Ads_Cost!$D66=0, 0, (Ads_Cost!$C66/Ads_Cost!$D66)*1)</f>
        <v>0.24648885622030292</v>
      </c>
      <c r="I66" s="28">
        <v>50</v>
      </c>
      <c r="J66" s="33">
        <f t="shared" si="2"/>
        <v>9.2592592592592587E-3</v>
      </c>
      <c r="K66" s="28">
        <v>5400</v>
      </c>
      <c r="L66" s="32">
        <f>Ads_Cost!$C66/Ads_Cost!$I66</f>
        <v>3.7557999999999998</v>
      </c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4.25" customHeight="1" x14ac:dyDescent="0.25">
      <c r="A67" s="26">
        <v>45733</v>
      </c>
      <c r="B67" s="31" t="s">
        <v>14</v>
      </c>
      <c r="C67" s="28">
        <v>152.12</v>
      </c>
      <c r="D67" s="28">
        <v>1998.3</v>
      </c>
      <c r="E67" s="32" t="s">
        <v>137</v>
      </c>
      <c r="F67" s="28">
        <v>2</v>
      </c>
      <c r="G67" s="34">
        <f>IF(Ads_Cost!$C67=0, 0, Ads_Cost!$D67/Ads_Cost!$C67)</f>
        <v>13.136339731790692</v>
      </c>
      <c r="H67" s="33">
        <f>IF(Ads_Cost!$D67=0, 0, (Ads_Cost!$C67/Ads_Cost!$D67)*1)</f>
        <v>7.6124706000100087E-2</v>
      </c>
      <c r="I67" s="28">
        <v>44</v>
      </c>
      <c r="J67" s="33">
        <f t="shared" si="2"/>
        <v>9.5155709342560554E-3</v>
      </c>
      <c r="K67" s="28">
        <v>4624</v>
      </c>
      <c r="L67" s="32">
        <f>Ads_Cost!$C67/Ads_Cost!$I67</f>
        <v>3.4572727272727275</v>
      </c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4.25" customHeight="1" x14ac:dyDescent="0.25">
      <c r="A68" s="26">
        <v>45734</v>
      </c>
      <c r="B68" s="31" t="s">
        <v>14</v>
      </c>
      <c r="C68" s="28">
        <v>89.51</v>
      </c>
      <c r="D68" s="28">
        <v>804.24</v>
      </c>
      <c r="E68" s="32" t="s">
        <v>137</v>
      </c>
      <c r="F68" s="28">
        <v>1</v>
      </c>
      <c r="G68" s="34">
        <f>IF(Ads_Cost!$C68=0, 0, Ads_Cost!$D68/Ads_Cost!$C68)</f>
        <v>8.9849178862696899</v>
      </c>
      <c r="H68" s="33">
        <f>IF(Ads_Cost!$D68=0, 0, (Ads_Cost!$C68/Ads_Cost!$D68)*1)</f>
        <v>0.11129762260021885</v>
      </c>
      <c r="I68" s="28">
        <v>23</v>
      </c>
      <c r="J68" s="33">
        <f t="shared" si="2"/>
        <v>1.0199556541019957E-2</v>
      </c>
      <c r="K68" s="28">
        <v>2255</v>
      </c>
      <c r="L68" s="32">
        <f>Ads_Cost!$C68/Ads_Cost!$I68</f>
        <v>3.8917391304347828</v>
      </c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4.25" customHeight="1" x14ac:dyDescent="0.25">
      <c r="A69" s="26">
        <v>45735</v>
      </c>
      <c r="B69" s="31" t="s">
        <v>14</v>
      </c>
      <c r="C69" s="28">
        <v>53.08</v>
      </c>
      <c r="D69" s="28">
        <v>0</v>
      </c>
      <c r="E69" s="32" t="s">
        <v>137</v>
      </c>
      <c r="F69" s="28">
        <v>0</v>
      </c>
      <c r="G69" s="34">
        <f>IF(Ads_Cost!$C69=0, 0, Ads_Cost!$D69/Ads_Cost!$C69)</f>
        <v>0</v>
      </c>
      <c r="H69" s="33">
        <f>IF(Ads_Cost!$D69=0, 0, (Ads_Cost!$C69/Ads_Cost!$D69)*1)</f>
        <v>0</v>
      </c>
      <c r="I69" s="28">
        <v>13</v>
      </c>
      <c r="J69" s="33">
        <f t="shared" si="2"/>
        <v>5.6399132321041214E-3</v>
      </c>
      <c r="K69" s="28">
        <v>2305</v>
      </c>
      <c r="L69" s="32">
        <f>Ads_Cost!$C69/Ads_Cost!$I69</f>
        <v>4.0830769230769226</v>
      </c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4.25" customHeight="1" x14ac:dyDescent="0.25">
      <c r="A70" s="26">
        <v>45736</v>
      </c>
      <c r="B70" s="31" t="s">
        <v>14</v>
      </c>
      <c r="C70" s="28">
        <v>95.39</v>
      </c>
      <c r="D70" s="28">
        <v>1607.63</v>
      </c>
      <c r="E70" s="32" t="s">
        <v>137</v>
      </c>
      <c r="F70" s="28">
        <v>2</v>
      </c>
      <c r="G70" s="34">
        <f>IF(Ads_Cost!$C70=0, 0, Ads_Cost!$D70/Ads_Cost!$C70)</f>
        <v>16.853234091623861</v>
      </c>
      <c r="H70" s="33">
        <f>IF(Ads_Cost!$D70=0, 0, (Ads_Cost!$C70/Ads_Cost!$D70)*1)</f>
        <v>5.9335792439802686E-2</v>
      </c>
      <c r="I70" s="28">
        <v>26</v>
      </c>
      <c r="J70" s="33">
        <f t="shared" si="2"/>
        <v>6.2126642771804059E-3</v>
      </c>
      <c r="K70" s="28">
        <v>4185</v>
      </c>
      <c r="L70" s="32">
        <f>Ads_Cost!$C70/Ads_Cost!$I70</f>
        <v>3.6688461538461539</v>
      </c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4.25" customHeight="1" x14ac:dyDescent="0.25">
      <c r="A71" s="26">
        <v>45737</v>
      </c>
      <c r="B71" s="31" t="s">
        <v>14</v>
      </c>
      <c r="C71" s="28">
        <v>74.56</v>
      </c>
      <c r="D71" s="28">
        <v>804.24</v>
      </c>
      <c r="E71" s="32" t="s">
        <v>137</v>
      </c>
      <c r="F71" s="28">
        <v>1</v>
      </c>
      <c r="G71" s="34">
        <f>IF(Ads_Cost!$C71=0, 0, Ads_Cost!$D71/Ads_Cost!$C71)</f>
        <v>10.786480686695279</v>
      </c>
      <c r="H71" s="33">
        <f>IF(Ads_Cost!$D71=0, 0, (Ads_Cost!$C71/Ads_Cost!$D71)*1)</f>
        <v>9.2708644185815176E-2</v>
      </c>
      <c r="I71" s="28">
        <v>24</v>
      </c>
      <c r="J71" s="33">
        <f t="shared" si="2"/>
        <v>5.8579448376861118E-3</v>
      </c>
      <c r="K71" s="28">
        <v>4097</v>
      </c>
      <c r="L71" s="32">
        <f>Ads_Cost!$C71/Ads_Cost!$I71</f>
        <v>3.1066666666666669</v>
      </c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4.25" customHeight="1" x14ac:dyDescent="0.25">
      <c r="A72" s="26">
        <v>45738</v>
      </c>
      <c r="B72" s="31" t="s">
        <v>14</v>
      </c>
      <c r="C72" s="28">
        <v>116.2</v>
      </c>
      <c r="D72" s="28">
        <v>855.24</v>
      </c>
      <c r="E72" s="32" t="s">
        <v>137</v>
      </c>
      <c r="F72" s="28">
        <v>2</v>
      </c>
      <c r="G72" s="34">
        <f>IF(Ads_Cost!$C72=0, 0, Ads_Cost!$D72/Ads_Cost!$C72)</f>
        <v>7.3600688468158344</v>
      </c>
      <c r="H72" s="33">
        <f>IF(Ads_Cost!$D72=0, 0, (Ads_Cost!$C72/Ads_Cost!$D72)*1)</f>
        <v>0.13586829427996819</v>
      </c>
      <c r="I72" s="28">
        <v>29</v>
      </c>
      <c r="J72" s="33">
        <f t="shared" si="2"/>
        <v>8.3525345622119818E-3</v>
      </c>
      <c r="K72" s="28">
        <v>3472</v>
      </c>
      <c r="L72" s="32">
        <f>Ads_Cost!$C72/Ads_Cost!$I72</f>
        <v>4.0068965517241377</v>
      </c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4.25" customHeight="1" x14ac:dyDescent="0.25">
      <c r="A73" s="26">
        <v>45739</v>
      </c>
      <c r="B73" s="31" t="s">
        <v>14</v>
      </c>
      <c r="C73" s="28">
        <v>117.12</v>
      </c>
      <c r="D73" s="28">
        <v>0</v>
      </c>
      <c r="E73" s="32" t="s">
        <v>137</v>
      </c>
      <c r="F73" s="28">
        <v>0</v>
      </c>
      <c r="G73" s="34">
        <f>IF(Ads_Cost!$C73=0, 0, Ads_Cost!$D73/Ads_Cost!$C73)</f>
        <v>0</v>
      </c>
      <c r="H73" s="33">
        <f>IF(Ads_Cost!$D73=0, 0, (Ads_Cost!$C73/Ads_Cost!$D73)*1)</f>
        <v>0</v>
      </c>
      <c r="I73" s="28">
        <v>27</v>
      </c>
      <c r="J73" s="33">
        <f t="shared" si="2"/>
        <v>7.442116868798236E-3</v>
      </c>
      <c r="K73" s="28">
        <v>3628</v>
      </c>
      <c r="L73" s="32">
        <f>Ads_Cost!$C73/Ads_Cost!$I73</f>
        <v>4.3377777777777782</v>
      </c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4.25" customHeight="1" x14ac:dyDescent="0.25">
      <c r="A74" s="26">
        <v>45740</v>
      </c>
      <c r="B74" s="31" t="s">
        <v>14</v>
      </c>
      <c r="C74" s="28">
        <v>74.42</v>
      </c>
      <c r="D74" s="28">
        <v>0</v>
      </c>
      <c r="E74" s="32" t="s">
        <v>137</v>
      </c>
      <c r="F74" s="28">
        <v>0</v>
      </c>
      <c r="G74" s="34">
        <f>IF(Ads_Cost!$C74=0, 0, Ads_Cost!$D74/Ads_Cost!$C74)</f>
        <v>0</v>
      </c>
      <c r="H74" s="33">
        <f>IF(Ads_Cost!$D74=0, 0, (Ads_Cost!$C74/Ads_Cost!$D74)*1)</f>
        <v>0</v>
      </c>
      <c r="I74" s="28">
        <v>18</v>
      </c>
      <c r="J74" s="33">
        <f t="shared" si="2"/>
        <v>6.5099457504520794E-3</v>
      </c>
      <c r="K74" s="28">
        <v>2765</v>
      </c>
      <c r="L74" s="32">
        <f>Ads_Cost!$C74/Ads_Cost!$I74</f>
        <v>4.1344444444444441</v>
      </c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4.25" customHeight="1" x14ac:dyDescent="0.25">
      <c r="A75" s="26">
        <v>45741</v>
      </c>
      <c r="B75" s="31" t="s">
        <v>14</v>
      </c>
      <c r="C75" s="28">
        <v>59.55</v>
      </c>
      <c r="D75" s="28">
        <v>1747.1</v>
      </c>
      <c r="E75" s="32" t="s">
        <v>137</v>
      </c>
      <c r="F75" s="28">
        <v>3</v>
      </c>
      <c r="G75" s="34">
        <f>IF(Ads_Cost!$C75=0, 0, Ads_Cost!$D75/Ads_Cost!$C75)</f>
        <v>29.338371116708647</v>
      </c>
      <c r="H75" s="33">
        <f>IF(Ads_Cost!$D75=0, 0, (Ads_Cost!$C75/Ads_Cost!$D75)*1)</f>
        <v>3.4085055234388414E-2</v>
      </c>
      <c r="I75" s="28">
        <v>20</v>
      </c>
      <c r="J75" s="33">
        <f t="shared" ref="J75:J102" si="3">I75/K75</f>
        <v>5.9119125036949452E-3</v>
      </c>
      <c r="K75" s="28">
        <v>3383</v>
      </c>
      <c r="L75" s="32">
        <f>Ads_Cost!$C75/Ads_Cost!$I75</f>
        <v>2.9775</v>
      </c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4.25" customHeight="1" x14ac:dyDescent="0.25">
      <c r="A76" s="26">
        <v>45742</v>
      </c>
      <c r="B76" s="31" t="s">
        <v>14</v>
      </c>
      <c r="C76" s="28">
        <v>37.17</v>
      </c>
      <c r="D76" s="28">
        <v>0</v>
      </c>
      <c r="E76" s="32" t="s">
        <v>137</v>
      </c>
      <c r="F76" s="28">
        <v>0</v>
      </c>
      <c r="G76" s="34">
        <f>IF(Ads_Cost!$C76=0, 0, Ads_Cost!$D76/Ads_Cost!$C76)</f>
        <v>0</v>
      </c>
      <c r="H76" s="33">
        <f>IF(Ads_Cost!$D76=0, 0, (Ads_Cost!$C76/Ads_Cost!$D76)*1)</f>
        <v>0</v>
      </c>
      <c r="I76" s="28">
        <v>16</v>
      </c>
      <c r="J76" s="33">
        <f t="shared" si="3"/>
        <v>4.4444444444444444E-3</v>
      </c>
      <c r="K76" s="28">
        <v>3600</v>
      </c>
      <c r="L76" s="32">
        <f>Ads_Cost!$C76/Ads_Cost!$I76</f>
        <v>2.3231250000000001</v>
      </c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4.25" customHeight="1" x14ac:dyDescent="0.25">
      <c r="A77" s="26">
        <v>45743</v>
      </c>
      <c r="B77" s="31" t="s">
        <v>14</v>
      </c>
      <c r="C77" s="28">
        <v>74.180000000000007</v>
      </c>
      <c r="D77" s="28">
        <v>0</v>
      </c>
      <c r="E77" s="32" t="s">
        <v>137</v>
      </c>
      <c r="F77" s="28">
        <v>0</v>
      </c>
      <c r="G77" s="34">
        <f>IF(Ads_Cost!$C77=0, 0, Ads_Cost!$D77/Ads_Cost!$C77)</f>
        <v>0</v>
      </c>
      <c r="H77" s="33">
        <f>IF(Ads_Cost!$D77=0, 0, (Ads_Cost!$C77/Ads_Cost!$D77)*1)</f>
        <v>0</v>
      </c>
      <c r="I77" s="28">
        <v>18</v>
      </c>
      <c r="J77" s="33">
        <f t="shared" si="3"/>
        <v>3.0120481927710845E-3</v>
      </c>
      <c r="K77" s="28">
        <v>5976</v>
      </c>
      <c r="L77" s="32">
        <f>Ads_Cost!$C77/Ads_Cost!$I77</f>
        <v>4.1211111111111114</v>
      </c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4.25" customHeight="1" x14ac:dyDescent="0.25">
      <c r="A78" s="26">
        <v>45744</v>
      </c>
      <c r="B78" s="31" t="s">
        <v>14</v>
      </c>
      <c r="C78" s="28">
        <v>132.96</v>
      </c>
      <c r="D78" s="28">
        <v>803.39</v>
      </c>
      <c r="E78" s="32" t="s">
        <v>137</v>
      </c>
      <c r="F78" s="28">
        <v>1</v>
      </c>
      <c r="G78" s="34">
        <f>IF(Ads_Cost!$C78=0, 0, Ads_Cost!$D78/Ads_Cost!$C78)</f>
        <v>6.0423435619735253</v>
      </c>
      <c r="H78" s="33">
        <f>IF(Ads_Cost!$D78=0, 0, (Ads_Cost!$C78/Ads_Cost!$D78)*1)</f>
        <v>0.1654986992618778</v>
      </c>
      <c r="I78" s="28">
        <v>25</v>
      </c>
      <c r="J78" s="33">
        <f t="shared" si="3"/>
        <v>4.2495325514193437E-3</v>
      </c>
      <c r="K78" s="28">
        <v>5883</v>
      </c>
      <c r="L78" s="32">
        <f>Ads_Cost!$C78/Ads_Cost!$I78</f>
        <v>5.3184000000000005</v>
      </c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4.25" customHeight="1" x14ac:dyDescent="0.25">
      <c r="A79" s="26">
        <v>45745</v>
      </c>
      <c r="B79" s="31" t="s">
        <v>14</v>
      </c>
      <c r="C79" s="28">
        <v>137.52000000000001</v>
      </c>
      <c r="D79" s="28">
        <v>0</v>
      </c>
      <c r="E79" s="32" t="s">
        <v>137</v>
      </c>
      <c r="F79" s="28">
        <v>0</v>
      </c>
      <c r="G79" s="34">
        <f>IF(Ads_Cost!$C79=0, 0, Ads_Cost!$D79/Ads_Cost!$C79)</f>
        <v>0</v>
      </c>
      <c r="H79" s="33">
        <f>IF(Ads_Cost!$D79=0, 0, (Ads_Cost!$C79/Ads_Cost!$D79)*1)</f>
        <v>0</v>
      </c>
      <c r="I79" s="28">
        <v>18</v>
      </c>
      <c r="J79" s="33">
        <f t="shared" si="3"/>
        <v>3.3240997229916896E-3</v>
      </c>
      <c r="K79" s="28">
        <v>5415</v>
      </c>
      <c r="L79" s="32">
        <f>Ads_Cost!$C79/Ads_Cost!$I79</f>
        <v>7.6400000000000006</v>
      </c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4.25" customHeight="1" x14ac:dyDescent="0.25">
      <c r="A80" s="26">
        <v>45746</v>
      </c>
      <c r="B80" s="31" t="s">
        <v>14</v>
      </c>
      <c r="C80" s="28">
        <v>137.99</v>
      </c>
      <c r="D80" s="28">
        <v>0</v>
      </c>
      <c r="E80" s="32" t="s">
        <v>137</v>
      </c>
      <c r="F80" s="28">
        <v>0</v>
      </c>
      <c r="G80" s="34">
        <f>IF(Ads_Cost!$C80=0, 0, Ads_Cost!$D80/Ads_Cost!$C80)</f>
        <v>0</v>
      </c>
      <c r="H80" s="33">
        <f>IF(Ads_Cost!$D80=0, 0, (Ads_Cost!$C80/Ads_Cost!$D80)*1)</f>
        <v>0</v>
      </c>
      <c r="I80" s="28">
        <v>23</v>
      </c>
      <c r="J80" s="33">
        <f t="shared" si="3"/>
        <v>5.4644808743169399E-3</v>
      </c>
      <c r="K80" s="28">
        <v>4209</v>
      </c>
      <c r="L80" s="32">
        <f>Ads_Cost!$C80/Ads_Cost!$I80</f>
        <v>5.9995652173913046</v>
      </c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4.25" customHeight="1" x14ac:dyDescent="0.25">
      <c r="A81" s="26">
        <v>45747</v>
      </c>
      <c r="B81" s="31" t="s">
        <v>14</v>
      </c>
      <c r="C81" s="28">
        <v>272.49</v>
      </c>
      <c r="D81" s="28">
        <v>1608.48</v>
      </c>
      <c r="E81" s="32" t="s">
        <v>137</v>
      </c>
      <c r="F81" s="28">
        <v>2</v>
      </c>
      <c r="G81" s="34">
        <f>IF(Ads_Cost!$C81=0, 0, Ads_Cost!$D81/Ads_Cost!$C81)</f>
        <v>5.9028955191016186</v>
      </c>
      <c r="H81" s="33">
        <f>IF(Ads_Cost!$D81=0, 0, (Ads_Cost!$C81/Ads_Cost!$D81)*1)</f>
        <v>0.1694083855565503</v>
      </c>
      <c r="I81" s="28">
        <v>36</v>
      </c>
      <c r="J81" s="33">
        <f t="shared" si="3"/>
        <v>6.5017157305400034E-3</v>
      </c>
      <c r="K81" s="28">
        <v>5537</v>
      </c>
      <c r="L81" s="32">
        <f>Ads_Cost!$C81/Ads_Cost!$I81</f>
        <v>7.5691666666666668</v>
      </c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4.25" customHeight="1" x14ac:dyDescent="0.25">
      <c r="A82" s="26">
        <v>45748</v>
      </c>
      <c r="B82" s="31" t="s">
        <v>14</v>
      </c>
      <c r="C82" s="28">
        <v>228.78</v>
      </c>
      <c r="D82" s="28">
        <v>1608.48</v>
      </c>
      <c r="E82" s="32" t="s">
        <v>137</v>
      </c>
      <c r="F82" s="28">
        <v>2</v>
      </c>
      <c r="G82" s="34">
        <f>IF(Ads_Cost!$C82=0, 0, Ads_Cost!$D82/Ads_Cost!$C82)</f>
        <v>7.0306845003933907</v>
      </c>
      <c r="H82" s="33">
        <f>IF(Ads_Cost!$D82=0, 0, (Ads_Cost!$C82/Ads_Cost!$D82)*1)</f>
        <v>0.14223366159355416</v>
      </c>
      <c r="I82" s="28">
        <v>46</v>
      </c>
      <c r="J82" s="33">
        <f t="shared" si="3"/>
        <v>4.1591320072332733E-3</v>
      </c>
      <c r="K82" s="28">
        <v>11060</v>
      </c>
      <c r="L82" s="32">
        <f>Ads_Cost!$C82/Ads_Cost!$I82</f>
        <v>4.9734782608695651</v>
      </c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4.25" customHeight="1" x14ac:dyDescent="0.25">
      <c r="A83" s="26">
        <v>45749</v>
      </c>
      <c r="B83" s="31" t="s">
        <v>14</v>
      </c>
      <c r="C83" s="28">
        <v>199.83</v>
      </c>
      <c r="D83" s="28">
        <v>0</v>
      </c>
      <c r="E83" s="32" t="s">
        <v>137</v>
      </c>
      <c r="F83" s="28">
        <v>0</v>
      </c>
      <c r="G83" s="34">
        <f>IF(Ads_Cost!$C83=0, 0, Ads_Cost!$D83/Ads_Cost!$C83)</f>
        <v>0</v>
      </c>
      <c r="H83" s="33">
        <f>IF(Ads_Cost!$D83=0, 0, (Ads_Cost!$C83/Ads_Cost!$D83)*1)</f>
        <v>0</v>
      </c>
      <c r="I83" s="28">
        <v>36</v>
      </c>
      <c r="J83" s="33">
        <f t="shared" si="3"/>
        <v>4.2949176807444527E-3</v>
      </c>
      <c r="K83" s="28">
        <v>8382</v>
      </c>
      <c r="L83" s="32">
        <f>Ads_Cost!$C83/Ads_Cost!$I83</f>
        <v>5.5508333333333333</v>
      </c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4.25" customHeight="1" x14ac:dyDescent="0.25">
      <c r="A84" s="26">
        <v>45750</v>
      </c>
      <c r="B84" s="31" t="s">
        <v>14</v>
      </c>
      <c r="C84" s="28">
        <v>132.34</v>
      </c>
      <c r="D84" s="28">
        <v>1427.62</v>
      </c>
      <c r="E84" s="32" t="s">
        <v>137</v>
      </c>
      <c r="F84" s="28">
        <v>1</v>
      </c>
      <c r="G84" s="34">
        <f>IF(Ads_Cost!$C84=0, 0, Ads_Cost!$D84/Ads_Cost!$C84)</f>
        <v>10.787517001662383</v>
      </c>
      <c r="H84" s="33">
        <f>IF(Ads_Cost!$D84=0, 0, (Ads_Cost!$C84/Ads_Cost!$D84)*1)</f>
        <v>9.2699738025525003E-2</v>
      </c>
      <c r="I84" s="28">
        <v>33</v>
      </c>
      <c r="J84" s="33">
        <f t="shared" si="3"/>
        <v>5.5894308943089431E-3</v>
      </c>
      <c r="K84" s="28">
        <v>5904</v>
      </c>
      <c r="L84" s="32">
        <f>Ads_Cost!$C84/Ads_Cost!$I84</f>
        <v>4.0103030303030307</v>
      </c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4.25" customHeight="1" x14ac:dyDescent="0.25">
      <c r="A85" s="26">
        <v>45751</v>
      </c>
      <c r="B85" s="31" t="s">
        <v>14</v>
      </c>
      <c r="C85" s="28">
        <v>41.12</v>
      </c>
      <c r="D85" s="28">
        <v>0</v>
      </c>
      <c r="E85" s="32" t="s">
        <v>137</v>
      </c>
      <c r="F85" s="28">
        <v>0</v>
      </c>
      <c r="G85" s="34">
        <f>IF(Ads_Cost!$C85=0, 0, Ads_Cost!$D85/Ads_Cost!$C85)</f>
        <v>0</v>
      </c>
      <c r="H85" s="33">
        <f>IF(Ads_Cost!$D85=0, 0, (Ads_Cost!$C85/Ads_Cost!$D85)*1)</f>
        <v>0</v>
      </c>
      <c r="I85" s="28">
        <v>9</v>
      </c>
      <c r="J85" s="33">
        <f t="shared" si="3"/>
        <v>4.4709388971684054E-3</v>
      </c>
      <c r="K85" s="28">
        <v>2013</v>
      </c>
      <c r="L85" s="32">
        <f>Ads_Cost!$C85/Ads_Cost!$I85</f>
        <v>4.568888888888889</v>
      </c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4.25" customHeight="1" x14ac:dyDescent="0.25">
      <c r="A86" s="26">
        <v>45752</v>
      </c>
      <c r="B86" s="31" t="s">
        <v>14</v>
      </c>
      <c r="C86" s="28">
        <v>104.14</v>
      </c>
      <c r="D86" s="28">
        <v>804.24</v>
      </c>
      <c r="E86" s="32" t="s">
        <v>137</v>
      </c>
      <c r="F86" s="28">
        <v>1</v>
      </c>
      <c r="G86" s="34">
        <f>IF(Ads_Cost!$C86=0, 0, Ads_Cost!$D86/Ads_Cost!$C86)</f>
        <v>7.7226810063376226</v>
      </c>
      <c r="H86" s="33">
        <f>IF(Ads_Cost!$D86=0, 0, (Ads_Cost!$C86/Ads_Cost!$D86)*1)</f>
        <v>0.12948870983785934</v>
      </c>
      <c r="I86" s="28">
        <v>24</v>
      </c>
      <c r="J86" s="33">
        <f t="shared" si="3"/>
        <v>1.0733452593917709E-2</v>
      </c>
      <c r="K86" s="28">
        <v>2236</v>
      </c>
      <c r="L86" s="32">
        <f>Ads_Cost!$C86/Ads_Cost!$I86</f>
        <v>4.3391666666666664</v>
      </c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4.25" customHeight="1" x14ac:dyDescent="0.25">
      <c r="A87" s="26">
        <v>45753</v>
      </c>
      <c r="B87" s="31" t="s">
        <v>14</v>
      </c>
      <c r="C87" s="28">
        <v>110.64</v>
      </c>
      <c r="D87" s="28">
        <v>0</v>
      </c>
      <c r="E87" s="32" t="s">
        <v>137</v>
      </c>
      <c r="F87" s="28">
        <v>0</v>
      </c>
      <c r="G87" s="34">
        <f>IF(Ads_Cost!$C87=0, 0, Ads_Cost!$D87/Ads_Cost!$C87)</f>
        <v>0</v>
      </c>
      <c r="H87" s="33">
        <f>IF(Ads_Cost!$D87=0, 0, (Ads_Cost!$C87/Ads_Cost!$D87)*1)</f>
        <v>0</v>
      </c>
      <c r="I87" s="28">
        <v>24</v>
      </c>
      <c r="J87" s="33">
        <f t="shared" si="3"/>
        <v>7.3037127206329886E-3</v>
      </c>
      <c r="K87" s="28">
        <v>3286</v>
      </c>
      <c r="L87" s="32">
        <f>Ads_Cost!$C87/Ads_Cost!$I87</f>
        <v>4.6100000000000003</v>
      </c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4.25" customHeight="1" x14ac:dyDescent="0.25">
      <c r="A88" s="26">
        <v>45754</v>
      </c>
      <c r="B88" s="31" t="s">
        <v>14</v>
      </c>
      <c r="C88" s="28">
        <v>106.25</v>
      </c>
      <c r="D88" s="28">
        <v>0</v>
      </c>
      <c r="E88" s="32" t="s">
        <v>137</v>
      </c>
      <c r="F88" s="28">
        <v>0</v>
      </c>
      <c r="G88" s="34">
        <f>IF(Ads_Cost!$C88=0, 0, Ads_Cost!$D88/Ads_Cost!$C88)</f>
        <v>0</v>
      </c>
      <c r="H88" s="33">
        <f>IF(Ads_Cost!$D88=0, 0, (Ads_Cost!$C88/Ads_Cost!$D88)*1)</f>
        <v>0</v>
      </c>
      <c r="I88" s="28">
        <v>22</v>
      </c>
      <c r="J88" s="33">
        <f t="shared" si="3"/>
        <v>6.1624649859943975E-3</v>
      </c>
      <c r="K88" s="28">
        <v>3570</v>
      </c>
      <c r="L88" s="32">
        <f>Ads_Cost!$C88/Ads_Cost!$I88</f>
        <v>4.8295454545454541</v>
      </c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4.25" customHeight="1" x14ac:dyDescent="0.25">
      <c r="A89" s="26">
        <v>45755</v>
      </c>
      <c r="B89" s="31" t="s">
        <v>14</v>
      </c>
      <c r="C89" s="28">
        <v>73.22</v>
      </c>
      <c r="D89" s="28">
        <v>0</v>
      </c>
      <c r="E89" s="32" t="s">
        <v>137</v>
      </c>
      <c r="F89" s="28">
        <v>0</v>
      </c>
      <c r="G89" s="34">
        <f>IF(Ads_Cost!$C89=0, 0, Ads_Cost!$D89/Ads_Cost!$C89)</f>
        <v>0</v>
      </c>
      <c r="H89" s="33">
        <f>IF(Ads_Cost!$D89=0, 0, (Ads_Cost!$C89/Ads_Cost!$D89)*1)</f>
        <v>0</v>
      </c>
      <c r="I89" s="28">
        <v>12</v>
      </c>
      <c r="J89" s="33">
        <f t="shared" si="3"/>
        <v>4.2841842199214568E-3</v>
      </c>
      <c r="K89" s="28">
        <v>2801</v>
      </c>
      <c r="L89" s="32">
        <f>Ads_Cost!$C89/Ads_Cost!$I89</f>
        <v>6.1016666666666666</v>
      </c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4.25" customHeight="1" x14ac:dyDescent="0.25">
      <c r="A90" s="26">
        <v>45756</v>
      </c>
      <c r="B90" s="31" t="s">
        <v>14</v>
      </c>
      <c r="C90" s="28">
        <v>60.9</v>
      </c>
      <c r="D90" s="28">
        <v>0</v>
      </c>
      <c r="E90" s="32" t="s">
        <v>137</v>
      </c>
      <c r="F90" s="28">
        <v>0</v>
      </c>
      <c r="G90" s="34">
        <f>IF(Ads_Cost!$C90=0, 0, Ads_Cost!$D90/Ads_Cost!$C90)</f>
        <v>0</v>
      </c>
      <c r="H90" s="33">
        <f>IF(Ads_Cost!$D90=0, 0, (Ads_Cost!$C90/Ads_Cost!$D90)*1)</f>
        <v>0</v>
      </c>
      <c r="I90" s="28">
        <v>10</v>
      </c>
      <c r="J90" s="33">
        <f t="shared" si="3"/>
        <v>4.7915668423574509E-3</v>
      </c>
      <c r="K90" s="28">
        <v>2087</v>
      </c>
      <c r="L90" s="32">
        <f>Ads_Cost!$C90/Ads_Cost!$I90</f>
        <v>6.09</v>
      </c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4.25" customHeight="1" x14ac:dyDescent="0.25">
      <c r="A91" s="26">
        <v>45757</v>
      </c>
      <c r="B91" s="31" t="s">
        <v>14</v>
      </c>
      <c r="C91" s="28">
        <v>83.69</v>
      </c>
      <c r="D91" s="28">
        <v>803.39</v>
      </c>
      <c r="E91" s="32" t="s">
        <v>137</v>
      </c>
      <c r="F91" s="28">
        <v>1</v>
      </c>
      <c r="G91" s="34">
        <f>IF(Ads_Cost!$C91=0, 0, Ads_Cost!$D91/Ads_Cost!$C91)</f>
        <v>9.5995937387979442</v>
      </c>
      <c r="H91" s="33">
        <f>IF(Ads_Cost!$D91=0, 0, (Ads_Cost!$C91/Ads_Cost!$D91)*1)</f>
        <v>0.10417107506939344</v>
      </c>
      <c r="I91" s="28">
        <v>17</v>
      </c>
      <c r="J91" s="33">
        <f t="shared" si="3"/>
        <v>3.8099506947557151E-3</v>
      </c>
      <c r="K91" s="28">
        <v>4462</v>
      </c>
      <c r="L91" s="32">
        <f>Ads_Cost!$C91/Ads_Cost!$I91</f>
        <v>4.9229411764705882</v>
      </c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4.25" customHeight="1" x14ac:dyDescent="0.25">
      <c r="A92" s="26">
        <v>45758</v>
      </c>
      <c r="B92" s="31" t="s">
        <v>14</v>
      </c>
      <c r="C92" s="28">
        <v>103.35</v>
      </c>
      <c r="D92" s="28">
        <v>0</v>
      </c>
      <c r="E92" s="32" t="s">
        <v>137</v>
      </c>
      <c r="F92" s="28">
        <v>0</v>
      </c>
      <c r="G92" s="34">
        <f>IF(Ads_Cost!$C92=0, 0, Ads_Cost!$D92/Ads_Cost!$C92)</f>
        <v>0</v>
      </c>
      <c r="H92" s="33">
        <f>IF(Ads_Cost!$D92=0, 0, (Ads_Cost!$C92/Ads_Cost!$D92)*1)</f>
        <v>0</v>
      </c>
      <c r="I92" s="28">
        <v>25</v>
      </c>
      <c r="J92" s="33">
        <f t="shared" si="3"/>
        <v>3.6342491641226924E-3</v>
      </c>
      <c r="K92" s="28">
        <v>6879</v>
      </c>
      <c r="L92" s="32">
        <f>Ads_Cost!$C92/Ads_Cost!$I92</f>
        <v>4.1339999999999995</v>
      </c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4.25" customHeight="1" x14ac:dyDescent="0.25">
      <c r="A93" s="26">
        <v>45759</v>
      </c>
      <c r="B93" s="31" t="s">
        <v>14</v>
      </c>
      <c r="C93" s="28">
        <v>137.41</v>
      </c>
      <c r="D93" s="28">
        <v>753.39</v>
      </c>
      <c r="E93" s="32" t="s">
        <v>137</v>
      </c>
      <c r="F93" s="28">
        <v>1</v>
      </c>
      <c r="G93" s="34">
        <f>IF(Ads_Cost!$C93=0, 0, Ads_Cost!$D93/Ads_Cost!$C93)</f>
        <v>5.4827887344443633</v>
      </c>
      <c r="H93" s="33">
        <f>IF(Ads_Cost!$D93=0, 0, (Ads_Cost!$C93/Ads_Cost!$D93)*1)</f>
        <v>0.18238893534557135</v>
      </c>
      <c r="I93" s="28">
        <v>20</v>
      </c>
      <c r="J93" s="33">
        <f t="shared" si="3"/>
        <v>4.6157396722824829E-3</v>
      </c>
      <c r="K93" s="28">
        <v>4333</v>
      </c>
      <c r="L93" s="32">
        <f>Ads_Cost!$C93/Ads_Cost!$I93</f>
        <v>6.8704999999999998</v>
      </c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4.25" customHeight="1" x14ac:dyDescent="0.25">
      <c r="A94" s="26">
        <v>45760</v>
      </c>
      <c r="B94" s="31" t="s">
        <v>14</v>
      </c>
      <c r="C94" s="28">
        <v>331.31</v>
      </c>
      <c r="D94" s="28">
        <v>1331.42</v>
      </c>
      <c r="E94" s="32" t="s">
        <v>137</v>
      </c>
      <c r="F94" s="28">
        <v>2</v>
      </c>
      <c r="G94" s="34">
        <f>IF(Ads_Cost!$C94=0, 0, Ads_Cost!$D94/Ads_Cost!$C94)</f>
        <v>4.0186532250762124</v>
      </c>
      <c r="H94" s="33">
        <f>IF(Ads_Cost!$D94=0, 0, (Ads_Cost!$C94/Ads_Cost!$D94)*1)</f>
        <v>0.24883958480419402</v>
      </c>
      <c r="I94" s="28">
        <v>49</v>
      </c>
      <c r="J94" s="33">
        <f t="shared" si="3"/>
        <v>6.7820069204152251E-3</v>
      </c>
      <c r="K94" s="28">
        <v>7225</v>
      </c>
      <c r="L94" s="32">
        <f>Ads_Cost!$C94/Ads_Cost!$I94</f>
        <v>6.7614285714285716</v>
      </c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4.25" customHeight="1" x14ac:dyDescent="0.25">
      <c r="A95" s="26">
        <v>45761</v>
      </c>
      <c r="B95" s="31" t="s">
        <v>14</v>
      </c>
      <c r="C95" s="28">
        <v>259.01</v>
      </c>
      <c r="D95" s="28">
        <v>0</v>
      </c>
      <c r="E95" s="32" t="s">
        <v>137</v>
      </c>
      <c r="F95" s="28">
        <v>0</v>
      </c>
      <c r="G95" s="34">
        <f>IF(Ads_Cost!$C95=0, 0, Ads_Cost!$D95/Ads_Cost!$C95)</f>
        <v>0</v>
      </c>
      <c r="H95" s="33">
        <f>IF(Ads_Cost!$D95=0, 0, (Ads_Cost!$C95/Ads_Cost!$D95)*1)</f>
        <v>0</v>
      </c>
      <c r="I95" s="28">
        <v>43</v>
      </c>
      <c r="J95" s="33">
        <f t="shared" si="3"/>
        <v>6.8547744300972418E-3</v>
      </c>
      <c r="K95" s="28">
        <v>6273</v>
      </c>
      <c r="L95" s="32">
        <f>Ads_Cost!$C95/Ads_Cost!$I95</f>
        <v>6.0234883720930235</v>
      </c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4.25" customHeight="1" x14ac:dyDescent="0.25">
      <c r="A96" s="26">
        <v>45762</v>
      </c>
      <c r="B96" s="31" t="s">
        <v>14</v>
      </c>
      <c r="C96" s="28">
        <v>149.47999999999999</v>
      </c>
      <c r="D96" s="28">
        <v>950.47</v>
      </c>
      <c r="E96" s="32" t="s">
        <v>137</v>
      </c>
      <c r="F96" s="28">
        <v>2</v>
      </c>
      <c r="G96" s="34">
        <f>IF(Ads_Cost!$C96=0, 0, Ads_Cost!$D96/Ads_Cost!$C96)</f>
        <v>6.3585094995986093</v>
      </c>
      <c r="H96" s="33">
        <f>IF(Ads_Cost!$D96=0, 0, (Ads_Cost!$C96/Ads_Cost!$D96)*1)</f>
        <v>0.15726956137489873</v>
      </c>
      <c r="I96" s="28">
        <v>25</v>
      </c>
      <c r="J96" s="33">
        <f t="shared" si="3"/>
        <v>4.0006401024163868E-3</v>
      </c>
      <c r="K96" s="28">
        <v>6249</v>
      </c>
      <c r="L96" s="32">
        <f>Ads_Cost!$C96/Ads_Cost!$I96</f>
        <v>5.9791999999999996</v>
      </c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4.25" customHeight="1" x14ac:dyDescent="0.25">
      <c r="A97" s="26">
        <v>45763</v>
      </c>
      <c r="B97" s="31" t="s">
        <v>14</v>
      </c>
      <c r="C97" s="28">
        <v>276.47000000000003</v>
      </c>
      <c r="D97" s="28">
        <v>1502.85</v>
      </c>
      <c r="E97" s="32" t="s">
        <v>137</v>
      </c>
      <c r="F97" s="28">
        <v>2</v>
      </c>
      <c r="G97" s="34">
        <f>IF(Ads_Cost!$C97=0, 0, Ads_Cost!$D97/Ads_Cost!$C97)</f>
        <v>5.4358519911744487</v>
      </c>
      <c r="H97" s="33">
        <f>IF(Ads_Cost!$D97=0, 0, (Ads_Cost!$C97/Ads_Cost!$D97)*1)</f>
        <v>0.18396380210932564</v>
      </c>
      <c r="I97" s="28">
        <v>52</v>
      </c>
      <c r="J97" s="33">
        <f t="shared" si="3"/>
        <v>5.3191489361702126E-3</v>
      </c>
      <c r="K97" s="28">
        <v>9776</v>
      </c>
      <c r="L97" s="32">
        <f>Ads_Cost!$C97/Ads_Cost!$I97</f>
        <v>5.3167307692307695</v>
      </c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4.25" customHeight="1" x14ac:dyDescent="0.25">
      <c r="A98" s="26">
        <v>45764</v>
      </c>
      <c r="B98" s="31" t="s">
        <v>14</v>
      </c>
      <c r="C98" s="28"/>
      <c r="D98" s="28"/>
      <c r="E98" s="32" t="s">
        <v>137</v>
      </c>
      <c r="F98" s="28"/>
      <c r="G98" s="34">
        <f>IF(Ads_Cost!$C98=0, 0, Ads_Cost!$D98/Ads_Cost!$C98)</f>
        <v>0</v>
      </c>
      <c r="H98" s="33">
        <f>IF(Ads_Cost!$D98=0, 0, (Ads_Cost!$C98/Ads_Cost!$D98)*1)</f>
        <v>0</v>
      </c>
      <c r="I98" s="28"/>
      <c r="J98" s="33" t="e">
        <f t="shared" si="3"/>
        <v>#DIV/0!</v>
      </c>
      <c r="K98" s="28"/>
      <c r="L98" s="32" t="e">
        <f>Ads_Cost!$C98/Ads_Cost!$I98</f>
        <v>#DIV/0!</v>
      </c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4.25" customHeight="1" x14ac:dyDescent="0.25">
      <c r="A99" s="26">
        <v>45765</v>
      </c>
      <c r="B99" s="31" t="s">
        <v>14</v>
      </c>
      <c r="C99" s="28"/>
      <c r="D99" s="28"/>
      <c r="E99" s="32" t="s">
        <v>137</v>
      </c>
      <c r="F99" s="28"/>
      <c r="G99" s="34">
        <f>IF(Ads_Cost!$C99=0, 0, Ads_Cost!$D99/Ads_Cost!$C99)</f>
        <v>0</v>
      </c>
      <c r="H99" s="33">
        <f>IF(Ads_Cost!$D99=0, 0, (Ads_Cost!$C99/Ads_Cost!$D99)*1)</f>
        <v>0</v>
      </c>
      <c r="I99" s="28"/>
      <c r="J99" s="33" t="e">
        <f t="shared" si="3"/>
        <v>#DIV/0!</v>
      </c>
      <c r="K99" s="28"/>
      <c r="L99" s="32" t="e">
        <f>Ads_Cost!$C99/Ads_Cost!$I99</f>
        <v>#DIV/0!</v>
      </c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4.25" customHeight="1" x14ac:dyDescent="0.25">
      <c r="A100" s="26">
        <v>45766</v>
      </c>
      <c r="B100" s="31" t="s">
        <v>14</v>
      </c>
      <c r="C100" s="28"/>
      <c r="D100" s="28"/>
      <c r="E100" s="32" t="s">
        <v>137</v>
      </c>
      <c r="F100" s="28"/>
      <c r="G100" s="34">
        <f>IF(Ads_Cost!$C100=0, 0, Ads_Cost!$D100/Ads_Cost!$C100)</f>
        <v>0</v>
      </c>
      <c r="H100" s="33">
        <f>IF(Ads_Cost!$D100=0, 0, (Ads_Cost!$C100/Ads_Cost!$D100)*1)</f>
        <v>0</v>
      </c>
      <c r="I100" s="28"/>
      <c r="J100" s="33" t="e">
        <f t="shared" si="3"/>
        <v>#DIV/0!</v>
      </c>
      <c r="K100" s="28"/>
      <c r="L100" s="32" t="e">
        <f>Ads_Cost!$C100/Ads_Cost!$I100</f>
        <v>#DIV/0!</v>
      </c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4.25" customHeight="1" x14ac:dyDescent="0.25">
      <c r="A101" s="26">
        <v>45767</v>
      </c>
      <c r="B101" s="31" t="s">
        <v>14</v>
      </c>
      <c r="C101" s="28"/>
      <c r="D101" s="28"/>
      <c r="E101" s="32" t="s">
        <v>137</v>
      </c>
      <c r="F101" s="28"/>
      <c r="G101" s="34">
        <f>IF(Ads_Cost!$C101=0, 0, Ads_Cost!$D101/Ads_Cost!$C101)</f>
        <v>0</v>
      </c>
      <c r="H101" s="33">
        <f>IF(Ads_Cost!$D101=0, 0, (Ads_Cost!$C101/Ads_Cost!$D101)*1)</f>
        <v>0</v>
      </c>
      <c r="I101" s="28"/>
      <c r="J101" s="33" t="e">
        <f t="shared" si="3"/>
        <v>#DIV/0!</v>
      </c>
      <c r="K101" s="28"/>
      <c r="L101" s="32" t="e">
        <f>Ads_Cost!$C101/Ads_Cost!$I101</f>
        <v>#DIV/0!</v>
      </c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4.25" customHeight="1" x14ac:dyDescent="0.25">
      <c r="A102" s="26">
        <v>45768</v>
      </c>
      <c r="B102" s="31" t="s">
        <v>14</v>
      </c>
      <c r="C102" s="28"/>
      <c r="D102" s="28"/>
      <c r="E102" s="32" t="s">
        <v>137</v>
      </c>
      <c r="F102" s="28"/>
      <c r="G102" s="34">
        <f>IF(Ads_Cost!$C102=0, 0, Ads_Cost!$D102/Ads_Cost!$C102)</f>
        <v>0</v>
      </c>
      <c r="H102" s="33">
        <f>IF(Ads_Cost!$D102=0, 0, (Ads_Cost!$C102/Ads_Cost!$D102)*1)</f>
        <v>0</v>
      </c>
      <c r="I102" s="28"/>
      <c r="J102" s="33" t="e">
        <f t="shared" si="3"/>
        <v>#DIV/0!</v>
      </c>
      <c r="K102" s="28"/>
      <c r="L102" s="32" t="e">
        <f>Ads_Cost!$C102/Ads_Cost!$I102</f>
        <v>#DIV/0!</v>
      </c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4.25" customHeight="1" x14ac:dyDescent="0.25">
      <c r="A103" s="26">
        <v>45769</v>
      </c>
      <c r="B103" s="31" t="s">
        <v>14</v>
      </c>
      <c r="C103" s="28"/>
      <c r="D103" s="28"/>
      <c r="E103" s="32" t="s">
        <v>137</v>
      </c>
      <c r="F103" s="28"/>
      <c r="G103" s="34">
        <f>IF(Ads_Cost!$C103=0, 0, Ads_Cost!$D103/Ads_Cost!$C103)</f>
        <v>0</v>
      </c>
      <c r="H103" s="33">
        <f>IF(Ads_Cost!$D103=0, 0, (Ads_Cost!$C103/Ads_Cost!$D103)*1)</f>
        <v>0</v>
      </c>
      <c r="I103" s="28"/>
      <c r="J103" s="28"/>
      <c r="K103" s="28"/>
      <c r="L103" s="32" t="e">
        <f>Ads_Cost!$C103/Ads_Cost!$I103</f>
        <v>#DIV/0!</v>
      </c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4.25" customHeight="1" x14ac:dyDescent="0.25">
      <c r="A104" s="26">
        <v>45770</v>
      </c>
      <c r="B104" s="27"/>
      <c r="C104" s="28"/>
      <c r="D104" s="28"/>
      <c r="E104" s="29"/>
      <c r="F104" s="28"/>
      <c r="G104" s="28"/>
      <c r="H104" s="37"/>
      <c r="I104" s="28"/>
      <c r="J104" s="28"/>
      <c r="K104" s="28"/>
      <c r="L104" s="29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4.25" customHeight="1" x14ac:dyDescent="0.25">
      <c r="A105" s="26">
        <v>45771</v>
      </c>
      <c r="B105" s="27"/>
      <c r="C105" s="28"/>
      <c r="D105" s="28"/>
      <c r="E105" s="29"/>
      <c r="F105" s="28"/>
      <c r="G105" s="28"/>
      <c r="H105" s="37"/>
      <c r="I105" s="28"/>
      <c r="J105" s="28"/>
      <c r="K105" s="28"/>
      <c r="L105" s="29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4.25" customHeight="1" x14ac:dyDescent="0.25">
      <c r="A106" s="26">
        <v>45772</v>
      </c>
      <c r="B106" s="27"/>
      <c r="C106" s="28"/>
      <c r="D106" s="28"/>
      <c r="E106" s="29"/>
      <c r="F106" s="28"/>
      <c r="G106" s="28"/>
      <c r="H106" s="37"/>
      <c r="I106" s="28"/>
      <c r="J106" s="28"/>
      <c r="K106" s="28"/>
      <c r="L106" s="29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4.25" customHeight="1" x14ac:dyDescent="0.25">
      <c r="A107" s="26">
        <v>45773</v>
      </c>
      <c r="B107" s="27"/>
      <c r="C107" s="28"/>
      <c r="D107" s="28"/>
      <c r="E107" s="29"/>
      <c r="F107" s="28"/>
      <c r="G107" s="28"/>
      <c r="H107" s="37"/>
      <c r="I107" s="28"/>
      <c r="J107" s="28"/>
      <c r="K107" s="28"/>
      <c r="L107" s="29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4.25" customHeight="1" x14ac:dyDescent="0.25">
      <c r="A108" s="26">
        <v>45774</v>
      </c>
      <c r="B108" s="27"/>
      <c r="C108" s="28"/>
      <c r="D108" s="28"/>
      <c r="E108" s="29"/>
      <c r="F108" s="28"/>
      <c r="G108" s="28"/>
      <c r="H108" s="37"/>
      <c r="I108" s="28"/>
      <c r="J108" s="28"/>
      <c r="K108" s="28"/>
      <c r="L108" s="29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4.25" customHeight="1" x14ac:dyDescent="0.25">
      <c r="A109" s="26">
        <v>45775</v>
      </c>
      <c r="B109" s="27"/>
      <c r="C109" s="28"/>
      <c r="D109" s="28"/>
      <c r="E109" s="29"/>
      <c r="F109" s="28"/>
      <c r="G109" s="28"/>
      <c r="H109" s="37"/>
      <c r="I109" s="28"/>
      <c r="J109" s="28"/>
      <c r="K109" s="28"/>
      <c r="L109" s="29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4.25" customHeight="1" x14ac:dyDescent="0.25">
      <c r="A110" s="26">
        <v>45776</v>
      </c>
      <c r="B110" s="27"/>
      <c r="C110" s="28"/>
      <c r="D110" s="28"/>
      <c r="E110" s="29"/>
      <c r="F110" s="28"/>
      <c r="G110" s="28"/>
      <c r="H110" s="37"/>
      <c r="I110" s="28"/>
      <c r="J110" s="28"/>
      <c r="K110" s="28"/>
      <c r="L110" s="29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4.25" customHeight="1" x14ac:dyDescent="0.25">
      <c r="A111" s="26">
        <v>45777</v>
      </c>
      <c r="B111" s="27"/>
      <c r="C111" s="28"/>
      <c r="D111" s="28"/>
      <c r="E111" s="29"/>
      <c r="F111" s="28"/>
      <c r="G111" s="28"/>
      <c r="H111" s="37"/>
      <c r="I111" s="28"/>
      <c r="J111" s="28"/>
      <c r="K111" s="28"/>
      <c r="L111" s="29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4.25" customHeight="1" x14ac:dyDescent="0.25">
      <c r="A112" s="26">
        <v>45778</v>
      </c>
      <c r="B112" s="27"/>
      <c r="C112" s="28"/>
      <c r="D112" s="28"/>
      <c r="E112" s="29"/>
      <c r="F112" s="28"/>
      <c r="G112" s="28"/>
      <c r="H112" s="37"/>
      <c r="I112" s="28"/>
      <c r="J112" s="28"/>
      <c r="K112" s="28"/>
      <c r="L112" s="29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4.25" customHeight="1" x14ac:dyDescent="0.25">
      <c r="A113" s="26">
        <v>45779</v>
      </c>
      <c r="B113" s="27"/>
      <c r="C113" s="28"/>
      <c r="D113" s="28"/>
      <c r="E113" s="29"/>
      <c r="F113" s="28"/>
      <c r="G113" s="28"/>
      <c r="H113" s="37"/>
      <c r="I113" s="28"/>
      <c r="J113" s="28"/>
      <c r="K113" s="28"/>
      <c r="L113" s="29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4.25" customHeight="1" x14ac:dyDescent="0.25">
      <c r="A114" s="26">
        <v>45780</v>
      </c>
      <c r="B114" s="27"/>
      <c r="C114" s="28"/>
      <c r="D114" s="28"/>
      <c r="E114" s="29"/>
      <c r="F114" s="28"/>
      <c r="G114" s="28"/>
      <c r="H114" s="37"/>
      <c r="I114" s="28"/>
      <c r="J114" s="28"/>
      <c r="K114" s="28"/>
      <c r="L114" s="29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4.25" customHeight="1" x14ac:dyDescent="0.25">
      <c r="A115" s="26">
        <v>45781</v>
      </c>
      <c r="B115" s="27"/>
      <c r="C115" s="28"/>
      <c r="D115" s="28"/>
      <c r="E115" s="29"/>
      <c r="F115" s="28"/>
      <c r="G115" s="28"/>
      <c r="H115" s="37"/>
      <c r="I115" s="28"/>
      <c r="J115" s="28"/>
      <c r="K115" s="28"/>
      <c r="L115" s="29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4.25" customHeight="1" x14ac:dyDescent="0.25">
      <c r="A116" s="26">
        <v>45782</v>
      </c>
      <c r="B116" s="27"/>
      <c r="C116" s="28"/>
      <c r="D116" s="28"/>
      <c r="E116" s="29"/>
      <c r="F116" s="28"/>
      <c r="G116" s="28"/>
      <c r="H116" s="37"/>
      <c r="I116" s="28"/>
      <c r="J116" s="28"/>
      <c r="K116" s="28"/>
      <c r="L116" s="29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4.25" customHeight="1" x14ac:dyDescent="0.25">
      <c r="A117" s="26">
        <v>45783</v>
      </c>
      <c r="B117" s="27"/>
      <c r="C117" s="28"/>
      <c r="D117" s="28"/>
      <c r="E117" s="29"/>
      <c r="F117" s="28"/>
      <c r="G117" s="28"/>
      <c r="H117" s="37"/>
      <c r="I117" s="28"/>
      <c r="J117" s="28"/>
      <c r="K117" s="28"/>
      <c r="L117" s="29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4.25" customHeight="1" x14ac:dyDescent="0.25">
      <c r="A118" s="26">
        <v>45784</v>
      </c>
      <c r="B118" s="27"/>
      <c r="C118" s="28"/>
      <c r="D118" s="28"/>
      <c r="E118" s="29"/>
      <c r="F118" s="28"/>
      <c r="G118" s="28"/>
      <c r="H118" s="37"/>
      <c r="I118" s="28"/>
      <c r="J118" s="28"/>
      <c r="K118" s="28"/>
      <c r="L118" s="29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4.25" customHeight="1" x14ac:dyDescent="0.25">
      <c r="A119" s="26">
        <v>45785</v>
      </c>
      <c r="B119" s="27"/>
      <c r="C119" s="28"/>
      <c r="D119" s="28"/>
      <c r="E119" s="29"/>
      <c r="F119" s="28"/>
      <c r="G119" s="28"/>
      <c r="H119" s="37"/>
      <c r="I119" s="28"/>
      <c r="J119" s="28"/>
      <c r="K119" s="28"/>
      <c r="L119" s="29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4.25" customHeight="1" x14ac:dyDescent="0.25">
      <c r="A120" s="26">
        <v>45786</v>
      </c>
      <c r="B120" s="27"/>
      <c r="C120" s="28"/>
      <c r="D120" s="28"/>
      <c r="E120" s="29"/>
      <c r="F120" s="28"/>
      <c r="G120" s="28"/>
      <c r="H120" s="37"/>
      <c r="I120" s="28"/>
      <c r="J120" s="28"/>
      <c r="K120" s="28"/>
      <c r="L120" s="29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4.25" customHeight="1" x14ac:dyDescent="0.25">
      <c r="A121" s="26">
        <v>45787</v>
      </c>
      <c r="B121" s="27"/>
      <c r="C121" s="28"/>
      <c r="D121" s="28"/>
      <c r="E121" s="29"/>
      <c r="F121" s="28"/>
      <c r="G121" s="28"/>
      <c r="H121" s="37"/>
      <c r="I121" s="28"/>
      <c r="J121" s="28"/>
      <c r="K121" s="28"/>
      <c r="L121" s="29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4.25" customHeight="1" x14ac:dyDescent="0.25">
      <c r="A122" s="26">
        <v>45788</v>
      </c>
      <c r="B122" s="27"/>
      <c r="C122" s="28"/>
      <c r="D122" s="28"/>
      <c r="E122" s="29"/>
      <c r="F122" s="28"/>
      <c r="G122" s="28"/>
      <c r="H122" s="37"/>
      <c r="I122" s="28"/>
      <c r="J122" s="28"/>
      <c r="K122" s="28"/>
      <c r="L122" s="29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4.25" customHeight="1" x14ac:dyDescent="0.25">
      <c r="A123" s="26">
        <v>45789</v>
      </c>
      <c r="B123" s="27"/>
      <c r="C123" s="28"/>
      <c r="D123" s="28"/>
      <c r="E123" s="29"/>
      <c r="F123" s="28"/>
      <c r="G123" s="28"/>
      <c r="H123" s="37"/>
      <c r="I123" s="28"/>
      <c r="J123" s="28"/>
      <c r="K123" s="28"/>
      <c r="L123" s="29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4.25" customHeight="1" x14ac:dyDescent="0.25">
      <c r="A124" s="26">
        <v>45790</v>
      </c>
      <c r="B124" s="27"/>
      <c r="C124" s="28"/>
      <c r="D124" s="28"/>
      <c r="E124" s="29"/>
      <c r="F124" s="28"/>
      <c r="G124" s="28"/>
      <c r="H124" s="37"/>
      <c r="I124" s="28"/>
      <c r="J124" s="28"/>
      <c r="K124" s="28"/>
      <c r="L124" s="29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4.25" customHeight="1" x14ac:dyDescent="0.25">
      <c r="A125" s="26">
        <v>45791</v>
      </c>
      <c r="B125" s="27"/>
      <c r="C125" s="28"/>
      <c r="D125" s="28"/>
      <c r="E125" s="29"/>
      <c r="F125" s="28"/>
      <c r="G125" s="28"/>
      <c r="H125" s="37"/>
      <c r="I125" s="28"/>
      <c r="J125" s="28"/>
      <c r="K125" s="28"/>
      <c r="L125" s="29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4.25" customHeight="1" x14ac:dyDescent="0.25">
      <c r="A126" s="26">
        <v>45792</v>
      </c>
      <c r="B126" s="27"/>
      <c r="C126" s="28"/>
      <c r="D126" s="28"/>
      <c r="E126" s="29"/>
      <c r="F126" s="28"/>
      <c r="G126" s="28"/>
      <c r="H126" s="37"/>
      <c r="I126" s="28"/>
      <c r="J126" s="28"/>
      <c r="K126" s="28"/>
      <c r="L126" s="29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4.25" customHeight="1" x14ac:dyDescent="0.25">
      <c r="A127" s="26">
        <v>45793</v>
      </c>
      <c r="B127" s="27"/>
      <c r="C127" s="28"/>
      <c r="D127" s="28"/>
      <c r="E127" s="29"/>
      <c r="F127" s="28"/>
      <c r="G127" s="28"/>
      <c r="H127" s="37"/>
      <c r="I127" s="28"/>
      <c r="J127" s="28"/>
      <c r="K127" s="28"/>
      <c r="L127" s="29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4.25" customHeight="1" x14ac:dyDescent="0.25">
      <c r="A128" s="26">
        <v>45794</v>
      </c>
      <c r="B128" s="27"/>
      <c r="C128" s="28"/>
      <c r="D128" s="28"/>
      <c r="E128" s="29"/>
      <c r="F128" s="28"/>
      <c r="G128" s="28"/>
      <c r="H128" s="37"/>
      <c r="I128" s="28"/>
      <c r="J128" s="28"/>
      <c r="K128" s="28"/>
      <c r="L128" s="29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4.25" customHeight="1" x14ac:dyDescent="0.25">
      <c r="A129" s="26">
        <v>45795</v>
      </c>
      <c r="B129" s="27"/>
      <c r="C129" s="28"/>
      <c r="D129" s="28"/>
      <c r="E129" s="29"/>
      <c r="F129" s="28"/>
      <c r="G129" s="28"/>
      <c r="H129" s="37"/>
      <c r="I129" s="28"/>
      <c r="J129" s="28"/>
      <c r="K129" s="28"/>
      <c r="L129" s="29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4.25" customHeight="1" x14ac:dyDescent="0.25">
      <c r="A130" s="26">
        <v>45796</v>
      </c>
      <c r="B130" s="27"/>
      <c r="C130" s="28"/>
      <c r="D130" s="28"/>
      <c r="E130" s="29"/>
      <c r="F130" s="28"/>
      <c r="G130" s="28"/>
      <c r="H130" s="37"/>
      <c r="I130" s="28"/>
      <c r="J130" s="28"/>
      <c r="K130" s="28"/>
      <c r="L130" s="29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4.25" customHeight="1" x14ac:dyDescent="0.25">
      <c r="A131" s="36"/>
      <c r="B131" s="27"/>
      <c r="C131" s="28"/>
      <c r="D131" s="28"/>
      <c r="E131" s="29"/>
      <c r="F131" s="28"/>
      <c r="G131" s="28"/>
      <c r="H131" s="37"/>
      <c r="I131" s="28"/>
      <c r="J131" s="28"/>
      <c r="K131" s="28"/>
      <c r="L131" s="29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4.25" customHeight="1" x14ac:dyDescent="0.25">
      <c r="A132" s="36"/>
      <c r="B132" s="27"/>
      <c r="C132" s="28"/>
      <c r="D132" s="28"/>
      <c r="E132" s="29"/>
      <c r="F132" s="28"/>
      <c r="G132" s="28"/>
      <c r="H132" s="37"/>
      <c r="I132" s="28"/>
      <c r="J132" s="28"/>
      <c r="K132" s="28"/>
      <c r="L132" s="29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4.25" customHeight="1" x14ac:dyDescent="0.25">
      <c r="A133" s="36"/>
      <c r="B133" s="27"/>
      <c r="C133" s="28"/>
      <c r="D133" s="28"/>
      <c r="E133" s="29"/>
      <c r="F133" s="28"/>
      <c r="G133" s="28"/>
      <c r="H133" s="37"/>
      <c r="I133" s="28"/>
      <c r="J133" s="28"/>
      <c r="K133" s="28"/>
      <c r="L133" s="29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4.25" customHeight="1" x14ac:dyDescent="0.25">
      <c r="A134" s="36"/>
      <c r="B134" s="27"/>
      <c r="C134" s="28"/>
      <c r="D134" s="28"/>
      <c r="E134" s="29"/>
      <c r="F134" s="28"/>
      <c r="G134" s="28"/>
      <c r="H134" s="37"/>
      <c r="I134" s="28"/>
      <c r="J134" s="28"/>
      <c r="K134" s="28"/>
      <c r="L134" s="29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4.25" customHeight="1" x14ac:dyDescent="0.25">
      <c r="A135" s="36"/>
      <c r="B135" s="27"/>
      <c r="C135" s="28"/>
      <c r="D135" s="28"/>
      <c r="E135" s="29"/>
      <c r="F135" s="28"/>
      <c r="G135" s="28"/>
      <c r="H135" s="37"/>
      <c r="I135" s="28"/>
      <c r="J135" s="28"/>
      <c r="K135" s="28"/>
      <c r="L135" s="29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4.25" customHeight="1" x14ac:dyDescent="0.25">
      <c r="A136" s="36"/>
      <c r="B136" s="27"/>
      <c r="C136" s="28"/>
      <c r="D136" s="28"/>
      <c r="E136" s="29"/>
      <c r="F136" s="28"/>
      <c r="G136" s="28"/>
      <c r="H136" s="37"/>
      <c r="I136" s="28"/>
      <c r="J136" s="28"/>
      <c r="K136" s="28"/>
      <c r="L136" s="29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4.25" customHeight="1" x14ac:dyDescent="0.25">
      <c r="A137" s="36"/>
      <c r="B137" s="27"/>
      <c r="C137" s="28"/>
      <c r="D137" s="28"/>
      <c r="E137" s="29"/>
      <c r="F137" s="28"/>
      <c r="G137" s="28"/>
      <c r="H137" s="37"/>
      <c r="I137" s="28"/>
      <c r="J137" s="28"/>
      <c r="K137" s="28"/>
      <c r="L137" s="29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4.25" customHeight="1" x14ac:dyDescent="0.25">
      <c r="A138" s="36"/>
      <c r="B138" s="27"/>
      <c r="C138" s="28"/>
      <c r="D138" s="28"/>
      <c r="E138" s="29"/>
      <c r="F138" s="28"/>
      <c r="G138" s="28"/>
      <c r="H138" s="37"/>
      <c r="I138" s="28"/>
      <c r="J138" s="28"/>
      <c r="K138" s="28"/>
      <c r="L138" s="29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4.25" customHeight="1" x14ac:dyDescent="0.25">
      <c r="A139" s="36"/>
      <c r="B139" s="27"/>
      <c r="C139" s="28"/>
      <c r="D139" s="28"/>
      <c r="E139" s="29"/>
      <c r="F139" s="28"/>
      <c r="G139" s="28"/>
      <c r="H139" s="37"/>
      <c r="I139" s="28"/>
      <c r="J139" s="28"/>
      <c r="K139" s="28"/>
      <c r="L139" s="29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4.25" customHeight="1" x14ac:dyDescent="0.25">
      <c r="A140" s="36"/>
      <c r="B140" s="27"/>
      <c r="C140" s="28"/>
      <c r="D140" s="28"/>
      <c r="E140" s="29"/>
      <c r="F140" s="28"/>
      <c r="G140" s="28"/>
      <c r="H140" s="37"/>
      <c r="I140" s="28"/>
      <c r="J140" s="28"/>
      <c r="K140" s="28"/>
      <c r="L140" s="29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4.25" customHeight="1" x14ac:dyDescent="0.25">
      <c r="A141" s="36"/>
      <c r="B141" s="27"/>
      <c r="C141" s="28"/>
      <c r="D141" s="28"/>
      <c r="E141" s="29"/>
      <c r="F141" s="28"/>
      <c r="G141" s="28"/>
      <c r="H141" s="37"/>
      <c r="I141" s="28"/>
      <c r="J141" s="28"/>
      <c r="K141" s="28"/>
      <c r="L141" s="29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4.25" customHeight="1" x14ac:dyDescent="0.25">
      <c r="A142" s="36"/>
      <c r="B142" s="27"/>
      <c r="C142" s="28"/>
      <c r="D142" s="28"/>
      <c r="E142" s="29"/>
      <c r="F142" s="28"/>
      <c r="G142" s="28"/>
      <c r="H142" s="37"/>
      <c r="I142" s="28"/>
      <c r="J142" s="28"/>
      <c r="K142" s="28"/>
      <c r="L142" s="29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4.25" customHeight="1" x14ac:dyDescent="0.25">
      <c r="A143" s="36"/>
      <c r="B143" s="27"/>
      <c r="C143" s="28"/>
      <c r="D143" s="28"/>
      <c r="E143" s="29"/>
      <c r="F143" s="28"/>
      <c r="G143" s="28"/>
      <c r="H143" s="37"/>
      <c r="I143" s="28"/>
      <c r="J143" s="28"/>
      <c r="K143" s="28"/>
      <c r="L143" s="29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4.25" customHeight="1" x14ac:dyDescent="0.25">
      <c r="A144" s="36"/>
      <c r="B144" s="27"/>
      <c r="C144" s="28"/>
      <c r="D144" s="28"/>
      <c r="E144" s="29"/>
      <c r="F144" s="28"/>
      <c r="G144" s="28"/>
      <c r="H144" s="37"/>
      <c r="I144" s="28"/>
      <c r="J144" s="28"/>
      <c r="K144" s="28"/>
      <c r="L144" s="29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4.25" customHeight="1" x14ac:dyDescent="0.25">
      <c r="A145" s="36"/>
      <c r="B145" s="27"/>
      <c r="C145" s="28"/>
      <c r="D145" s="28"/>
      <c r="E145" s="29"/>
      <c r="F145" s="28"/>
      <c r="G145" s="28"/>
      <c r="H145" s="37"/>
      <c r="I145" s="28"/>
      <c r="J145" s="28"/>
      <c r="K145" s="28"/>
      <c r="L145" s="29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4.25" customHeight="1" x14ac:dyDescent="0.25">
      <c r="A146" s="36"/>
      <c r="B146" s="27"/>
      <c r="C146" s="28"/>
      <c r="D146" s="28"/>
      <c r="E146" s="29"/>
      <c r="F146" s="28"/>
      <c r="G146" s="28"/>
      <c r="H146" s="37"/>
      <c r="I146" s="28"/>
      <c r="J146" s="28"/>
      <c r="K146" s="28"/>
      <c r="L146" s="29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4.25" customHeight="1" x14ac:dyDescent="0.25">
      <c r="A147" s="36"/>
      <c r="B147" s="27"/>
      <c r="C147" s="28"/>
      <c r="D147" s="28"/>
      <c r="E147" s="29"/>
      <c r="F147" s="28"/>
      <c r="G147" s="28"/>
      <c r="H147" s="37"/>
      <c r="I147" s="28"/>
      <c r="J147" s="28"/>
      <c r="K147" s="28"/>
      <c r="L147" s="29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4.25" customHeight="1" x14ac:dyDescent="0.25">
      <c r="A148" s="36"/>
      <c r="B148" s="27"/>
      <c r="C148" s="28"/>
      <c r="D148" s="28"/>
      <c r="E148" s="29"/>
      <c r="F148" s="28"/>
      <c r="G148" s="28"/>
      <c r="H148" s="37"/>
      <c r="I148" s="28"/>
      <c r="J148" s="28"/>
      <c r="K148" s="28"/>
      <c r="L148" s="29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4.25" customHeight="1" x14ac:dyDescent="0.25">
      <c r="A149" s="36"/>
      <c r="B149" s="27"/>
      <c r="C149" s="28"/>
      <c r="D149" s="28"/>
      <c r="E149" s="29"/>
      <c r="F149" s="28"/>
      <c r="G149" s="28"/>
      <c r="H149" s="37"/>
      <c r="I149" s="28"/>
      <c r="J149" s="28"/>
      <c r="K149" s="28"/>
      <c r="L149" s="29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4.25" customHeight="1" x14ac:dyDescent="0.25">
      <c r="A150" s="36"/>
      <c r="B150" s="27"/>
      <c r="C150" s="28"/>
      <c r="D150" s="28"/>
      <c r="E150" s="29"/>
      <c r="F150" s="28"/>
      <c r="G150" s="28"/>
      <c r="H150" s="37"/>
      <c r="I150" s="28"/>
      <c r="J150" s="28"/>
      <c r="K150" s="28"/>
      <c r="L150" s="29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4.25" customHeight="1" x14ac:dyDescent="0.25">
      <c r="A151" s="36"/>
      <c r="B151" s="27"/>
      <c r="C151" s="28"/>
      <c r="D151" s="28"/>
      <c r="E151" s="29"/>
      <c r="F151" s="28"/>
      <c r="G151" s="28"/>
      <c r="H151" s="37"/>
      <c r="I151" s="28"/>
      <c r="J151" s="28"/>
      <c r="K151" s="28"/>
      <c r="L151" s="29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4.25" customHeight="1" x14ac:dyDescent="0.25">
      <c r="A152" s="36"/>
      <c r="B152" s="27"/>
      <c r="C152" s="28"/>
      <c r="D152" s="28"/>
      <c r="E152" s="29"/>
      <c r="F152" s="28"/>
      <c r="G152" s="28"/>
      <c r="H152" s="37"/>
      <c r="I152" s="28"/>
      <c r="J152" s="28"/>
      <c r="K152" s="28"/>
      <c r="L152" s="29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4.25" customHeight="1" x14ac:dyDescent="0.25">
      <c r="A153" s="36"/>
      <c r="B153" s="27"/>
      <c r="C153" s="28"/>
      <c r="D153" s="28"/>
      <c r="E153" s="29"/>
      <c r="F153" s="28"/>
      <c r="G153" s="28"/>
      <c r="H153" s="37"/>
      <c r="I153" s="28"/>
      <c r="J153" s="28"/>
      <c r="K153" s="28"/>
      <c r="L153" s="29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4.25" customHeight="1" x14ac:dyDescent="0.25">
      <c r="A154" s="36"/>
      <c r="B154" s="27"/>
      <c r="C154" s="28"/>
      <c r="D154" s="28"/>
      <c r="E154" s="29"/>
      <c r="F154" s="28"/>
      <c r="G154" s="28"/>
      <c r="H154" s="37"/>
      <c r="I154" s="28"/>
      <c r="J154" s="28"/>
      <c r="K154" s="28"/>
      <c r="L154" s="29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4.25" customHeight="1" x14ac:dyDescent="0.25">
      <c r="A155" s="36"/>
      <c r="B155" s="27"/>
      <c r="C155" s="28"/>
      <c r="D155" s="28"/>
      <c r="E155" s="29"/>
      <c r="F155" s="28"/>
      <c r="G155" s="28"/>
      <c r="H155" s="37"/>
      <c r="I155" s="28"/>
      <c r="J155" s="28"/>
      <c r="K155" s="28"/>
      <c r="L155" s="29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4.25" customHeight="1" x14ac:dyDescent="0.25">
      <c r="A156" s="36"/>
      <c r="B156" s="27"/>
      <c r="C156" s="28"/>
      <c r="D156" s="28"/>
      <c r="E156" s="29"/>
      <c r="F156" s="28"/>
      <c r="G156" s="28"/>
      <c r="H156" s="37"/>
      <c r="I156" s="28"/>
      <c r="J156" s="28"/>
      <c r="K156" s="28"/>
      <c r="L156" s="29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4.25" customHeight="1" x14ac:dyDescent="0.25">
      <c r="A157" s="36"/>
      <c r="B157" s="27"/>
      <c r="C157" s="28"/>
      <c r="D157" s="28"/>
      <c r="E157" s="29"/>
      <c r="F157" s="28"/>
      <c r="G157" s="28"/>
      <c r="H157" s="37"/>
      <c r="I157" s="28"/>
      <c r="J157" s="28"/>
      <c r="K157" s="28"/>
      <c r="L157" s="29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4.25" customHeight="1" x14ac:dyDescent="0.25">
      <c r="A158" s="36"/>
      <c r="B158" s="27"/>
      <c r="C158" s="28"/>
      <c r="D158" s="28"/>
      <c r="E158" s="29"/>
      <c r="F158" s="28"/>
      <c r="G158" s="28"/>
      <c r="H158" s="37"/>
      <c r="I158" s="28"/>
      <c r="J158" s="28"/>
      <c r="K158" s="28"/>
      <c r="L158" s="29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4.25" customHeight="1" x14ac:dyDescent="0.25">
      <c r="A159" s="36"/>
      <c r="B159" s="27"/>
      <c r="C159" s="28"/>
      <c r="D159" s="28"/>
      <c r="E159" s="29"/>
      <c r="F159" s="28"/>
      <c r="G159" s="28"/>
      <c r="H159" s="37"/>
      <c r="I159" s="28"/>
      <c r="J159" s="28"/>
      <c r="K159" s="28"/>
      <c r="L159" s="29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4.25" customHeight="1" x14ac:dyDescent="0.25">
      <c r="A160" s="36"/>
      <c r="B160" s="27"/>
      <c r="C160" s="28"/>
      <c r="D160" s="28"/>
      <c r="E160" s="29"/>
      <c r="F160" s="28"/>
      <c r="G160" s="28"/>
      <c r="H160" s="37"/>
      <c r="I160" s="28"/>
      <c r="J160" s="28"/>
      <c r="K160" s="28"/>
      <c r="L160" s="29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4.25" customHeight="1" x14ac:dyDescent="0.25">
      <c r="A161" s="36"/>
      <c r="B161" s="27"/>
      <c r="C161" s="28"/>
      <c r="D161" s="28"/>
      <c r="E161" s="29"/>
      <c r="F161" s="28"/>
      <c r="G161" s="28"/>
      <c r="H161" s="37"/>
      <c r="I161" s="28"/>
      <c r="J161" s="28"/>
      <c r="K161" s="28"/>
      <c r="L161" s="29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4.25" customHeight="1" x14ac:dyDescent="0.25">
      <c r="A162" s="36"/>
      <c r="B162" s="27"/>
      <c r="C162" s="28"/>
      <c r="D162" s="28"/>
      <c r="E162" s="29"/>
      <c r="F162" s="28"/>
      <c r="G162" s="28"/>
      <c r="H162" s="37"/>
      <c r="I162" s="28"/>
      <c r="J162" s="28"/>
      <c r="K162" s="28"/>
      <c r="L162" s="29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4.25" customHeight="1" x14ac:dyDescent="0.25">
      <c r="A163" s="36"/>
      <c r="B163" s="27"/>
      <c r="C163" s="28"/>
      <c r="D163" s="28"/>
      <c r="E163" s="29"/>
      <c r="F163" s="28"/>
      <c r="G163" s="28"/>
      <c r="H163" s="37"/>
      <c r="I163" s="28"/>
      <c r="J163" s="28"/>
      <c r="K163" s="28"/>
      <c r="L163" s="29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4.25" customHeight="1" x14ac:dyDescent="0.25">
      <c r="A164" s="36"/>
      <c r="B164" s="27"/>
      <c r="C164" s="28"/>
      <c r="D164" s="28"/>
      <c r="E164" s="29"/>
      <c r="F164" s="28"/>
      <c r="G164" s="28"/>
      <c r="H164" s="37"/>
      <c r="I164" s="28"/>
      <c r="J164" s="28"/>
      <c r="K164" s="28"/>
      <c r="L164" s="29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4.25" customHeight="1" x14ac:dyDescent="0.25">
      <c r="A165" s="36"/>
      <c r="B165" s="27"/>
      <c r="C165" s="28"/>
      <c r="D165" s="28"/>
      <c r="E165" s="29"/>
      <c r="F165" s="28"/>
      <c r="G165" s="28"/>
      <c r="H165" s="37"/>
      <c r="I165" s="28"/>
      <c r="J165" s="28"/>
      <c r="K165" s="28"/>
      <c r="L165" s="29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4.25" customHeight="1" x14ac:dyDescent="0.25">
      <c r="A166" s="36"/>
      <c r="B166" s="27"/>
      <c r="C166" s="28"/>
      <c r="D166" s="28"/>
      <c r="E166" s="29"/>
      <c r="F166" s="28"/>
      <c r="G166" s="28"/>
      <c r="H166" s="37"/>
      <c r="I166" s="28"/>
      <c r="J166" s="28"/>
      <c r="K166" s="28"/>
      <c r="L166" s="29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4.25" customHeight="1" x14ac:dyDescent="0.25">
      <c r="A167" s="36"/>
      <c r="B167" s="27"/>
      <c r="C167" s="28"/>
      <c r="D167" s="28"/>
      <c r="E167" s="29"/>
      <c r="F167" s="28"/>
      <c r="G167" s="28"/>
      <c r="H167" s="37"/>
      <c r="I167" s="28"/>
      <c r="J167" s="28"/>
      <c r="K167" s="28"/>
      <c r="L167" s="29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4.25" customHeight="1" x14ac:dyDescent="0.25">
      <c r="A168" s="36"/>
      <c r="B168" s="27"/>
      <c r="C168" s="28"/>
      <c r="D168" s="28"/>
      <c r="E168" s="29"/>
      <c r="F168" s="28"/>
      <c r="G168" s="28"/>
      <c r="H168" s="37"/>
      <c r="I168" s="28"/>
      <c r="J168" s="28"/>
      <c r="K168" s="28"/>
      <c r="L168" s="29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4.25" customHeight="1" x14ac:dyDescent="0.25">
      <c r="A169" s="36"/>
      <c r="B169" s="27"/>
      <c r="C169" s="28"/>
      <c r="D169" s="28"/>
      <c r="E169" s="29"/>
      <c r="F169" s="28"/>
      <c r="G169" s="28"/>
      <c r="H169" s="37"/>
      <c r="I169" s="28"/>
      <c r="J169" s="28"/>
      <c r="K169" s="28"/>
      <c r="L169" s="29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4.25" customHeight="1" x14ac:dyDescent="0.25">
      <c r="A170" s="36"/>
      <c r="B170" s="27"/>
      <c r="C170" s="28"/>
      <c r="D170" s="28"/>
      <c r="E170" s="29"/>
      <c r="F170" s="28"/>
      <c r="G170" s="28"/>
      <c r="H170" s="37"/>
      <c r="I170" s="28"/>
      <c r="J170" s="28"/>
      <c r="K170" s="28"/>
      <c r="L170" s="29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4.25" customHeight="1" x14ac:dyDescent="0.25">
      <c r="A171" s="36"/>
      <c r="B171" s="27"/>
      <c r="C171" s="28"/>
      <c r="D171" s="28"/>
      <c r="E171" s="29"/>
      <c r="F171" s="28"/>
      <c r="G171" s="28"/>
      <c r="H171" s="37"/>
      <c r="I171" s="28"/>
      <c r="J171" s="28"/>
      <c r="K171" s="28"/>
      <c r="L171" s="29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4.25" customHeight="1" x14ac:dyDescent="0.25">
      <c r="A172" s="36"/>
      <c r="B172" s="27"/>
      <c r="C172" s="28"/>
      <c r="D172" s="28"/>
      <c r="E172" s="29"/>
      <c r="F172" s="28"/>
      <c r="G172" s="28"/>
      <c r="H172" s="37"/>
      <c r="I172" s="28"/>
      <c r="J172" s="28"/>
      <c r="K172" s="28"/>
      <c r="L172" s="29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4.25" customHeight="1" x14ac:dyDescent="0.25">
      <c r="A173" s="36"/>
      <c r="B173" s="27"/>
      <c r="C173" s="28"/>
      <c r="D173" s="28"/>
      <c r="E173" s="29"/>
      <c r="F173" s="28"/>
      <c r="G173" s="28"/>
      <c r="H173" s="37"/>
      <c r="I173" s="28"/>
      <c r="J173" s="28"/>
      <c r="K173" s="28"/>
      <c r="L173" s="29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4.25" customHeight="1" x14ac:dyDescent="0.25">
      <c r="A174" s="36"/>
      <c r="B174" s="27"/>
      <c r="C174" s="28"/>
      <c r="D174" s="28"/>
      <c r="E174" s="29"/>
      <c r="F174" s="28"/>
      <c r="G174" s="28"/>
      <c r="H174" s="37"/>
      <c r="I174" s="28"/>
      <c r="J174" s="28"/>
      <c r="K174" s="28"/>
      <c r="L174" s="29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4.25" customHeight="1" x14ac:dyDescent="0.25">
      <c r="A175" s="36"/>
      <c r="B175" s="27"/>
      <c r="C175" s="28"/>
      <c r="D175" s="28"/>
      <c r="E175" s="29"/>
      <c r="F175" s="28"/>
      <c r="G175" s="28"/>
      <c r="H175" s="37"/>
      <c r="I175" s="28"/>
      <c r="J175" s="28"/>
      <c r="K175" s="28"/>
      <c r="L175" s="29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4.25" customHeight="1" x14ac:dyDescent="0.25">
      <c r="A176" s="36"/>
      <c r="B176" s="27"/>
      <c r="C176" s="28"/>
      <c r="D176" s="28"/>
      <c r="E176" s="29"/>
      <c r="F176" s="28"/>
      <c r="G176" s="28"/>
      <c r="H176" s="37"/>
      <c r="I176" s="28"/>
      <c r="J176" s="28"/>
      <c r="K176" s="28"/>
      <c r="L176" s="29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4.25" customHeight="1" x14ac:dyDescent="0.25">
      <c r="A177" s="36"/>
      <c r="B177" s="27"/>
      <c r="C177" s="28"/>
      <c r="D177" s="28"/>
      <c r="E177" s="29"/>
      <c r="F177" s="28"/>
      <c r="G177" s="28"/>
      <c r="H177" s="37"/>
      <c r="I177" s="28"/>
      <c r="J177" s="28"/>
      <c r="K177" s="28"/>
      <c r="L177" s="29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4.25" customHeight="1" x14ac:dyDescent="0.25">
      <c r="A178" s="36"/>
      <c r="B178" s="27"/>
      <c r="C178" s="28"/>
      <c r="D178" s="28"/>
      <c r="E178" s="29"/>
      <c r="F178" s="28"/>
      <c r="G178" s="28"/>
      <c r="H178" s="37"/>
      <c r="I178" s="28"/>
      <c r="J178" s="28"/>
      <c r="K178" s="28"/>
      <c r="L178" s="29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4.25" customHeight="1" x14ac:dyDescent="0.25">
      <c r="A179" s="36"/>
      <c r="B179" s="27"/>
      <c r="C179" s="28"/>
      <c r="D179" s="28"/>
      <c r="E179" s="29"/>
      <c r="F179" s="28"/>
      <c r="G179" s="28"/>
      <c r="H179" s="37"/>
      <c r="I179" s="28"/>
      <c r="J179" s="28"/>
      <c r="K179" s="28"/>
      <c r="L179" s="29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4.25" customHeight="1" x14ac:dyDescent="0.25">
      <c r="A180" s="36"/>
      <c r="B180" s="27"/>
      <c r="C180" s="28"/>
      <c r="D180" s="28"/>
      <c r="E180" s="29"/>
      <c r="F180" s="28"/>
      <c r="G180" s="28"/>
      <c r="H180" s="37"/>
      <c r="I180" s="28"/>
      <c r="J180" s="28"/>
      <c r="K180" s="28"/>
      <c r="L180" s="29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4.25" customHeight="1" x14ac:dyDescent="0.25">
      <c r="A181" s="36"/>
      <c r="B181" s="27"/>
      <c r="C181" s="28"/>
      <c r="D181" s="28"/>
      <c r="E181" s="29"/>
      <c r="F181" s="28"/>
      <c r="G181" s="28"/>
      <c r="H181" s="37"/>
      <c r="I181" s="28"/>
      <c r="J181" s="28"/>
      <c r="K181" s="28"/>
      <c r="L181" s="29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4.25" customHeight="1" x14ac:dyDescent="0.25">
      <c r="A182" s="36"/>
      <c r="B182" s="27"/>
      <c r="C182" s="28"/>
      <c r="D182" s="28"/>
      <c r="E182" s="29"/>
      <c r="F182" s="28"/>
      <c r="G182" s="28"/>
      <c r="H182" s="37"/>
      <c r="I182" s="28"/>
      <c r="J182" s="28"/>
      <c r="K182" s="28"/>
      <c r="L182" s="29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4.25" customHeight="1" x14ac:dyDescent="0.25">
      <c r="A183" s="36"/>
      <c r="B183" s="27"/>
      <c r="C183" s="28"/>
      <c r="D183" s="28"/>
      <c r="E183" s="29"/>
      <c r="F183" s="28"/>
      <c r="G183" s="28"/>
      <c r="H183" s="37"/>
      <c r="I183" s="28"/>
      <c r="J183" s="28"/>
      <c r="K183" s="28"/>
      <c r="L183" s="29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4.25" customHeight="1" x14ac:dyDescent="0.25">
      <c r="A184" s="36"/>
      <c r="B184" s="27"/>
      <c r="C184" s="28"/>
      <c r="D184" s="28"/>
      <c r="E184" s="29"/>
      <c r="F184" s="28"/>
      <c r="G184" s="28"/>
      <c r="H184" s="37"/>
      <c r="I184" s="28"/>
      <c r="J184" s="28"/>
      <c r="K184" s="28"/>
      <c r="L184" s="29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4.25" customHeight="1" x14ac:dyDescent="0.25">
      <c r="A185" s="36"/>
      <c r="B185" s="27"/>
      <c r="C185" s="28"/>
      <c r="D185" s="28"/>
      <c r="E185" s="29"/>
      <c r="F185" s="28"/>
      <c r="G185" s="28"/>
      <c r="H185" s="37"/>
      <c r="I185" s="28"/>
      <c r="J185" s="28"/>
      <c r="K185" s="28"/>
      <c r="L185" s="29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4.25" customHeight="1" x14ac:dyDescent="0.25">
      <c r="A186" s="36"/>
      <c r="B186" s="27"/>
      <c r="C186" s="28"/>
      <c r="D186" s="28"/>
      <c r="E186" s="29"/>
      <c r="F186" s="28"/>
      <c r="G186" s="28"/>
      <c r="H186" s="37"/>
      <c r="I186" s="28"/>
      <c r="J186" s="28"/>
      <c r="K186" s="28"/>
      <c r="L186" s="29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4.25" customHeight="1" x14ac:dyDescent="0.25">
      <c r="A187" s="36"/>
      <c r="B187" s="27"/>
      <c r="C187" s="28"/>
      <c r="D187" s="28"/>
      <c r="E187" s="29"/>
      <c r="F187" s="28"/>
      <c r="G187" s="28"/>
      <c r="H187" s="37"/>
      <c r="I187" s="28"/>
      <c r="J187" s="28"/>
      <c r="K187" s="28"/>
      <c r="L187" s="29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4.25" customHeight="1" x14ac:dyDescent="0.25">
      <c r="A188" s="36"/>
      <c r="B188" s="27"/>
      <c r="C188" s="28"/>
      <c r="D188" s="28"/>
      <c r="E188" s="29"/>
      <c r="F188" s="28"/>
      <c r="G188" s="28"/>
      <c r="H188" s="37"/>
      <c r="I188" s="28"/>
      <c r="J188" s="28"/>
      <c r="K188" s="28"/>
      <c r="L188" s="29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4.25" customHeight="1" x14ac:dyDescent="0.25">
      <c r="A189" s="36"/>
      <c r="B189" s="27"/>
      <c r="C189" s="28"/>
      <c r="D189" s="28"/>
      <c r="E189" s="29"/>
      <c r="F189" s="28"/>
      <c r="G189" s="28"/>
      <c r="H189" s="37"/>
      <c r="I189" s="28"/>
      <c r="J189" s="28"/>
      <c r="K189" s="28"/>
      <c r="L189" s="29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4.25" customHeight="1" x14ac:dyDescent="0.25">
      <c r="A190" s="36"/>
      <c r="B190" s="27"/>
      <c r="C190" s="28"/>
      <c r="D190" s="28"/>
      <c r="E190" s="29"/>
      <c r="F190" s="28"/>
      <c r="G190" s="28"/>
      <c r="H190" s="37"/>
      <c r="I190" s="28"/>
      <c r="J190" s="28"/>
      <c r="K190" s="28"/>
      <c r="L190" s="29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4.25" customHeight="1" x14ac:dyDescent="0.25">
      <c r="A191" s="36"/>
      <c r="B191" s="27"/>
      <c r="C191" s="28"/>
      <c r="D191" s="28"/>
      <c r="E191" s="29"/>
      <c r="F191" s="28"/>
      <c r="G191" s="28"/>
      <c r="H191" s="37"/>
      <c r="I191" s="28"/>
      <c r="J191" s="28"/>
      <c r="K191" s="28"/>
      <c r="L191" s="29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4.25" customHeight="1" x14ac:dyDescent="0.25">
      <c r="A192" s="36"/>
      <c r="B192" s="27"/>
      <c r="C192" s="28"/>
      <c r="D192" s="28"/>
      <c r="E192" s="29"/>
      <c r="F192" s="28"/>
      <c r="G192" s="28"/>
      <c r="H192" s="37"/>
      <c r="I192" s="28"/>
      <c r="J192" s="28"/>
      <c r="K192" s="28"/>
      <c r="L192" s="29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4.25" customHeight="1" x14ac:dyDescent="0.25">
      <c r="A193" s="36"/>
      <c r="B193" s="27"/>
      <c r="C193" s="28"/>
      <c r="D193" s="28"/>
      <c r="E193" s="29"/>
      <c r="F193" s="28"/>
      <c r="G193" s="28"/>
      <c r="H193" s="37"/>
      <c r="I193" s="28"/>
      <c r="J193" s="28"/>
      <c r="K193" s="28"/>
      <c r="L193" s="29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4.25" customHeight="1" x14ac:dyDescent="0.25">
      <c r="A194" s="36"/>
      <c r="B194" s="27"/>
      <c r="C194" s="28"/>
      <c r="D194" s="28"/>
      <c r="E194" s="29"/>
      <c r="F194" s="28"/>
      <c r="G194" s="28"/>
      <c r="H194" s="37"/>
      <c r="I194" s="28"/>
      <c r="J194" s="28"/>
      <c r="K194" s="28"/>
      <c r="L194" s="29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4.25" customHeight="1" x14ac:dyDescent="0.25">
      <c r="A195" s="36"/>
      <c r="B195" s="27"/>
      <c r="C195" s="28"/>
      <c r="D195" s="28"/>
      <c r="E195" s="29"/>
      <c r="F195" s="28"/>
      <c r="G195" s="28"/>
      <c r="H195" s="37"/>
      <c r="I195" s="28"/>
      <c r="J195" s="28"/>
      <c r="K195" s="28"/>
      <c r="L195" s="29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4.25" customHeight="1" x14ac:dyDescent="0.25">
      <c r="A196" s="36"/>
      <c r="B196" s="27"/>
      <c r="C196" s="28"/>
      <c r="D196" s="28"/>
      <c r="E196" s="29"/>
      <c r="F196" s="28"/>
      <c r="G196" s="28"/>
      <c r="H196" s="37"/>
      <c r="I196" s="28"/>
      <c r="J196" s="28"/>
      <c r="K196" s="28"/>
      <c r="L196" s="29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4.25" customHeight="1" x14ac:dyDescent="0.25">
      <c r="A197" s="36"/>
      <c r="B197" s="27"/>
      <c r="C197" s="28"/>
      <c r="D197" s="28"/>
      <c r="E197" s="29"/>
      <c r="F197" s="28"/>
      <c r="G197" s="28"/>
      <c r="H197" s="37"/>
      <c r="I197" s="28"/>
      <c r="J197" s="28"/>
      <c r="K197" s="28"/>
      <c r="L197" s="29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4.25" customHeight="1" x14ac:dyDescent="0.25">
      <c r="A198" s="36"/>
      <c r="B198" s="27"/>
      <c r="C198" s="28"/>
      <c r="D198" s="28"/>
      <c r="E198" s="29"/>
      <c r="F198" s="28"/>
      <c r="G198" s="28"/>
      <c r="H198" s="37"/>
      <c r="I198" s="28"/>
      <c r="J198" s="28"/>
      <c r="K198" s="28"/>
      <c r="L198" s="29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4.25" customHeight="1" x14ac:dyDescent="0.25">
      <c r="A199" s="36"/>
      <c r="B199" s="27"/>
      <c r="C199" s="28"/>
      <c r="D199" s="28"/>
      <c r="E199" s="29"/>
      <c r="F199" s="28"/>
      <c r="G199" s="28"/>
      <c r="H199" s="37"/>
      <c r="I199" s="28"/>
      <c r="J199" s="28"/>
      <c r="K199" s="28"/>
      <c r="L199" s="29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4.25" customHeight="1" x14ac:dyDescent="0.25">
      <c r="A200" s="36"/>
      <c r="B200" s="27"/>
      <c r="C200" s="28"/>
      <c r="D200" s="28"/>
      <c r="E200" s="29"/>
      <c r="F200" s="28"/>
      <c r="G200" s="28"/>
      <c r="H200" s="37"/>
      <c r="I200" s="28"/>
      <c r="J200" s="28"/>
      <c r="K200" s="28"/>
      <c r="L200" s="29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4.25" customHeight="1" x14ac:dyDescent="0.25">
      <c r="A201" s="36"/>
      <c r="B201" s="27"/>
      <c r="C201" s="28"/>
      <c r="D201" s="28"/>
      <c r="E201" s="29"/>
      <c r="F201" s="28"/>
      <c r="G201" s="28"/>
      <c r="H201" s="37"/>
      <c r="I201" s="28"/>
      <c r="J201" s="28"/>
      <c r="K201" s="28"/>
      <c r="L201" s="29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4.25" customHeight="1" x14ac:dyDescent="0.25">
      <c r="A202" s="36"/>
      <c r="B202" s="27"/>
      <c r="C202" s="28"/>
      <c r="D202" s="28"/>
      <c r="E202" s="29"/>
      <c r="F202" s="28"/>
      <c r="G202" s="28"/>
      <c r="H202" s="37"/>
      <c r="I202" s="28"/>
      <c r="J202" s="28"/>
      <c r="K202" s="28"/>
      <c r="L202" s="29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4.25" customHeight="1" x14ac:dyDescent="0.25">
      <c r="A203" s="36"/>
      <c r="B203" s="27"/>
      <c r="C203" s="28"/>
      <c r="D203" s="28"/>
      <c r="E203" s="29"/>
      <c r="F203" s="28"/>
      <c r="G203" s="28"/>
      <c r="H203" s="37"/>
      <c r="I203" s="28"/>
      <c r="J203" s="28"/>
      <c r="K203" s="28"/>
      <c r="L203" s="29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4.25" customHeight="1" x14ac:dyDescent="0.25">
      <c r="A204" s="36"/>
      <c r="B204" s="27"/>
      <c r="C204" s="28"/>
      <c r="D204" s="28"/>
      <c r="E204" s="29"/>
      <c r="F204" s="28"/>
      <c r="G204" s="28"/>
      <c r="H204" s="37"/>
      <c r="I204" s="28"/>
      <c r="J204" s="28"/>
      <c r="K204" s="28"/>
      <c r="L204" s="29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4.25" customHeight="1" x14ac:dyDescent="0.25">
      <c r="A205" s="36"/>
      <c r="B205" s="27"/>
      <c r="C205" s="28"/>
      <c r="D205" s="28"/>
      <c r="E205" s="29"/>
      <c r="F205" s="28"/>
      <c r="G205" s="28"/>
      <c r="H205" s="37"/>
      <c r="I205" s="28"/>
      <c r="J205" s="28"/>
      <c r="K205" s="28"/>
      <c r="L205" s="29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4.25" customHeight="1" x14ac:dyDescent="0.25">
      <c r="A206" s="36"/>
      <c r="B206" s="27"/>
      <c r="C206" s="28"/>
      <c r="D206" s="28"/>
      <c r="E206" s="29"/>
      <c r="F206" s="28"/>
      <c r="G206" s="28"/>
      <c r="H206" s="37"/>
      <c r="I206" s="28"/>
      <c r="J206" s="28"/>
      <c r="K206" s="28"/>
      <c r="L206" s="29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4.25" customHeight="1" x14ac:dyDescent="0.25">
      <c r="A207" s="36"/>
      <c r="B207" s="27"/>
      <c r="C207" s="28"/>
      <c r="D207" s="28"/>
      <c r="E207" s="29"/>
      <c r="F207" s="28"/>
      <c r="G207" s="28"/>
      <c r="H207" s="37"/>
      <c r="I207" s="28"/>
      <c r="J207" s="28"/>
      <c r="K207" s="28"/>
      <c r="L207" s="29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4.25" customHeight="1" x14ac:dyDescent="0.25">
      <c r="A208" s="36"/>
      <c r="B208" s="27"/>
      <c r="C208" s="28"/>
      <c r="D208" s="28"/>
      <c r="E208" s="29"/>
      <c r="F208" s="28"/>
      <c r="G208" s="28"/>
      <c r="H208" s="37"/>
      <c r="I208" s="28"/>
      <c r="J208" s="28"/>
      <c r="K208" s="28"/>
      <c r="L208" s="29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4.25" customHeight="1" x14ac:dyDescent="0.25">
      <c r="A209" s="36"/>
      <c r="B209" s="27"/>
      <c r="C209" s="28"/>
      <c r="D209" s="28"/>
      <c r="E209" s="29"/>
      <c r="F209" s="28"/>
      <c r="G209" s="28"/>
      <c r="H209" s="37"/>
      <c r="I209" s="28"/>
      <c r="J209" s="28"/>
      <c r="K209" s="28"/>
      <c r="L209" s="29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4.25" customHeight="1" x14ac:dyDescent="0.25">
      <c r="A210" s="36"/>
      <c r="B210" s="27"/>
      <c r="C210" s="28"/>
      <c r="D210" s="28"/>
      <c r="E210" s="29"/>
      <c r="F210" s="28"/>
      <c r="G210" s="28"/>
      <c r="H210" s="37"/>
      <c r="I210" s="28"/>
      <c r="J210" s="28"/>
      <c r="K210" s="28"/>
      <c r="L210" s="29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4.25" customHeight="1" x14ac:dyDescent="0.25">
      <c r="A211" s="36"/>
      <c r="B211" s="27"/>
      <c r="C211" s="28"/>
      <c r="D211" s="28"/>
      <c r="E211" s="29"/>
      <c r="F211" s="28"/>
      <c r="G211" s="28"/>
      <c r="H211" s="37"/>
      <c r="I211" s="28"/>
      <c r="J211" s="28"/>
      <c r="K211" s="28"/>
      <c r="L211" s="29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4.25" customHeight="1" x14ac:dyDescent="0.25">
      <c r="A212" s="36"/>
      <c r="B212" s="27"/>
      <c r="C212" s="28"/>
      <c r="D212" s="28"/>
      <c r="E212" s="29"/>
      <c r="F212" s="28"/>
      <c r="G212" s="28"/>
      <c r="H212" s="37"/>
      <c r="I212" s="28"/>
      <c r="J212" s="28"/>
      <c r="K212" s="28"/>
      <c r="L212" s="29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4.25" customHeight="1" x14ac:dyDescent="0.25">
      <c r="A213" s="36"/>
      <c r="B213" s="27"/>
      <c r="C213" s="28"/>
      <c r="D213" s="28"/>
      <c r="E213" s="29"/>
      <c r="F213" s="28"/>
      <c r="G213" s="28"/>
      <c r="H213" s="37"/>
      <c r="I213" s="28"/>
      <c r="J213" s="28"/>
      <c r="K213" s="28"/>
      <c r="L213" s="29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4.25" customHeight="1" x14ac:dyDescent="0.25">
      <c r="A214" s="36"/>
      <c r="B214" s="27"/>
      <c r="C214" s="28"/>
      <c r="D214" s="28"/>
      <c r="E214" s="29"/>
      <c r="F214" s="28"/>
      <c r="G214" s="28"/>
      <c r="H214" s="37"/>
      <c r="I214" s="28"/>
      <c r="J214" s="28"/>
      <c r="K214" s="28"/>
      <c r="L214" s="29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4.25" customHeight="1" x14ac:dyDescent="0.25">
      <c r="A215" s="36"/>
      <c r="B215" s="27"/>
      <c r="C215" s="28"/>
      <c r="D215" s="28"/>
      <c r="E215" s="29"/>
      <c r="F215" s="28"/>
      <c r="G215" s="28"/>
      <c r="H215" s="37"/>
      <c r="I215" s="28"/>
      <c r="J215" s="28"/>
      <c r="K215" s="28"/>
      <c r="L215" s="29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4.25" customHeight="1" x14ac:dyDescent="0.25">
      <c r="A216" s="36"/>
      <c r="B216" s="27"/>
      <c r="C216" s="28"/>
      <c r="D216" s="28"/>
      <c r="E216" s="29"/>
      <c r="F216" s="28"/>
      <c r="G216" s="28"/>
      <c r="H216" s="37"/>
      <c r="I216" s="28"/>
      <c r="J216" s="28"/>
      <c r="K216" s="28"/>
      <c r="L216" s="29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4.25" customHeight="1" x14ac:dyDescent="0.25">
      <c r="A217" s="36"/>
      <c r="B217" s="27"/>
      <c r="C217" s="28"/>
      <c r="D217" s="28"/>
      <c r="E217" s="29"/>
      <c r="F217" s="28"/>
      <c r="G217" s="28"/>
      <c r="H217" s="37"/>
      <c r="I217" s="28"/>
      <c r="J217" s="28"/>
      <c r="K217" s="28"/>
      <c r="L217" s="29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4.25" customHeight="1" x14ac:dyDescent="0.25">
      <c r="A218" s="36"/>
      <c r="B218" s="27"/>
      <c r="C218" s="28"/>
      <c r="D218" s="28"/>
      <c r="E218" s="29"/>
      <c r="F218" s="28"/>
      <c r="G218" s="28"/>
      <c r="H218" s="37"/>
      <c r="I218" s="28"/>
      <c r="J218" s="28"/>
      <c r="K218" s="28"/>
      <c r="L218" s="29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4.25" customHeight="1" x14ac:dyDescent="0.25">
      <c r="A219" s="36"/>
      <c r="B219" s="27"/>
      <c r="C219" s="28"/>
      <c r="D219" s="28"/>
      <c r="E219" s="29"/>
      <c r="F219" s="28"/>
      <c r="G219" s="28"/>
      <c r="H219" s="37"/>
      <c r="I219" s="28"/>
      <c r="J219" s="28"/>
      <c r="K219" s="28"/>
      <c r="L219" s="29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4.25" customHeight="1" x14ac:dyDescent="0.25">
      <c r="A220" s="36"/>
      <c r="B220" s="27"/>
      <c r="C220" s="28"/>
      <c r="D220" s="28"/>
      <c r="E220" s="29"/>
      <c r="F220" s="28"/>
      <c r="G220" s="28"/>
      <c r="H220" s="37"/>
      <c r="I220" s="28"/>
      <c r="J220" s="28"/>
      <c r="K220" s="28"/>
      <c r="L220" s="29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4.25" customHeight="1" x14ac:dyDescent="0.25">
      <c r="A221" s="36"/>
      <c r="B221" s="27"/>
      <c r="C221" s="28"/>
      <c r="D221" s="28"/>
      <c r="E221" s="29"/>
      <c r="F221" s="28"/>
      <c r="G221" s="28"/>
      <c r="H221" s="37"/>
      <c r="I221" s="28"/>
      <c r="J221" s="28"/>
      <c r="K221" s="28"/>
      <c r="L221" s="29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4.25" customHeight="1" x14ac:dyDescent="0.25">
      <c r="A222" s="36"/>
      <c r="B222" s="27"/>
      <c r="C222" s="28"/>
      <c r="D222" s="28"/>
      <c r="E222" s="29"/>
      <c r="F222" s="28"/>
      <c r="G222" s="28"/>
      <c r="H222" s="37"/>
      <c r="I222" s="28"/>
      <c r="J222" s="28"/>
      <c r="K222" s="28"/>
      <c r="L222" s="29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4.25" customHeight="1" x14ac:dyDescent="0.25">
      <c r="A223" s="36"/>
      <c r="B223" s="27"/>
      <c r="C223" s="28"/>
      <c r="D223" s="28"/>
      <c r="E223" s="29"/>
      <c r="F223" s="28"/>
      <c r="G223" s="28"/>
      <c r="H223" s="37"/>
      <c r="I223" s="28"/>
      <c r="J223" s="28"/>
      <c r="K223" s="28"/>
      <c r="L223" s="29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4.25" customHeight="1" x14ac:dyDescent="0.25">
      <c r="A224" s="36"/>
      <c r="B224" s="27"/>
      <c r="C224" s="28"/>
      <c r="D224" s="28"/>
      <c r="E224" s="29"/>
      <c r="F224" s="28"/>
      <c r="G224" s="28"/>
      <c r="H224" s="37"/>
      <c r="I224" s="28"/>
      <c r="J224" s="28"/>
      <c r="K224" s="28"/>
      <c r="L224" s="29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4.25" customHeight="1" x14ac:dyDescent="0.25">
      <c r="A225" s="36"/>
      <c r="B225" s="27"/>
      <c r="C225" s="28"/>
      <c r="D225" s="28"/>
      <c r="E225" s="29"/>
      <c r="F225" s="28"/>
      <c r="G225" s="28"/>
      <c r="H225" s="37"/>
      <c r="I225" s="28"/>
      <c r="J225" s="28"/>
      <c r="K225" s="28"/>
      <c r="L225" s="29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4.25" customHeight="1" x14ac:dyDescent="0.25">
      <c r="A226" s="36"/>
      <c r="B226" s="27"/>
      <c r="C226" s="28"/>
      <c r="D226" s="28"/>
      <c r="E226" s="29"/>
      <c r="F226" s="28"/>
      <c r="G226" s="28"/>
      <c r="H226" s="37"/>
      <c r="I226" s="28"/>
      <c r="J226" s="28"/>
      <c r="K226" s="28"/>
      <c r="L226" s="29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4.25" customHeight="1" x14ac:dyDescent="0.25">
      <c r="A227" s="36"/>
      <c r="B227" s="27"/>
      <c r="C227" s="28"/>
      <c r="D227" s="28"/>
      <c r="E227" s="29"/>
      <c r="F227" s="28"/>
      <c r="G227" s="28"/>
      <c r="H227" s="37"/>
      <c r="I227" s="28"/>
      <c r="J227" s="28"/>
      <c r="K227" s="28"/>
      <c r="L227" s="29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4.25" customHeight="1" x14ac:dyDescent="0.25">
      <c r="A228" s="36"/>
      <c r="B228" s="27"/>
      <c r="C228" s="28"/>
      <c r="D228" s="28"/>
      <c r="E228" s="29"/>
      <c r="F228" s="28"/>
      <c r="G228" s="28"/>
      <c r="H228" s="37"/>
      <c r="I228" s="28"/>
      <c r="J228" s="28"/>
      <c r="K228" s="28"/>
      <c r="L228" s="29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4.25" customHeight="1" x14ac:dyDescent="0.25">
      <c r="A229" s="36"/>
      <c r="B229" s="27"/>
      <c r="C229" s="28"/>
      <c r="D229" s="28"/>
      <c r="E229" s="29"/>
      <c r="F229" s="28"/>
      <c r="G229" s="28"/>
      <c r="H229" s="37"/>
      <c r="I229" s="28"/>
      <c r="J229" s="28"/>
      <c r="K229" s="28"/>
      <c r="L229" s="29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4.25" customHeight="1" x14ac:dyDescent="0.25">
      <c r="A230" s="36"/>
      <c r="B230" s="27"/>
      <c r="C230" s="28"/>
      <c r="D230" s="28"/>
      <c r="E230" s="29"/>
      <c r="F230" s="28"/>
      <c r="G230" s="28"/>
      <c r="H230" s="37"/>
      <c r="I230" s="28"/>
      <c r="J230" s="28"/>
      <c r="K230" s="28"/>
      <c r="L230" s="29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4.25" customHeight="1" x14ac:dyDescent="0.25">
      <c r="A231" s="36"/>
      <c r="B231" s="27"/>
      <c r="C231" s="28"/>
      <c r="D231" s="28"/>
      <c r="E231" s="29"/>
      <c r="F231" s="28"/>
      <c r="G231" s="28"/>
      <c r="H231" s="37"/>
      <c r="I231" s="28"/>
      <c r="J231" s="28"/>
      <c r="K231" s="28"/>
      <c r="L231" s="29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4.25" customHeight="1" x14ac:dyDescent="0.25">
      <c r="A232" s="36"/>
      <c r="B232" s="27"/>
      <c r="C232" s="28"/>
      <c r="D232" s="28"/>
      <c r="E232" s="29"/>
      <c r="F232" s="28"/>
      <c r="G232" s="28"/>
      <c r="H232" s="37"/>
      <c r="I232" s="28"/>
      <c r="J232" s="28"/>
      <c r="K232" s="28"/>
      <c r="L232" s="29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4.25" customHeight="1" x14ac:dyDescent="0.25">
      <c r="A233" s="36"/>
      <c r="B233" s="27"/>
      <c r="C233" s="28"/>
      <c r="D233" s="28"/>
      <c r="E233" s="29"/>
      <c r="F233" s="28"/>
      <c r="G233" s="28"/>
      <c r="H233" s="37"/>
      <c r="I233" s="28"/>
      <c r="J233" s="28"/>
      <c r="K233" s="28"/>
      <c r="L233" s="29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4.25" customHeight="1" x14ac:dyDescent="0.25">
      <c r="A234" s="36"/>
      <c r="B234" s="27"/>
      <c r="C234" s="28"/>
      <c r="D234" s="28"/>
      <c r="E234" s="29"/>
      <c r="F234" s="28"/>
      <c r="G234" s="28"/>
      <c r="H234" s="37"/>
      <c r="I234" s="28"/>
      <c r="J234" s="28"/>
      <c r="K234" s="28"/>
      <c r="L234" s="29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4.25" customHeight="1" x14ac:dyDescent="0.25">
      <c r="A235" s="36"/>
      <c r="B235" s="27"/>
      <c r="C235" s="28"/>
      <c r="D235" s="28"/>
      <c r="E235" s="29"/>
      <c r="F235" s="28"/>
      <c r="G235" s="28"/>
      <c r="H235" s="37"/>
      <c r="I235" s="28"/>
      <c r="J235" s="28"/>
      <c r="K235" s="28"/>
      <c r="L235" s="29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4.25" customHeight="1" x14ac:dyDescent="0.25">
      <c r="A236" s="36"/>
      <c r="B236" s="27"/>
      <c r="C236" s="28"/>
      <c r="D236" s="28"/>
      <c r="E236" s="29"/>
      <c r="F236" s="28"/>
      <c r="G236" s="28"/>
      <c r="H236" s="37"/>
      <c r="I236" s="28"/>
      <c r="J236" s="28"/>
      <c r="K236" s="28"/>
      <c r="L236" s="29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4.25" customHeight="1" x14ac:dyDescent="0.25">
      <c r="A237" s="36"/>
      <c r="B237" s="27"/>
      <c r="C237" s="28"/>
      <c r="D237" s="28"/>
      <c r="E237" s="29"/>
      <c r="F237" s="28"/>
      <c r="G237" s="28"/>
      <c r="H237" s="37"/>
      <c r="I237" s="28"/>
      <c r="J237" s="28"/>
      <c r="K237" s="28"/>
      <c r="L237" s="29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4.25" customHeight="1" x14ac:dyDescent="0.25">
      <c r="A238" s="36"/>
      <c r="B238" s="27"/>
      <c r="C238" s="28"/>
      <c r="D238" s="28"/>
      <c r="E238" s="29"/>
      <c r="F238" s="28"/>
      <c r="G238" s="28"/>
      <c r="H238" s="37"/>
      <c r="I238" s="28"/>
      <c r="J238" s="28"/>
      <c r="K238" s="28"/>
      <c r="L238" s="29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4.25" customHeight="1" x14ac:dyDescent="0.25">
      <c r="A239" s="36"/>
      <c r="B239" s="27"/>
      <c r="C239" s="28"/>
      <c r="D239" s="28"/>
      <c r="E239" s="29"/>
      <c r="F239" s="28"/>
      <c r="G239" s="28"/>
      <c r="H239" s="37"/>
      <c r="I239" s="28"/>
      <c r="J239" s="28"/>
      <c r="K239" s="28"/>
      <c r="L239" s="29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4.25" customHeight="1" x14ac:dyDescent="0.25">
      <c r="A240" s="36"/>
      <c r="B240" s="27"/>
      <c r="C240" s="28"/>
      <c r="D240" s="28"/>
      <c r="E240" s="29"/>
      <c r="F240" s="28"/>
      <c r="G240" s="28"/>
      <c r="H240" s="37"/>
      <c r="I240" s="28"/>
      <c r="J240" s="28"/>
      <c r="K240" s="28"/>
      <c r="L240" s="29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4.25" customHeight="1" x14ac:dyDescent="0.25">
      <c r="A241" s="36"/>
      <c r="B241" s="27"/>
      <c r="C241" s="28"/>
      <c r="D241" s="28"/>
      <c r="E241" s="29"/>
      <c r="F241" s="28"/>
      <c r="G241" s="28"/>
      <c r="H241" s="37"/>
      <c r="I241" s="28"/>
      <c r="J241" s="28"/>
      <c r="K241" s="28"/>
      <c r="L241" s="29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4.25" customHeight="1" x14ac:dyDescent="0.25">
      <c r="A242" s="36"/>
      <c r="B242" s="27"/>
      <c r="C242" s="28"/>
      <c r="D242" s="28"/>
      <c r="E242" s="29"/>
      <c r="F242" s="28"/>
      <c r="G242" s="28"/>
      <c r="H242" s="37"/>
      <c r="I242" s="28"/>
      <c r="J242" s="28"/>
      <c r="K242" s="28"/>
      <c r="L242" s="29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4.25" customHeight="1" x14ac:dyDescent="0.25">
      <c r="A243" s="36"/>
      <c r="B243" s="27"/>
      <c r="C243" s="28"/>
      <c r="D243" s="28"/>
      <c r="E243" s="29"/>
      <c r="F243" s="28"/>
      <c r="G243" s="28"/>
      <c r="H243" s="37"/>
      <c r="I243" s="28"/>
      <c r="J243" s="28"/>
      <c r="K243" s="28"/>
      <c r="L243" s="29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4.25" customHeight="1" x14ac:dyDescent="0.25">
      <c r="A244" s="36"/>
      <c r="B244" s="27"/>
      <c r="C244" s="28"/>
      <c r="D244" s="28"/>
      <c r="E244" s="29"/>
      <c r="F244" s="28"/>
      <c r="G244" s="28"/>
      <c r="H244" s="37"/>
      <c r="I244" s="28"/>
      <c r="J244" s="28"/>
      <c r="K244" s="28"/>
      <c r="L244" s="29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4.25" customHeight="1" x14ac:dyDescent="0.25">
      <c r="A245" s="36"/>
      <c r="B245" s="27"/>
      <c r="C245" s="28"/>
      <c r="D245" s="28"/>
      <c r="E245" s="29"/>
      <c r="F245" s="28"/>
      <c r="G245" s="28"/>
      <c r="H245" s="37"/>
      <c r="I245" s="28"/>
      <c r="J245" s="28"/>
      <c r="K245" s="28"/>
      <c r="L245" s="29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4.25" customHeight="1" x14ac:dyDescent="0.25">
      <c r="A246" s="36"/>
      <c r="B246" s="27"/>
      <c r="C246" s="28"/>
      <c r="D246" s="28"/>
      <c r="E246" s="29"/>
      <c r="F246" s="28"/>
      <c r="G246" s="28"/>
      <c r="H246" s="37"/>
      <c r="I246" s="28"/>
      <c r="J246" s="28"/>
      <c r="K246" s="28"/>
      <c r="L246" s="29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4.25" customHeight="1" x14ac:dyDescent="0.25">
      <c r="A247" s="36"/>
      <c r="B247" s="27"/>
      <c r="C247" s="28"/>
      <c r="D247" s="28"/>
      <c r="E247" s="29"/>
      <c r="F247" s="28"/>
      <c r="G247" s="28"/>
      <c r="H247" s="37"/>
      <c r="I247" s="28"/>
      <c r="J247" s="28"/>
      <c r="K247" s="28"/>
      <c r="L247" s="29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4.25" customHeight="1" x14ac:dyDescent="0.25">
      <c r="A248" s="36"/>
      <c r="B248" s="27"/>
      <c r="C248" s="28"/>
      <c r="D248" s="28"/>
      <c r="E248" s="29"/>
      <c r="F248" s="28"/>
      <c r="G248" s="28"/>
      <c r="H248" s="37"/>
      <c r="I248" s="28"/>
      <c r="J248" s="28"/>
      <c r="K248" s="28"/>
      <c r="L248" s="29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4.25" customHeight="1" x14ac:dyDescent="0.25">
      <c r="A249" s="36"/>
      <c r="B249" s="27"/>
      <c r="C249" s="28"/>
      <c r="D249" s="28"/>
      <c r="E249" s="29"/>
      <c r="F249" s="28"/>
      <c r="G249" s="28"/>
      <c r="H249" s="37"/>
      <c r="I249" s="28"/>
      <c r="J249" s="28"/>
      <c r="K249" s="28"/>
      <c r="L249" s="29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4.25" customHeight="1" x14ac:dyDescent="0.25">
      <c r="A250" s="36"/>
      <c r="B250" s="27"/>
      <c r="C250" s="28"/>
      <c r="D250" s="28"/>
      <c r="E250" s="29"/>
      <c r="F250" s="28"/>
      <c r="G250" s="28"/>
      <c r="H250" s="37"/>
      <c r="I250" s="28"/>
      <c r="J250" s="28"/>
      <c r="K250" s="28"/>
      <c r="L250" s="29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4.25" customHeight="1" x14ac:dyDescent="0.25">
      <c r="A251" s="36"/>
      <c r="B251" s="27"/>
      <c r="C251" s="28"/>
      <c r="D251" s="28"/>
      <c r="E251" s="29"/>
      <c r="F251" s="28"/>
      <c r="G251" s="28"/>
      <c r="H251" s="37"/>
      <c r="I251" s="28"/>
      <c r="J251" s="28"/>
      <c r="K251" s="28"/>
      <c r="L251" s="29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4.25" customHeight="1" x14ac:dyDescent="0.25">
      <c r="A252" s="36"/>
      <c r="B252" s="27"/>
      <c r="C252" s="28"/>
      <c r="D252" s="28"/>
      <c r="E252" s="29"/>
      <c r="F252" s="28"/>
      <c r="G252" s="28"/>
      <c r="H252" s="37"/>
      <c r="I252" s="28"/>
      <c r="J252" s="28"/>
      <c r="K252" s="28"/>
      <c r="L252" s="29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4.25" customHeight="1" x14ac:dyDescent="0.25">
      <c r="A253" s="36"/>
      <c r="B253" s="27"/>
      <c r="C253" s="28"/>
      <c r="D253" s="28"/>
      <c r="E253" s="29"/>
      <c r="F253" s="28"/>
      <c r="G253" s="28"/>
      <c r="H253" s="37"/>
      <c r="I253" s="28"/>
      <c r="J253" s="28"/>
      <c r="K253" s="28"/>
      <c r="L253" s="29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4.25" customHeight="1" x14ac:dyDescent="0.25">
      <c r="A254" s="36"/>
      <c r="B254" s="27"/>
      <c r="C254" s="28"/>
      <c r="D254" s="28"/>
      <c r="E254" s="29"/>
      <c r="F254" s="28"/>
      <c r="G254" s="28"/>
      <c r="H254" s="37"/>
      <c r="I254" s="28"/>
      <c r="J254" s="28"/>
      <c r="K254" s="28"/>
      <c r="L254" s="29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4.25" customHeight="1" x14ac:dyDescent="0.25">
      <c r="A255" s="36"/>
      <c r="B255" s="27"/>
      <c r="C255" s="28"/>
      <c r="D255" s="28"/>
      <c r="E255" s="29"/>
      <c r="F255" s="28"/>
      <c r="G255" s="28"/>
      <c r="H255" s="37"/>
      <c r="I255" s="28"/>
      <c r="J255" s="28"/>
      <c r="K255" s="28"/>
      <c r="L255" s="29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4.25" customHeight="1" x14ac:dyDescent="0.25">
      <c r="A256" s="36"/>
      <c r="B256" s="27"/>
      <c r="C256" s="28"/>
      <c r="D256" s="28"/>
      <c r="E256" s="29"/>
      <c r="F256" s="28"/>
      <c r="G256" s="28"/>
      <c r="H256" s="37"/>
      <c r="I256" s="28"/>
      <c r="J256" s="28"/>
      <c r="K256" s="28"/>
      <c r="L256" s="29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4.25" customHeight="1" x14ac:dyDescent="0.25">
      <c r="A257" s="36"/>
      <c r="B257" s="27"/>
      <c r="C257" s="28"/>
      <c r="D257" s="28"/>
      <c r="E257" s="29"/>
      <c r="F257" s="28"/>
      <c r="G257" s="28"/>
      <c r="H257" s="37"/>
      <c r="I257" s="28"/>
      <c r="J257" s="28"/>
      <c r="K257" s="28"/>
      <c r="L257" s="29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4.25" customHeight="1" x14ac:dyDescent="0.25">
      <c r="A258" s="36"/>
      <c r="B258" s="27"/>
      <c r="C258" s="28"/>
      <c r="D258" s="28"/>
      <c r="E258" s="29"/>
      <c r="F258" s="28"/>
      <c r="G258" s="28"/>
      <c r="H258" s="37"/>
      <c r="I258" s="28"/>
      <c r="J258" s="28"/>
      <c r="K258" s="28"/>
      <c r="L258" s="29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4.25" customHeight="1" x14ac:dyDescent="0.25">
      <c r="A259" s="36"/>
      <c r="B259" s="27"/>
      <c r="C259" s="28"/>
      <c r="D259" s="28"/>
      <c r="E259" s="29"/>
      <c r="F259" s="28"/>
      <c r="G259" s="28"/>
      <c r="H259" s="37"/>
      <c r="I259" s="28"/>
      <c r="J259" s="28"/>
      <c r="K259" s="28"/>
      <c r="L259" s="29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4.25" customHeight="1" x14ac:dyDescent="0.25">
      <c r="A260" s="36"/>
      <c r="B260" s="27"/>
      <c r="C260" s="28"/>
      <c r="D260" s="28"/>
      <c r="E260" s="29"/>
      <c r="F260" s="28"/>
      <c r="G260" s="28"/>
      <c r="H260" s="37"/>
      <c r="I260" s="28"/>
      <c r="J260" s="28"/>
      <c r="K260" s="28"/>
      <c r="L260" s="29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4.25" customHeight="1" x14ac:dyDescent="0.25">
      <c r="A261" s="36"/>
      <c r="B261" s="27"/>
      <c r="C261" s="28"/>
      <c r="D261" s="28"/>
      <c r="E261" s="29"/>
      <c r="F261" s="28"/>
      <c r="G261" s="28"/>
      <c r="H261" s="37"/>
      <c r="I261" s="28"/>
      <c r="J261" s="28"/>
      <c r="K261" s="28"/>
      <c r="L261" s="29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4.25" customHeight="1" x14ac:dyDescent="0.25">
      <c r="A262" s="36"/>
      <c r="B262" s="27"/>
      <c r="C262" s="28"/>
      <c r="D262" s="28"/>
      <c r="E262" s="29"/>
      <c r="F262" s="28"/>
      <c r="G262" s="28"/>
      <c r="H262" s="37"/>
      <c r="I262" s="28"/>
      <c r="J262" s="28"/>
      <c r="K262" s="28"/>
      <c r="L262" s="29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4.25" customHeight="1" x14ac:dyDescent="0.25">
      <c r="A263" s="36"/>
      <c r="B263" s="27"/>
      <c r="C263" s="28"/>
      <c r="D263" s="28"/>
      <c r="E263" s="29"/>
      <c r="F263" s="28"/>
      <c r="G263" s="28"/>
      <c r="H263" s="37"/>
      <c r="I263" s="28"/>
      <c r="J263" s="28"/>
      <c r="K263" s="28"/>
      <c r="L263" s="29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4.25" customHeight="1" x14ac:dyDescent="0.25">
      <c r="A264" s="36"/>
      <c r="B264" s="27"/>
      <c r="C264" s="28"/>
      <c r="D264" s="28"/>
      <c r="E264" s="29"/>
      <c r="F264" s="28"/>
      <c r="G264" s="28"/>
      <c r="H264" s="37"/>
      <c r="I264" s="28"/>
      <c r="J264" s="28"/>
      <c r="K264" s="28"/>
      <c r="L264" s="29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4.25" customHeight="1" x14ac:dyDescent="0.25">
      <c r="A265" s="36"/>
      <c r="B265" s="27"/>
      <c r="C265" s="28"/>
      <c r="D265" s="28"/>
      <c r="E265" s="29"/>
      <c r="F265" s="28"/>
      <c r="G265" s="28"/>
      <c r="H265" s="37"/>
      <c r="I265" s="28"/>
      <c r="J265" s="28"/>
      <c r="K265" s="28"/>
      <c r="L265" s="29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4.25" customHeight="1" x14ac:dyDescent="0.25">
      <c r="A266" s="36"/>
      <c r="B266" s="27"/>
      <c r="C266" s="28"/>
      <c r="D266" s="28"/>
      <c r="E266" s="29"/>
      <c r="F266" s="28"/>
      <c r="G266" s="28"/>
      <c r="H266" s="37"/>
      <c r="I266" s="28"/>
      <c r="J266" s="28"/>
      <c r="K266" s="28"/>
      <c r="L266" s="29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4.25" customHeight="1" x14ac:dyDescent="0.25">
      <c r="A267" s="36"/>
      <c r="B267" s="27"/>
      <c r="C267" s="28"/>
      <c r="D267" s="28"/>
      <c r="E267" s="29"/>
      <c r="F267" s="28"/>
      <c r="G267" s="28"/>
      <c r="H267" s="37"/>
      <c r="I267" s="28"/>
      <c r="J267" s="28"/>
      <c r="K267" s="28"/>
      <c r="L267" s="29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4.25" customHeight="1" x14ac:dyDescent="0.25">
      <c r="A268" s="36"/>
      <c r="B268" s="27"/>
      <c r="C268" s="28"/>
      <c r="D268" s="28"/>
      <c r="E268" s="29"/>
      <c r="F268" s="28"/>
      <c r="G268" s="28"/>
      <c r="H268" s="37"/>
      <c r="I268" s="28"/>
      <c r="J268" s="28"/>
      <c r="K268" s="28"/>
      <c r="L268" s="29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4.25" customHeight="1" x14ac:dyDescent="0.25">
      <c r="A269" s="36"/>
      <c r="B269" s="27"/>
      <c r="C269" s="28"/>
      <c r="D269" s="28"/>
      <c r="E269" s="29"/>
      <c r="F269" s="28"/>
      <c r="G269" s="28"/>
      <c r="H269" s="37"/>
      <c r="I269" s="28"/>
      <c r="J269" s="28"/>
      <c r="K269" s="28"/>
      <c r="L269" s="29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4.25" customHeight="1" x14ac:dyDescent="0.25">
      <c r="A270" s="36"/>
      <c r="B270" s="27"/>
      <c r="C270" s="28"/>
      <c r="D270" s="28"/>
      <c r="E270" s="29"/>
      <c r="F270" s="28"/>
      <c r="G270" s="28"/>
      <c r="H270" s="37"/>
      <c r="I270" s="28"/>
      <c r="J270" s="28"/>
      <c r="K270" s="28"/>
      <c r="L270" s="29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4.25" customHeight="1" x14ac:dyDescent="0.25">
      <c r="A271" s="36"/>
      <c r="B271" s="27"/>
      <c r="C271" s="28"/>
      <c r="D271" s="28"/>
      <c r="E271" s="29"/>
      <c r="F271" s="28"/>
      <c r="G271" s="28"/>
      <c r="H271" s="37"/>
      <c r="I271" s="28"/>
      <c r="J271" s="28"/>
      <c r="K271" s="28"/>
      <c r="L271" s="29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4.25" customHeight="1" x14ac:dyDescent="0.25">
      <c r="A272" s="36"/>
      <c r="B272" s="27"/>
      <c r="C272" s="28"/>
      <c r="D272" s="28"/>
      <c r="E272" s="29"/>
      <c r="F272" s="28"/>
      <c r="G272" s="28"/>
      <c r="H272" s="37"/>
      <c r="I272" s="28"/>
      <c r="J272" s="28"/>
      <c r="K272" s="28"/>
      <c r="L272" s="29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4.25" customHeight="1" x14ac:dyDescent="0.25">
      <c r="A273" s="36"/>
      <c r="B273" s="27"/>
      <c r="C273" s="28"/>
      <c r="D273" s="28"/>
      <c r="E273" s="29"/>
      <c r="F273" s="28"/>
      <c r="G273" s="28"/>
      <c r="H273" s="37"/>
      <c r="I273" s="28"/>
      <c r="J273" s="28"/>
      <c r="K273" s="28"/>
      <c r="L273" s="29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4.25" customHeight="1" x14ac:dyDescent="0.25">
      <c r="A274" s="36"/>
      <c r="B274" s="27"/>
      <c r="C274" s="28"/>
      <c r="D274" s="28"/>
      <c r="E274" s="29"/>
      <c r="F274" s="28"/>
      <c r="G274" s="28"/>
      <c r="H274" s="37"/>
      <c r="I274" s="28"/>
      <c r="J274" s="28"/>
      <c r="K274" s="28"/>
      <c r="L274" s="29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4.25" customHeight="1" x14ac:dyDescent="0.25">
      <c r="A275" s="36"/>
      <c r="B275" s="27"/>
      <c r="C275" s="28"/>
      <c r="D275" s="28"/>
      <c r="E275" s="29"/>
      <c r="F275" s="28"/>
      <c r="G275" s="28"/>
      <c r="H275" s="37"/>
      <c r="I275" s="28"/>
      <c r="J275" s="28"/>
      <c r="K275" s="28"/>
      <c r="L275" s="29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4.25" customHeight="1" x14ac:dyDescent="0.25">
      <c r="A276" s="36"/>
      <c r="B276" s="27"/>
      <c r="C276" s="28"/>
      <c r="D276" s="28"/>
      <c r="E276" s="29"/>
      <c r="F276" s="28"/>
      <c r="G276" s="28"/>
      <c r="H276" s="37"/>
      <c r="I276" s="28"/>
      <c r="J276" s="28"/>
      <c r="K276" s="28"/>
      <c r="L276" s="29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4.25" customHeight="1" x14ac:dyDescent="0.25">
      <c r="A277" s="36"/>
      <c r="B277" s="27"/>
      <c r="C277" s="28"/>
      <c r="D277" s="28"/>
      <c r="E277" s="29"/>
      <c r="F277" s="28"/>
      <c r="G277" s="28"/>
      <c r="H277" s="37"/>
      <c r="I277" s="28"/>
      <c r="J277" s="28"/>
      <c r="K277" s="28"/>
      <c r="L277" s="29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4.25" customHeight="1" x14ac:dyDescent="0.25">
      <c r="A278" s="36"/>
      <c r="B278" s="27"/>
      <c r="C278" s="28"/>
      <c r="D278" s="28"/>
      <c r="E278" s="29"/>
      <c r="F278" s="28"/>
      <c r="G278" s="28"/>
      <c r="H278" s="37"/>
      <c r="I278" s="28"/>
      <c r="J278" s="28"/>
      <c r="K278" s="28"/>
      <c r="L278" s="29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4.25" customHeight="1" x14ac:dyDescent="0.25">
      <c r="A279" s="36"/>
      <c r="B279" s="27"/>
      <c r="C279" s="28"/>
      <c r="D279" s="28"/>
      <c r="E279" s="29"/>
      <c r="F279" s="28"/>
      <c r="G279" s="28"/>
      <c r="H279" s="37"/>
      <c r="I279" s="28"/>
      <c r="J279" s="28"/>
      <c r="K279" s="28"/>
      <c r="L279" s="29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4.25" customHeight="1" x14ac:dyDescent="0.25">
      <c r="A280" s="36"/>
      <c r="B280" s="27"/>
      <c r="C280" s="28"/>
      <c r="D280" s="28"/>
      <c r="E280" s="29"/>
      <c r="F280" s="28"/>
      <c r="G280" s="28"/>
      <c r="H280" s="37"/>
      <c r="I280" s="28"/>
      <c r="J280" s="28"/>
      <c r="K280" s="28"/>
      <c r="L280" s="29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4.25" customHeight="1" x14ac:dyDescent="0.25">
      <c r="A281" s="36"/>
      <c r="B281" s="27"/>
      <c r="C281" s="28"/>
      <c r="D281" s="28"/>
      <c r="E281" s="29"/>
      <c r="F281" s="28"/>
      <c r="G281" s="28"/>
      <c r="H281" s="37"/>
      <c r="I281" s="28"/>
      <c r="J281" s="28"/>
      <c r="K281" s="28"/>
      <c r="L281" s="29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4.25" customHeight="1" x14ac:dyDescent="0.25">
      <c r="A282" s="36"/>
      <c r="B282" s="27"/>
      <c r="C282" s="28"/>
      <c r="D282" s="28"/>
      <c r="E282" s="29"/>
      <c r="F282" s="28"/>
      <c r="G282" s="28"/>
      <c r="H282" s="37"/>
      <c r="I282" s="28"/>
      <c r="J282" s="28"/>
      <c r="K282" s="28"/>
      <c r="L282" s="29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4.25" customHeight="1" x14ac:dyDescent="0.25">
      <c r="A283" s="36"/>
      <c r="B283" s="27"/>
      <c r="C283" s="28"/>
      <c r="D283" s="28"/>
      <c r="E283" s="29"/>
      <c r="F283" s="28"/>
      <c r="G283" s="28"/>
      <c r="H283" s="37"/>
      <c r="I283" s="28"/>
      <c r="J283" s="28"/>
      <c r="K283" s="28"/>
      <c r="L283" s="29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4.25" customHeight="1" x14ac:dyDescent="0.25">
      <c r="A284" s="36"/>
      <c r="B284" s="27"/>
      <c r="C284" s="28"/>
      <c r="D284" s="28"/>
      <c r="E284" s="29"/>
      <c r="F284" s="28"/>
      <c r="G284" s="28"/>
      <c r="H284" s="37"/>
      <c r="I284" s="28"/>
      <c r="J284" s="28"/>
      <c r="K284" s="28"/>
      <c r="L284" s="29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4.25" customHeight="1" x14ac:dyDescent="0.25">
      <c r="A285" s="36"/>
      <c r="B285" s="27"/>
      <c r="C285" s="28"/>
      <c r="D285" s="28"/>
      <c r="E285" s="29"/>
      <c r="F285" s="28"/>
      <c r="G285" s="28"/>
      <c r="H285" s="37"/>
      <c r="I285" s="28"/>
      <c r="J285" s="28"/>
      <c r="K285" s="28"/>
      <c r="L285" s="29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4.25" customHeight="1" x14ac:dyDescent="0.25">
      <c r="A286" s="36"/>
      <c r="B286" s="27"/>
      <c r="C286" s="28"/>
      <c r="D286" s="28"/>
      <c r="E286" s="29"/>
      <c r="F286" s="28"/>
      <c r="G286" s="28"/>
      <c r="H286" s="37"/>
      <c r="I286" s="28"/>
      <c r="J286" s="28"/>
      <c r="K286" s="28"/>
      <c r="L286" s="29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4.25" customHeight="1" x14ac:dyDescent="0.25">
      <c r="A287" s="36"/>
      <c r="B287" s="27"/>
      <c r="C287" s="28"/>
      <c r="D287" s="28"/>
      <c r="E287" s="29"/>
      <c r="F287" s="28"/>
      <c r="G287" s="28"/>
      <c r="H287" s="37"/>
      <c r="I287" s="28"/>
      <c r="J287" s="28"/>
      <c r="K287" s="28"/>
      <c r="L287" s="29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4.25" customHeight="1" x14ac:dyDescent="0.25">
      <c r="A288" s="36"/>
      <c r="B288" s="27"/>
      <c r="C288" s="28"/>
      <c r="D288" s="28"/>
      <c r="E288" s="29"/>
      <c r="F288" s="28"/>
      <c r="G288" s="28"/>
      <c r="H288" s="37"/>
      <c r="I288" s="28"/>
      <c r="J288" s="28"/>
      <c r="K288" s="28"/>
      <c r="L288" s="29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4.25" customHeight="1" x14ac:dyDescent="0.25">
      <c r="A289" s="36"/>
      <c r="B289" s="27"/>
      <c r="C289" s="28"/>
      <c r="D289" s="28"/>
      <c r="E289" s="29"/>
      <c r="F289" s="28"/>
      <c r="G289" s="28"/>
      <c r="H289" s="37"/>
      <c r="I289" s="28"/>
      <c r="J289" s="28"/>
      <c r="K289" s="28"/>
      <c r="L289" s="29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4.25" customHeight="1" x14ac:dyDescent="0.25">
      <c r="A290" s="36"/>
      <c r="B290" s="27"/>
      <c r="C290" s="28"/>
      <c r="D290" s="28"/>
      <c r="E290" s="29"/>
      <c r="F290" s="28"/>
      <c r="G290" s="28"/>
      <c r="H290" s="37"/>
      <c r="I290" s="28"/>
      <c r="J290" s="28"/>
      <c r="K290" s="28"/>
      <c r="L290" s="29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4.25" customHeight="1" x14ac:dyDescent="0.25">
      <c r="A291" s="36"/>
      <c r="B291" s="27"/>
      <c r="C291" s="28"/>
      <c r="D291" s="28"/>
      <c r="E291" s="29"/>
      <c r="F291" s="28"/>
      <c r="G291" s="28"/>
      <c r="H291" s="37"/>
      <c r="I291" s="28"/>
      <c r="J291" s="28"/>
      <c r="K291" s="28"/>
      <c r="L291" s="29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4.25" customHeight="1" x14ac:dyDescent="0.25">
      <c r="A292" s="36"/>
      <c r="B292" s="27"/>
      <c r="C292" s="28"/>
      <c r="D292" s="28"/>
      <c r="E292" s="29"/>
      <c r="F292" s="28"/>
      <c r="G292" s="28"/>
      <c r="H292" s="37"/>
      <c r="I292" s="28"/>
      <c r="J292" s="28"/>
      <c r="K292" s="28"/>
      <c r="L292" s="29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4.25" customHeight="1" x14ac:dyDescent="0.25">
      <c r="A293" s="36"/>
      <c r="B293" s="27"/>
      <c r="C293" s="28"/>
      <c r="D293" s="28"/>
      <c r="E293" s="29"/>
      <c r="F293" s="28"/>
      <c r="G293" s="28"/>
      <c r="H293" s="37"/>
      <c r="I293" s="28"/>
      <c r="J293" s="28"/>
      <c r="K293" s="28"/>
      <c r="L293" s="29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4.25" customHeight="1" x14ac:dyDescent="0.25">
      <c r="A294" s="36"/>
      <c r="B294" s="27"/>
      <c r="C294" s="28"/>
      <c r="D294" s="28"/>
      <c r="E294" s="29"/>
      <c r="F294" s="28"/>
      <c r="G294" s="28"/>
      <c r="H294" s="37"/>
      <c r="I294" s="28"/>
      <c r="J294" s="28"/>
      <c r="K294" s="28"/>
      <c r="L294" s="29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4.25" customHeight="1" x14ac:dyDescent="0.25">
      <c r="A295" s="36"/>
      <c r="B295" s="27"/>
      <c r="C295" s="28"/>
      <c r="D295" s="28"/>
      <c r="E295" s="29"/>
      <c r="F295" s="28"/>
      <c r="G295" s="28"/>
      <c r="H295" s="37"/>
      <c r="I295" s="28"/>
      <c r="J295" s="28"/>
      <c r="K295" s="28"/>
      <c r="L295" s="29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4.25" customHeight="1" x14ac:dyDescent="0.25">
      <c r="A296" s="36"/>
      <c r="B296" s="27"/>
      <c r="C296" s="28"/>
      <c r="D296" s="28"/>
      <c r="E296" s="29"/>
      <c r="F296" s="28"/>
      <c r="G296" s="28"/>
      <c r="H296" s="37"/>
      <c r="I296" s="28"/>
      <c r="J296" s="28"/>
      <c r="K296" s="28"/>
      <c r="L296" s="29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4.25" customHeight="1" x14ac:dyDescent="0.25">
      <c r="A297" s="36"/>
      <c r="B297" s="27"/>
      <c r="C297" s="28"/>
      <c r="D297" s="28"/>
      <c r="E297" s="29"/>
      <c r="F297" s="28"/>
      <c r="G297" s="28"/>
      <c r="H297" s="37"/>
      <c r="I297" s="28"/>
      <c r="J297" s="28"/>
      <c r="K297" s="28"/>
      <c r="L297" s="29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4.25" customHeight="1" x14ac:dyDescent="0.25">
      <c r="A298" s="36"/>
      <c r="B298" s="27"/>
      <c r="C298" s="28"/>
      <c r="D298" s="28"/>
      <c r="E298" s="29"/>
      <c r="F298" s="28"/>
      <c r="G298" s="28"/>
      <c r="H298" s="37"/>
      <c r="I298" s="28"/>
      <c r="J298" s="28"/>
      <c r="K298" s="28"/>
      <c r="L298" s="29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4.25" customHeight="1" x14ac:dyDescent="0.25">
      <c r="A299" s="36"/>
      <c r="B299" s="27"/>
      <c r="C299" s="28"/>
      <c r="D299" s="28"/>
      <c r="E299" s="29"/>
      <c r="F299" s="28"/>
      <c r="G299" s="28"/>
      <c r="H299" s="37"/>
      <c r="I299" s="28"/>
      <c r="J299" s="28"/>
      <c r="K299" s="28"/>
      <c r="L299" s="29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4.25" customHeight="1" x14ac:dyDescent="0.25">
      <c r="A300" s="36"/>
      <c r="B300" s="27"/>
      <c r="C300" s="28"/>
      <c r="D300" s="28"/>
      <c r="E300" s="29"/>
      <c r="F300" s="28"/>
      <c r="G300" s="28"/>
      <c r="H300" s="37"/>
      <c r="I300" s="28"/>
      <c r="J300" s="28"/>
      <c r="K300" s="28"/>
      <c r="L300" s="29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4.25" customHeight="1" x14ac:dyDescent="0.25">
      <c r="A301" s="36"/>
      <c r="B301" s="27"/>
      <c r="C301" s="28"/>
      <c r="D301" s="28"/>
      <c r="E301" s="29"/>
      <c r="F301" s="28"/>
      <c r="G301" s="28"/>
      <c r="H301" s="37"/>
      <c r="I301" s="28"/>
      <c r="J301" s="28"/>
      <c r="K301" s="28"/>
      <c r="L301" s="29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4.25" customHeight="1" x14ac:dyDescent="0.25">
      <c r="A302" s="36"/>
      <c r="B302" s="27"/>
      <c r="C302" s="28"/>
      <c r="D302" s="28"/>
      <c r="E302" s="29"/>
      <c r="F302" s="28"/>
      <c r="G302" s="28"/>
      <c r="H302" s="37"/>
      <c r="I302" s="28"/>
      <c r="J302" s="28"/>
      <c r="K302" s="28"/>
      <c r="L302" s="29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4.25" customHeight="1" x14ac:dyDescent="0.25">
      <c r="A303" s="36"/>
      <c r="B303" s="27"/>
      <c r="C303" s="28"/>
      <c r="D303" s="28"/>
      <c r="E303" s="29"/>
      <c r="F303" s="28"/>
      <c r="G303" s="28"/>
      <c r="H303" s="37"/>
      <c r="I303" s="28"/>
      <c r="J303" s="28"/>
      <c r="K303" s="28"/>
      <c r="L303" s="29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4.25" customHeight="1" x14ac:dyDescent="0.25">
      <c r="A304" s="36"/>
      <c r="B304" s="27"/>
      <c r="C304" s="28"/>
      <c r="D304" s="28"/>
      <c r="E304" s="29"/>
      <c r="F304" s="28"/>
      <c r="G304" s="28"/>
      <c r="H304" s="37"/>
      <c r="I304" s="28"/>
      <c r="J304" s="28"/>
      <c r="K304" s="28"/>
      <c r="L304" s="29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4.25" customHeight="1" x14ac:dyDescent="0.25">
      <c r="A305" s="36"/>
      <c r="B305" s="27"/>
      <c r="C305" s="28"/>
      <c r="D305" s="28"/>
      <c r="E305" s="29"/>
      <c r="F305" s="28"/>
      <c r="G305" s="28"/>
      <c r="H305" s="37"/>
      <c r="I305" s="28"/>
      <c r="J305" s="28"/>
      <c r="K305" s="28"/>
      <c r="L305" s="29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4.25" customHeight="1" x14ac:dyDescent="0.25">
      <c r="A306" s="36"/>
      <c r="B306" s="27"/>
      <c r="C306" s="28"/>
      <c r="D306" s="28"/>
      <c r="E306" s="29"/>
      <c r="F306" s="28"/>
      <c r="G306" s="28"/>
      <c r="H306" s="37"/>
      <c r="I306" s="28"/>
      <c r="J306" s="28"/>
      <c r="K306" s="28"/>
      <c r="L306" s="29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4.25" customHeight="1" x14ac:dyDescent="0.25">
      <c r="A307" s="36"/>
      <c r="B307" s="27"/>
      <c r="C307" s="28"/>
      <c r="D307" s="28"/>
      <c r="E307" s="29"/>
      <c r="F307" s="28"/>
      <c r="G307" s="28"/>
      <c r="H307" s="37"/>
      <c r="I307" s="28"/>
      <c r="J307" s="28"/>
      <c r="K307" s="28"/>
      <c r="L307" s="29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4.25" customHeight="1" x14ac:dyDescent="0.25">
      <c r="A308" s="36"/>
      <c r="B308" s="27"/>
      <c r="C308" s="28"/>
      <c r="D308" s="28"/>
      <c r="E308" s="29"/>
      <c r="F308" s="28"/>
      <c r="G308" s="28"/>
      <c r="H308" s="37"/>
      <c r="I308" s="28"/>
      <c r="J308" s="28"/>
      <c r="K308" s="28"/>
      <c r="L308" s="29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4.25" customHeight="1" x14ac:dyDescent="0.25">
      <c r="A309" s="36"/>
      <c r="B309" s="27"/>
      <c r="C309" s="28"/>
      <c r="D309" s="28"/>
      <c r="E309" s="29"/>
      <c r="F309" s="28"/>
      <c r="G309" s="28"/>
      <c r="H309" s="37"/>
      <c r="I309" s="28"/>
      <c r="J309" s="28"/>
      <c r="K309" s="28"/>
      <c r="L309" s="29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4.25" customHeight="1" x14ac:dyDescent="0.25">
      <c r="A310" s="36"/>
      <c r="B310" s="27"/>
      <c r="C310" s="28"/>
      <c r="D310" s="28"/>
      <c r="E310" s="29"/>
      <c r="F310" s="28"/>
      <c r="G310" s="28"/>
      <c r="H310" s="37"/>
      <c r="I310" s="28"/>
      <c r="J310" s="28"/>
      <c r="K310" s="28"/>
      <c r="L310" s="29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4.25" customHeight="1" x14ac:dyDescent="0.25">
      <c r="A311" s="36"/>
      <c r="B311" s="27"/>
      <c r="C311" s="28"/>
      <c r="D311" s="28"/>
      <c r="E311" s="29"/>
      <c r="F311" s="28"/>
      <c r="G311" s="28"/>
      <c r="H311" s="37"/>
      <c r="I311" s="28"/>
      <c r="J311" s="28"/>
      <c r="K311" s="28"/>
      <c r="L311" s="29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4.25" customHeight="1" x14ac:dyDescent="0.25">
      <c r="A312" s="36"/>
      <c r="B312" s="27"/>
      <c r="C312" s="28"/>
      <c r="D312" s="28"/>
      <c r="E312" s="29"/>
      <c r="F312" s="28"/>
      <c r="G312" s="28"/>
      <c r="H312" s="37"/>
      <c r="I312" s="28"/>
      <c r="J312" s="28"/>
      <c r="K312" s="28"/>
      <c r="L312" s="29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4.25" customHeight="1" x14ac:dyDescent="0.25">
      <c r="A313" s="36"/>
      <c r="B313" s="27"/>
      <c r="C313" s="28"/>
      <c r="D313" s="28"/>
      <c r="E313" s="29"/>
      <c r="F313" s="28"/>
      <c r="G313" s="28"/>
      <c r="H313" s="37"/>
      <c r="I313" s="28"/>
      <c r="J313" s="28"/>
      <c r="K313" s="28"/>
      <c r="L313" s="29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4.25" customHeight="1" x14ac:dyDescent="0.25">
      <c r="A314" s="36"/>
      <c r="B314" s="27"/>
      <c r="C314" s="28"/>
      <c r="D314" s="28"/>
      <c r="E314" s="29"/>
      <c r="F314" s="28"/>
      <c r="G314" s="28"/>
      <c r="H314" s="37"/>
      <c r="I314" s="28"/>
      <c r="J314" s="28"/>
      <c r="K314" s="28"/>
      <c r="L314" s="29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4.25" customHeight="1" x14ac:dyDescent="0.25">
      <c r="A315" s="36"/>
      <c r="B315" s="27"/>
      <c r="C315" s="28"/>
      <c r="D315" s="28"/>
      <c r="E315" s="29"/>
      <c r="F315" s="28"/>
      <c r="G315" s="28"/>
      <c r="H315" s="37"/>
      <c r="I315" s="28"/>
      <c r="J315" s="28"/>
      <c r="K315" s="28"/>
      <c r="L315" s="29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4.25" customHeight="1" x14ac:dyDescent="0.25">
      <c r="A316" s="36"/>
      <c r="B316" s="27"/>
      <c r="C316" s="28"/>
      <c r="D316" s="28"/>
      <c r="E316" s="29"/>
      <c r="F316" s="28"/>
      <c r="G316" s="28"/>
      <c r="H316" s="37"/>
      <c r="I316" s="28"/>
      <c r="J316" s="28"/>
      <c r="K316" s="28"/>
      <c r="L316" s="29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4.25" customHeight="1" x14ac:dyDescent="0.25">
      <c r="A317" s="36"/>
      <c r="B317" s="27"/>
      <c r="C317" s="28"/>
      <c r="D317" s="28"/>
      <c r="E317" s="29"/>
      <c r="F317" s="28"/>
      <c r="G317" s="28"/>
      <c r="H317" s="37"/>
      <c r="I317" s="28"/>
      <c r="J317" s="28"/>
      <c r="K317" s="28"/>
      <c r="L317" s="29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4.25" customHeight="1" x14ac:dyDescent="0.25">
      <c r="A318" s="36"/>
      <c r="B318" s="27"/>
      <c r="C318" s="28"/>
      <c r="D318" s="28"/>
      <c r="E318" s="29"/>
      <c r="F318" s="28"/>
      <c r="G318" s="28"/>
      <c r="H318" s="37"/>
      <c r="I318" s="28"/>
      <c r="J318" s="28"/>
      <c r="K318" s="28"/>
      <c r="L318" s="29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4.25" customHeight="1" x14ac:dyDescent="0.25">
      <c r="A319" s="36"/>
      <c r="B319" s="27"/>
      <c r="C319" s="28"/>
      <c r="D319" s="28"/>
      <c r="E319" s="29"/>
      <c r="F319" s="28"/>
      <c r="G319" s="28"/>
      <c r="H319" s="37"/>
      <c r="I319" s="28"/>
      <c r="J319" s="28"/>
      <c r="K319" s="28"/>
      <c r="L319" s="29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4.25" customHeight="1" x14ac:dyDescent="0.25">
      <c r="A320" s="36"/>
      <c r="B320" s="27"/>
      <c r="C320" s="28"/>
      <c r="D320" s="28"/>
      <c r="E320" s="29"/>
      <c r="F320" s="28"/>
      <c r="G320" s="28"/>
      <c r="H320" s="37"/>
      <c r="I320" s="28"/>
      <c r="J320" s="28"/>
      <c r="K320" s="28"/>
      <c r="L320" s="29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4.25" customHeight="1" x14ac:dyDescent="0.25">
      <c r="A321" s="36"/>
      <c r="B321" s="27"/>
      <c r="C321" s="28"/>
      <c r="D321" s="28"/>
      <c r="E321" s="29"/>
      <c r="F321" s="28"/>
      <c r="G321" s="28"/>
      <c r="H321" s="37"/>
      <c r="I321" s="28"/>
      <c r="J321" s="28"/>
      <c r="K321" s="28"/>
      <c r="L321" s="29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4.25" customHeight="1" x14ac:dyDescent="0.25">
      <c r="A322" s="36"/>
      <c r="B322" s="27"/>
      <c r="C322" s="28"/>
      <c r="D322" s="28"/>
      <c r="E322" s="29"/>
      <c r="F322" s="28"/>
      <c r="G322" s="28"/>
      <c r="H322" s="37"/>
      <c r="I322" s="28"/>
      <c r="J322" s="28"/>
      <c r="K322" s="28"/>
      <c r="L322" s="29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4.25" customHeight="1" x14ac:dyDescent="0.25">
      <c r="A323" s="36"/>
      <c r="B323" s="27"/>
      <c r="C323" s="28"/>
      <c r="D323" s="28"/>
      <c r="E323" s="29"/>
      <c r="F323" s="28"/>
      <c r="G323" s="28"/>
      <c r="H323" s="37"/>
      <c r="I323" s="28"/>
      <c r="J323" s="28"/>
      <c r="K323" s="28"/>
      <c r="L323" s="29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4.25" customHeight="1" x14ac:dyDescent="0.25">
      <c r="A324" s="36"/>
      <c r="B324" s="27"/>
      <c r="C324" s="28"/>
      <c r="D324" s="28"/>
      <c r="E324" s="29"/>
      <c r="F324" s="28"/>
      <c r="G324" s="28"/>
      <c r="H324" s="37"/>
      <c r="I324" s="28"/>
      <c r="J324" s="28"/>
      <c r="K324" s="28"/>
      <c r="L324" s="29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4.25" customHeight="1" x14ac:dyDescent="0.25">
      <c r="A325" s="36"/>
      <c r="B325" s="27"/>
      <c r="C325" s="28"/>
      <c r="D325" s="28"/>
      <c r="E325" s="29"/>
      <c r="F325" s="28"/>
      <c r="G325" s="28"/>
      <c r="H325" s="37"/>
      <c r="I325" s="28"/>
      <c r="J325" s="28"/>
      <c r="K325" s="28"/>
      <c r="L325" s="29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4.25" customHeight="1" x14ac:dyDescent="0.25">
      <c r="A326" s="36"/>
      <c r="B326" s="27"/>
      <c r="C326" s="28"/>
      <c r="D326" s="28"/>
      <c r="E326" s="29"/>
      <c r="F326" s="28"/>
      <c r="G326" s="28"/>
      <c r="H326" s="37"/>
      <c r="I326" s="28"/>
      <c r="J326" s="28"/>
      <c r="K326" s="28"/>
      <c r="L326" s="29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4.25" customHeight="1" x14ac:dyDescent="0.25">
      <c r="A327" s="36"/>
      <c r="B327" s="27"/>
      <c r="C327" s="28"/>
      <c r="D327" s="28"/>
      <c r="E327" s="29"/>
      <c r="F327" s="28"/>
      <c r="G327" s="28"/>
      <c r="H327" s="37"/>
      <c r="I327" s="28"/>
      <c r="J327" s="28"/>
      <c r="K327" s="28"/>
      <c r="L327" s="29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4.25" customHeight="1" x14ac:dyDescent="0.25">
      <c r="A328" s="36"/>
      <c r="B328" s="27"/>
      <c r="C328" s="28"/>
      <c r="D328" s="28"/>
      <c r="E328" s="29"/>
      <c r="F328" s="28"/>
      <c r="G328" s="28"/>
      <c r="H328" s="37"/>
      <c r="I328" s="28"/>
      <c r="J328" s="28"/>
      <c r="K328" s="28"/>
      <c r="L328" s="29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4.25" customHeight="1" x14ac:dyDescent="0.25">
      <c r="A329" s="36"/>
      <c r="B329" s="27"/>
      <c r="C329" s="28"/>
      <c r="D329" s="28"/>
      <c r="E329" s="29"/>
      <c r="F329" s="28"/>
      <c r="G329" s="28"/>
      <c r="H329" s="37"/>
      <c r="I329" s="28"/>
      <c r="J329" s="28"/>
      <c r="K329" s="28"/>
      <c r="L329" s="29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4.25" customHeight="1" x14ac:dyDescent="0.25">
      <c r="A330" s="36"/>
      <c r="B330" s="27"/>
      <c r="C330" s="28"/>
      <c r="D330" s="28"/>
      <c r="E330" s="29"/>
      <c r="F330" s="28"/>
      <c r="G330" s="28"/>
      <c r="H330" s="37"/>
      <c r="I330" s="28"/>
      <c r="J330" s="28"/>
      <c r="K330" s="28"/>
      <c r="L330" s="29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4.25" customHeight="1" x14ac:dyDescent="0.25">
      <c r="A331" s="36"/>
      <c r="B331" s="27"/>
      <c r="C331" s="28"/>
      <c r="D331" s="28"/>
      <c r="E331" s="29"/>
      <c r="F331" s="28"/>
      <c r="G331" s="28"/>
      <c r="H331" s="37"/>
      <c r="I331" s="28"/>
      <c r="J331" s="28"/>
      <c r="K331" s="28"/>
      <c r="L331" s="29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4.25" customHeight="1" x14ac:dyDescent="0.25">
      <c r="A332" s="36"/>
      <c r="B332" s="27"/>
      <c r="C332" s="28"/>
      <c r="D332" s="28"/>
      <c r="E332" s="29"/>
      <c r="F332" s="28"/>
      <c r="G332" s="28"/>
      <c r="H332" s="37"/>
      <c r="I332" s="28"/>
      <c r="J332" s="28"/>
      <c r="K332" s="28"/>
      <c r="L332" s="29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4.25" customHeight="1" x14ac:dyDescent="0.25">
      <c r="A333" s="36"/>
      <c r="B333" s="27"/>
      <c r="C333" s="28"/>
      <c r="D333" s="28"/>
      <c r="E333" s="29"/>
      <c r="F333" s="28"/>
      <c r="G333" s="28"/>
      <c r="H333" s="37"/>
      <c r="I333" s="28"/>
      <c r="J333" s="28"/>
      <c r="K333" s="28"/>
      <c r="L333" s="29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4.25" customHeight="1" x14ac:dyDescent="0.25">
      <c r="A334" s="36"/>
      <c r="B334" s="27"/>
      <c r="C334" s="28"/>
      <c r="D334" s="28"/>
      <c r="E334" s="29"/>
      <c r="F334" s="28"/>
      <c r="G334" s="28"/>
      <c r="H334" s="37"/>
      <c r="I334" s="28"/>
      <c r="J334" s="28"/>
      <c r="K334" s="28"/>
      <c r="L334" s="29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4.25" customHeight="1" x14ac:dyDescent="0.25">
      <c r="A335" s="36"/>
      <c r="B335" s="27"/>
      <c r="C335" s="28"/>
      <c r="D335" s="28"/>
      <c r="E335" s="29"/>
      <c r="F335" s="28"/>
      <c r="G335" s="28"/>
      <c r="H335" s="37"/>
      <c r="I335" s="28"/>
      <c r="J335" s="28"/>
      <c r="K335" s="28"/>
      <c r="L335" s="29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4.25" customHeight="1" x14ac:dyDescent="0.25">
      <c r="A336" s="36"/>
      <c r="B336" s="27"/>
      <c r="C336" s="28"/>
      <c r="D336" s="28"/>
      <c r="E336" s="29"/>
      <c r="F336" s="28"/>
      <c r="G336" s="28"/>
      <c r="H336" s="37"/>
      <c r="I336" s="28"/>
      <c r="J336" s="28"/>
      <c r="K336" s="28"/>
      <c r="L336" s="29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4.25" customHeight="1" x14ac:dyDescent="0.25">
      <c r="A337" s="36"/>
      <c r="B337" s="27"/>
      <c r="C337" s="28"/>
      <c r="D337" s="28"/>
      <c r="E337" s="29"/>
      <c r="F337" s="28"/>
      <c r="G337" s="28"/>
      <c r="H337" s="37"/>
      <c r="I337" s="28"/>
      <c r="J337" s="28"/>
      <c r="K337" s="28"/>
      <c r="L337" s="29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4.25" customHeight="1" x14ac:dyDescent="0.25">
      <c r="A338" s="36"/>
      <c r="B338" s="27"/>
      <c r="C338" s="28"/>
      <c r="D338" s="28"/>
      <c r="E338" s="29"/>
      <c r="F338" s="28"/>
      <c r="G338" s="28"/>
      <c r="H338" s="37"/>
      <c r="I338" s="28"/>
      <c r="J338" s="28"/>
      <c r="K338" s="28"/>
      <c r="L338" s="29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4.25" customHeight="1" x14ac:dyDescent="0.25">
      <c r="A339" s="36"/>
      <c r="B339" s="27"/>
      <c r="C339" s="28"/>
      <c r="D339" s="28"/>
      <c r="E339" s="29"/>
      <c r="F339" s="28"/>
      <c r="G339" s="28"/>
      <c r="H339" s="37"/>
      <c r="I339" s="28"/>
      <c r="J339" s="28"/>
      <c r="K339" s="28"/>
      <c r="L339" s="29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4.25" customHeight="1" x14ac:dyDescent="0.25">
      <c r="A340" s="36"/>
      <c r="B340" s="27"/>
      <c r="C340" s="28"/>
      <c r="D340" s="28"/>
      <c r="E340" s="29"/>
      <c r="F340" s="28"/>
      <c r="G340" s="28"/>
      <c r="H340" s="37"/>
      <c r="I340" s="28"/>
      <c r="J340" s="28"/>
      <c r="K340" s="28"/>
      <c r="L340" s="29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4.25" customHeight="1" x14ac:dyDescent="0.25">
      <c r="A341" s="36"/>
      <c r="B341" s="27"/>
      <c r="C341" s="28"/>
      <c r="D341" s="28"/>
      <c r="E341" s="29"/>
      <c r="F341" s="28"/>
      <c r="G341" s="28"/>
      <c r="H341" s="37"/>
      <c r="I341" s="28"/>
      <c r="J341" s="28"/>
      <c r="K341" s="28"/>
      <c r="L341" s="29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4.25" customHeight="1" x14ac:dyDescent="0.25">
      <c r="A342" s="36"/>
      <c r="B342" s="27"/>
      <c r="C342" s="28"/>
      <c r="D342" s="28"/>
      <c r="E342" s="29"/>
      <c r="F342" s="28"/>
      <c r="G342" s="28"/>
      <c r="H342" s="37"/>
      <c r="I342" s="28"/>
      <c r="J342" s="28"/>
      <c r="K342" s="28"/>
      <c r="L342" s="29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4.25" customHeight="1" x14ac:dyDescent="0.25">
      <c r="A343" s="36"/>
      <c r="B343" s="27"/>
      <c r="C343" s="28"/>
      <c r="D343" s="28"/>
      <c r="E343" s="29"/>
      <c r="F343" s="28"/>
      <c r="G343" s="28"/>
      <c r="H343" s="37"/>
      <c r="I343" s="28"/>
      <c r="J343" s="28"/>
      <c r="K343" s="28"/>
      <c r="L343" s="29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4.25" customHeight="1" x14ac:dyDescent="0.25">
      <c r="A344" s="36"/>
      <c r="B344" s="27"/>
      <c r="C344" s="28"/>
      <c r="D344" s="28"/>
      <c r="E344" s="29"/>
      <c r="F344" s="28"/>
      <c r="G344" s="28"/>
      <c r="H344" s="37"/>
      <c r="I344" s="28"/>
      <c r="J344" s="28"/>
      <c r="K344" s="28"/>
      <c r="L344" s="29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4.25" customHeight="1" x14ac:dyDescent="0.25">
      <c r="A345" s="36"/>
      <c r="B345" s="27"/>
      <c r="C345" s="28"/>
      <c r="D345" s="28"/>
      <c r="E345" s="29"/>
      <c r="F345" s="28"/>
      <c r="G345" s="28"/>
      <c r="H345" s="37"/>
      <c r="I345" s="28"/>
      <c r="J345" s="28"/>
      <c r="K345" s="28"/>
      <c r="L345" s="29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4.25" customHeight="1" x14ac:dyDescent="0.25">
      <c r="A346" s="36"/>
      <c r="B346" s="27"/>
      <c r="C346" s="28"/>
      <c r="D346" s="28"/>
      <c r="E346" s="29"/>
      <c r="F346" s="28"/>
      <c r="G346" s="28"/>
      <c r="H346" s="37"/>
      <c r="I346" s="28"/>
      <c r="J346" s="28"/>
      <c r="K346" s="28"/>
      <c r="L346" s="29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4.25" customHeight="1" x14ac:dyDescent="0.25">
      <c r="A347" s="36"/>
      <c r="B347" s="27"/>
      <c r="C347" s="28"/>
      <c r="D347" s="28"/>
      <c r="E347" s="29"/>
      <c r="F347" s="28"/>
      <c r="G347" s="28"/>
      <c r="H347" s="37"/>
      <c r="I347" s="28"/>
      <c r="J347" s="28"/>
      <c r="K347" s="28"/>
      <c r="L347" s="29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4.25" customHeight="1" x14ac:dyDescent="0.25">
      <c r="A348" s="36"/>
      <c r="B348" s="27"/>
      <c r="C348" s="28"/>
      <c r="D348" s="28"/>
      <c r="E348" s="29"/>
      <c r="F348" s="28"/>
      <c r="G348" s="28"/>
      <c r="H348" s="37"/>
      <c r="I348" s="28"/>
      <c r="J348" s="28"/>
      <c r="K348" s="28"/>
      <c r="L348" s="29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4.25" customHeight="1" x14ac:dyDescent="0.25">
      <c r="A349" s="36"/>
      <c r="B349" s="27"/>
      <c r="C349" s="28"/>
      <c r="D349" s="28"/>
      <c r="E349" s="29"/>
      <c r="F349" s="28"/>
      <c r="G349" s="28"/>
      <c r="H349" s="37"/>
      <c r="I349" s="28"/>
      <c r="J349" s="28"/>
      <c r="K349" s="28"/>
      <c r="L349" s="29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4.25" customHeight="1" x14ac:dyDescent="0.25">
      <c r="A350" s="36"/>
      <c r="B350" s="27"/>
      <c r="C350" s="28"/>
      <c r="D350" s="28"/>
      <c r="E350" s="29"/>
      <c r="F350" s="28"/>
      <c r="G350" s="28"/>
      <c r="H350" s="37"/>
      <c r="I350" s="28"/>
      <c r="J350" s="28"/>
      <c r="K350" s="28"/>
      <c r="L350" s="29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4.25" customHeight="1" x14ac:dyDescent="0.25">
      <c r="A351" s="36"/>
      <c r="B351" s="27"/>
      <c r="C351" s="28"/>
      <c r="D351" s="28"/>
      <c r="E351" s="29"/>
      <c r="F351" s="28"/>
      <c r="G351" s="28"/>
      <c r="H351" s="37"/>
      <c r="I351" s="28"/>
      <c r="J351" s="28"/>
      <c r="K351" s="28"/>
      <c r="L351" s="29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4.25" customHeight="1" x14ac:dyDescent="0.25">
      <c r="A352" s="36"/>
      <c r="B352" s="27"/>
      <c r="C352" s="28"/>
      <c r="D352" s="28"/>
      <c r="E352" s="29"/>
      <c r="F352" s="28"/>
      <c r="G352" s="28"/>
      <c r="H352" s="37"/>
      <c r="I352" s="28"/>
      <c r="J352" s="28"/>
      <c r="K352" s="28"/>
      <c r="L352" s="29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4.25" customHeight="1" x14ac:dyDescent="0.25">
      <c r="A353" s="36"/>
      <c r="B353" s="27"/>
      <c r="C353" s="28"/>
      <c r="D353" s="28"/>
      <c r="E353" s="29"/>
      <c r="F353" s="28"/>
      <c r="G353" s="28"/>
      <c r="H353" s="37"/>
      <c r="I353" s="28"/>
      <c r="J353" s="28"/>
      <c r="K353" s="28"/>
      <c r="L353" s="29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4.25" customHeight="1" x14ac:dyDescent="0.25">
      <c r="A354" s="36"/>
      <c r="B354" s="27"/>
      <c r="C354" s="28"/>
      <c r="D354" s="28"/>
      <c r="E354" s="29"/>
      <c r="F354" s="28"/>
      <c r="G354" s="28"/>
      <c r="H354" s="37"/>
      <c r="I354" s="28"/>
      <c r="J354" s="28"/>
      <c r="K354" s="28"/>
      <c r="L354" s="29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4.25" customHeight="1" x14ac:dyDescent="0.25">
      <c r="A355" s="36"/>
      <c r="B355" s="27"/>
      <c r="C355" s="28"/>
      <c r="D355" s="28"/>
      <c r="E355" s="29"/>
      <c r="F355" s="28"/>
      <c r="G355" s="28"/>
      <c r="H355" s="37"/>
      <c r="I355" s="28"/>
      <c r="J355" s="28"/>
      <c r="K355" s="28"/>
      <c r="L355" s="29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4.25" customHeight="1" x14ac:dyDescent="0.25">
      <c r="A356" s="36"/>
      <c r="B356" s="27"/>
      <c r="C356" s="28"/>
      <c r="D356" s="28"/>
      <c r="E356" s="29"/>
      <c r="F356" s="28"/>
      <c r="G356" s="28"/>
      <c r="H356" s="37"/>
      <c r="I356" s="28"/>
      <c r="J356" s="28"/>
      <c r="K356" s="28"/>
      <c r="L356" s="29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4.25" customHeight="1" x14ac:dyDescent="0.25">
      <c r="A357" s="36"/>
      <c r="B357" s="27"/>
      <c r="C357" s="28"/>
      <c r="D357" s="28"/>
      <c r="E357" s="29"/>
      <c r="F357" s="28"/>
      <c r="G357" s="28"/>
      <c r="H357" s="37"/>
      <c r="I357" s="28"/>
      <c r="J357" s="28"/>
      <c r="K357" s="28"/>
      <c r="L357" s="29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4.25" customHeight="1" x14ac:dyDescent="0.25">
      <c r="A358" s="36"/>
      <c r="B358" s="27"/>
      <c r="C358" s="28"/>
      <c r="D358" s="28"/>
      <c r="E358" s="29"/>
      <c r="F358" s="28"/>
      <c r="G358" s="28"/>
      <c r="H358" s="37"/>
      <c r="I358" s="28"/>
      <c r="J358" s="28"/>
      <c r="K358" s="28"/>
      <c r="L358" s="29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4.25" customHeight="1" x14ac:dyDescent="0.25">
      <c r="A359" s="36"/>
      <c r="B359" s="27"/>
      <c r="C359" s="28"/>
      <c r="D359" s="28"/>
      <c r="E359" s="29"/>
      <c r="F359" s="28"/>
      <c r="G359" s="28"/>
      <c r="H359" s="37"/>
      <c r="I359" s="28"/>
      <c r="J359" s="28"/>
      <c r="K359" s="28"/>
      <c r="L359" s="29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4.25" customHeight="1" x14ac:dyDescent="0.25">
      <c r="A360" s="36"/>
      <c r="B360" s="27"/>
      <c r="C360" s="28"/>
      <c r="D360" s="28"/>
      <c r="E360" s="29"/>
      <c r="F360" s="28"/>
      <c r="G360" s="28"/>
      <c r="H360" s="37"/>
      <c r="I360" s="28"/>
      <c r="J360" s="28"/>
      <c r="K360" s="28"/>
      <c r="L360" s="29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4.25" customHeight="1" x14ac:dyDescent="0.25">
      <c r="A361" s="36"/>
      <c r="B361" s="27"/>
      <c r="C361" s="28"/>
      <c r="D361" s="28"/>
      <c r="E361" s="29"/>
      <c r="F361" s="28"/>
      <c r="G361" s="28"/>
      <c r="H361" s="37"/>
      <c r="I361" s="28"/>
      <c r="J361" s="28"/>
      <c r="K361" s="28"/>
      <c r="L361" s="29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4.25" customHeight="1" x14ac:dyDescent="0.25">
      <c r="A362" s="36"/>
      <c r="B362" s="27"/>
      <c r="C362" s="28"/>
      <c r="D362" s="28"/>
      <c r="E362" s="29"/>
      <c r="F362" s="28"/>
      <c r="G362" s="28"/>
      <c r="H362" s="37"/>
      <c r="I362" s="28"/>
      <c r="J362" s="28"/>
      <c r="K362" s="28"/>
      <c r="L362" s="29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4.25" customHeight="1" x14ac:dyDescent="0.25">
      <c r="A363" s="36"/>
      <c r="B363" s="27"/>
      <c r="C363" s="28"/>
      <c r="D363" s="28"/>
      <c r="E363" s="29"/>
      <c r="F363" s="28"/>
      <c r="G363" s="28"/>
      <c r="H363" s="37"/>
      <c r="I363" s="28"/>
      <c r="J363" s="28"/>
      <c r="K363" s="28"/>
      <c r="L363" s="29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4.25" customHeight="1" x14ac:dyDescent="0.25">
      <c r="A364" s="36"/>
      <c r="B364" s="27"/>
      <c r="C364" s="28"/>
      <c r="D364" s="28"/>
      <c r="E364" s="29"/>
      <c r="F364" s="28"/>
      <c r="G364" s="28"/>
      <c r="H364" s="37"/>
      <c r="I364" s="28"/>
      <c r="J364" s="28"/>
      <c r="K364" s="28"/>
      <c r="L364" s="29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4.25" customHeight="1" x14ac:dyDescent="0.25">
      <c r="A365" s="36"/>
      <c r="B365" s="27"/>
      <c r="C365" s="28"/>
      <c r="D365" s="28"/>
      <c r="E365" s="29"/>
      <c r="F365" s="28"/>
      <c r="G365" s="28"/>
      <c r="H365" s="37"/>
      <c r="I365" s="28"/>
      <c r="J365" s="28"/>
      <c r="K365" s="28"/>
      <c r="L365" s="29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4.25" customHeight="1" x14ac:dyDescent="0.25">
      <c r="A366" s="36"/>
      <c r="B366" s="27"/>
      <c r="C366" s="28"/>
      <c r="D366" s="28"/>
      <c r="E366" s="29"/>
      <c r="F366" s="28"/>
      <c r="G366" s="28"/>
      <c r="H366" s="37"/>
      <c r="I366" s="28"/>
      <c r="J366" s="28"/>
      <c r="K366" s="28"/>
      <c r="L366" s="29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4.25" customHeight="1" x14ac:dyDescent="0.25">
      <c r="A367" s="36"/>
      <c r="B367" s="27"/>
      <c r="C367" s="28"/>
      <c r="D367" s="28"/>
      <c r="E367" s="29"/>
      <c r="F367" s="28"/>
      <c r="G367" s="28"/>
      <c r="H367" s="37"/>
      <c r="I367" s="28"/>
      <c r="J367" s="28"/>
      <c r="K367" s="28"/>
      <c r="L367" s="29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4.25" customHeight="1" x14ac:dyDescent="0.25">
      <c r="A368" s="36"/>
      <c r="B368" s="27"/>
      <c r="C368" s="28"/>
      <c r="D368" s="28"/>
      <c r="E368" s="29"/>
      <c r="F368" s="28"/>
      <c r="G368" s="28"/>
      <c r="H368" s="37"/>
      <c r="I368" s="28"/>
      <c r="J368" s="28"/>
      <c r="K368" s="28"/>
      <c r="L368" s="29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4.25" customHeight="1" x14ac:dyDescent="0.25">
      <c r="A369" s="36"/>
      <c r="B369" s="27"/>
      <c r="C369" s="28"/>
      <c r="D369" s="28"/>
      <c r="E369" s="29"/>
      <c r="F369" s="28"/>
      <c r="G369" s="28"/>
      <c r="H369" s="37"/>
      <c r="I369" s="28"/>
      <c r="J369" s="28"/>
      <c r="K369" s="28"/>
      <c r="L369" s="29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4.25" customHeight="1" x14ac:dyDescent="0.25">
      <c r="A370" s="36"/>
      <c r="B370" s="27"/>
      <c r="C370" s="28"/>
      <c r="D370" s="28"/>
      <c r="E370" s="29"/>
      <c r="F370" s="28"/>
      <c r="G370" s="28"/>
      <c r="H370" s="37"/>
      <c r="I370" s="28"/>
      <c r="J370" s="28"/>
      <c r="K370" s="28"/>
      <c r="L370" s="29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4.25" customHeight="1" x14ac:dyDescent="0.25">
      <c r="A371" s="36"/>
      <c r="B371" s="27"/>
      <c r="C371" s="28"/>
      <c r="D371" s="28"/>
      <c r="E371" s="29"/>
      <c r="F371" s="28"/>
      <c r="G371" s="28"/>
      <c r="H371" s="37"/>
      <c r="I371" s="28"/>
      <c r="J371" s="28"/>
      <c r="K371" s="28"/>
      <c r="L371" s="29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4.25" customHeight="1" x14ac:dyDescent="0.25">
      <c r="A372" s="36"/>
      <c r="B372" s="27"/>
      <c r="C372" s="28"/>
      <c r="D372" s="28"/>
      <c r="E372" s="29"/>
      <c r="F372" s="28"/>
      <c r="G372" s="28"/>
      <c r="H372" s="37"/>
      <c r="I372" s="28"/>
      <c r="J372" s="28"/>
      <c r="K372" s="28"/>
      <c r="L372" s="29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4.25" customHeight="1" x14ac:dyDescent="0.25">
      <c r="A373" s="36"/>
      <c r="B373" s="27"/>
      <c r="C373" s="28"/>
      <c r="D373" s="28"/>
      <c r="E373" s="29"/>
      <c r="F373" s="28"/>
      <c r="G373" s="28"/>
      <c r="H373" s="37"/>
      <c r="I373" s="28"/>
      <c r="J373" s="28"/>
      <c r="K373" s="28"/>
      <c r="L373" s="29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4.25" customHeight="1" x14ac:dyDescent="0.25">
      <c r="A374" s="36"/>
      <c r="B374" s="27"/>
      <c r="C374" s="28"/>
      <c r="D374" s="28"/>
      <c r="E374" s="29"/>
      <c r="F374" s="28"/>
      <c r="G374" s="28"/>
      <c r="H374" s="37"/>
      <c r="I374" s="28"/>
      <c r="J374" s="28"/>
      <c r="K374" s="28"/>
      <c r="L374" s="29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4.25" customHeight="1" x14ac:dyDescent="0.25">
      <c r="A375" s="36"/>
      <c r="B375" s="27"/>
      <c r="C375" s="28"/>
      <c r="D375" s="28"/>
      <c r="E375" s="29"/>
      <c r="F375" s="28"/>
      <c r="G375" s="28"/>
      <c r="H375" s="37"/>
      <c r="I375" s="28"/>
      <c r="J375" s="28"/>
      <c r="K375" s="28"/>
      <c r="L375" s="29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4.25" customHeight="1" x14ac:dyDescent="0.25">
      <c r="A376" s="36"/>
      <c r="B376" s="27"/>
      <c r="C376" s="28"/>
      <c r="D376" s="28"/>
      <c r="E376" s="29"/>
      <c r="F376" s="28"/>
      <c r="G376" s="28"/>
      <c r="H376" s="37"/>
      <c r="I376" s="28"/>
      <c r="J376" s="28"/>
      <c r="K376" s="28"/>
      <c r="L376" s="29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4.25" customHeight="1" x14ac:dyDescent="0.25">
      <c r="A377" s="36"/>
      <c r="B377" s="27"/>
      <c r="C377" s="28"/>
      <c r="D377" s="28"/>
      <c r="E377" s="29"/>
      <c r="F377" s="28"/>
      <c r="G377" s="28"/>
      <c r="H377" s="37"/>
      <c r="I377" s="28"/>
      <c r="J377" s="28"/>
      <c r="K377" s="28"/>
      <c r="L377" s="29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4.25" customHeight="1" x14ac:dyDescent="0.25">
      <c r="A378" s="36"/>
      <c r="B378" s="27"/>
      <c r="C378" s="28"/>
      <c r="D378" s="28"/>
      <c r="E378" s="29"/>
      <c r="F378" s="28"/>
      <c r="G378" s="28"/>
      <c r="H378" s="37"/>
      <c r="I378" s="28"/>
      <c r="J378" s="28"/>
      <c r="K378" s="28"/>
      <c r="L378" s="29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4.25" customHeight="1" x14ac:dyDescent="0.25">
      <c r="A379" s="36"/>
      <c r="B379" s="27"/>
      <c r="C379" s="28"/>
      <c r="D379" s="28"/>
      <c r="E379" s="29"/>
      <c r="F379" s="28"/>
      <c r="G379" s="28"/>
      <c r="H379" s="37"/>
      <c r="I379" s="28"/>
      <c r="J379" s="28"/>
      <c r="K379" s="28"/>
      <c r="L379" s="29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4.25" customHeight="1" x14ac:dyDescent="0.25">
      <c r="A380" s="36"/>
      <c r="B380" s="27"/>
      <c r="C380" s="28"/>
      <c r="D380" s="28"/>
      <c r="E380" s="29"/>
      <c r="F380" s="28"/>
      <c r="G380" s="28"/>
      <c r="H380" s="37"/>
      <c r="I380" s="28"/>
      <c r="J380" s="28"/>
      <c r="K380" s="28"/>
      <c r="L380" s="29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4.25" customHeight="1" x14ac:dyDescent="0.25">
      <c r="A381" s="36"/>
      <c r="B381" s="27"/>
      <c r="C381" s="28"/>
      <c r="D381" s="28"/>
      <c r="E381" s="29"/>
      <c r="F381" s="28"/>
      <c r="G381" s="28"/>
      <c r="H381" s="37"/>
      <c r="I381" s="28"/>
      <c r="J381" s="28"/>
      <c r="K381" s="28"/>
      <c r="L381" s="29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4.25" customHeight="1" x14ac:dyDescent="0.25">
      <c r="A382" s="36"/>
      <c r="B382" s="27"/>
      <c r="C382" s="28"/>
      <c r="D382" s="28"/>
      <c r="E382" s="29"/>
      <c r="F382" s="28"/>
      <c r="G382" s="28"/>
      <c r="H382" s="37"/>
      <c r="I382" s="28"/>
      <c r="J382" s="28"/>
      <c r="K382" s="28"/>
      <c r="L382" s="29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4.25" customHeight="1" x14ac:dyDescent="0.25">
      <c r="A383" s="36"/>
      <c r="B383" s="27"/>
      <c r="C383" s="28"/>
      <c r="D383" s="28"/>
      <c r="E383" s="29"/>
      <c r="F383" s="28"/>
      <c r="G383" s="28"/>
      <c r="H383" s="37"/>
      <c r="I383" s="28"/>
      <c r="J383" s="28"/>
      <c r="K383" s="28"/>
      <c r="L383" s="29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4.25" customHeight="1" x14ac:dyDescent="0.25">
      <c r="A384" s="36"/>
      <c r="B384" s="27"/>
      <c r="C384" s="28"/>
      <c r="D384" s="28"/>
      <c r="E384" s="29"/>
      <c r="F384" s="28"/>
      <c r="G384" s="28"/>
      <c r="H384" s="37"/>
      <c r="I384" s="28"/>
      <c r="J384" s="28"/>
      <c r="K384" s="28"/>
      <c r="L384" s="29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4.25" customHeight="1" x14ac:dyDescent="0.25">
      <c r="A385" s="36"/>
      <c r="B385" s="27"/>
      <c r="C385" s="28"/>
      <c r="D385" s="28"/>
      <c r="E385" s="29"/>
      <c r="F385" s="28"/>
      <c r="G385" s="28"/>
      <c r="H385" s="37"/>
      <c r="I385" s="28"/>
      <c r="J385" s="28"/>
      <c r="K385" s="28"/>
      <c r="L385" s="29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4.25" customHeight="1" x14ac:dyDescent="0.25">
      <c r="A386" s="36"/>
      <c r="B386" s="27"/>
      <c r="C386" s="28"/>
      <c r="D386" s="28"/>
      <c r="E386" s="29"/>
      <c r="F386" s="28"/>
      <c r="G386" s="28"/>
      <c r="H386" s="37"/>
      <c r="I386" s="28"/>
      <c r="J386" s="28"/>
      <c r="K386" s="28"/>
      <c r="L386" s="29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4.25" customHeight="1" x14ac:dyDescent="0.25">
      <c r="A387" s="36"/>
      <c r="B387" s="27"/>
      <c r="C387" s="28"/>
      <c r="D387" s="28"/>
      <c r="E387" s="29"/>
      <c r="F387" s="28"/>
      <c r="G387" s="28"/>
      <c r="H387" s="37"/>
      <c r="I387" s="28"/>
      <c r="J387" s="28"/>
      <c r="K387" s="28"/>
      <c r="L387" s="29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4.25" customHeight="1" x14ac:dyDescent="0.25">
      <c r="A388" s="36"/>
      <c r="B388" s="27"/>
      <c r="C388" s="28"/>
      <c r="D388" s="28"/>
      <c r="E388" s="29"/>
      <c r="F388" s="28"/>
      <c r="G388" s="28"/>
      <c r="H388" s="37"/>
      <c r="I388" s="28"/>
      <c r="J388" s="28"/>
      <c r="K388" s="28"/>
      <c r="L388" s="29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4.25" customHeight="1" x14ac:dyDescent="0.25">
      <c r="A389" s="36"/>
      <c r="B389" s="27"/>
      <c r="C389" s="28"/>
      <c r="D389" s="28"/>
      <c r="E389" s="29"/>
      <c r="F389" s="28"/>
      <c r="G389" s="28"/>
      <c r="H389" s="37"/>
      <c r="I389" s="28"/>
      <c r="J389" s="28"/>
      <c r="K389" s="28"/>
      <c r="L389" s="29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4.25" customHeight="1" x14ac:dyDescent="0.25">
      <c r="A390" s="36"/>
      <c r="B390" s="27"/>
      <c r="C390" s="28"/>
      <c r="D390" s="28"/>
      <c r="E390" s="29"/>
      <c r="F390" s="28"/>
      <c r="G390" s="28"/>
      <c r="H390" s="37"/>
      <c r="I390" s="28"/>
      <c r="J390" s="28"/>
      <c r="K390" s="28"/>
      <c r="L390" s="29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4.25" customHeight="1" x14ac:dyDescent="0.25">
      <c r="A391" s="36"/>
      <c r="B391" s="27"/>
      <c r="C391" s="28"/>
      <c r="D391" s="28"/>
      <c r="E391" s="29"/>
      <c r="F391" s="28"/>
      <c r="G391" s="28"/>
      <c r="H391" s="37"/>
      <c r="I391" s="28"/>
      <c r="J391" s="28"/>
      <c r="K391" s="28"/>
      <c r="L391" s="29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4.25" customHeight="1" x14ac:dyDescent="0.25">
      <c r="A392" s="36"/>
      <c r="B392" s="27"/>
      <c r="C392" s="28"/>
      <c r="D392" s="28"/>
      <c r="E392" s="29"/>
      <c r="F392" s="28"/>
      <c r="G392" s="28"/>
      <c r="H392" s="37"/>
      <c r="I392" s="28"/>
      <c r="J392" s="28"/>
      <c r="K392" s="28"/>
      <c r="L392" s="29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4.25" customHeight="1" x14ac:dyDescent="0.25">
      <c r="A393" s="36"/>
      <c r="B393" s="27"/>
      <c r="C393" s="28"/>
      <c r="D393" s="28"/>
      <c r="E393" s="29"/>
      <c r="F393" s="28"/>
      <c r="G393" s="28"/>
      <c r="H393" s="37"/>
      <c r="I393" s="28"/>
      <c r="J393" s="28"/>
      <c r="K393" s="28"/>
      <c r="L393" s="29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4.25" customHeight="1" x14ac:dyDescent="0.25">
      <c r="A394" s="36"/>
      <c r="B394" s="27"/>
      <c r="C394" s="28"/>
      <c r="D394" s="28"/>
      <c r="E394" s="29"/>
      <c r="F394" s="28"/>
      <c r="G394" s="28"/>
      <c r="H394" s="37"/>
      <c r="I394" s="28"/>
      <c r="J394" s="28"/>
      <c r="K394" s="28"/>
      <c r="L394" s="29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4.25" customHeight="1" x14ac:dyDescent="0.25">
      <c r="A395" s="36"/>
      <c r="B395" s="27"/>
      <c r="C395" s="28"/>
      <c r="D395" s="28"/>
      <c r="E395" s="29"/>
      <c r="F395" s="28"/>
      <c r="G395" s="28"/>
      <c r="H395" s="37"/>
      <c r="I395" s="28"/>
      <c r="J395" s="28"/>
      <c r="K395" s="28"/>
      <c r="L395" s="29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4.25" customHeight="1" x14ac:dyDescent="0.25">
      <c r="A396" s="36"/>
      <c r="B396" s="27"/>
      <c r="C396" s="28"/>
      <c r="D396" s="28"/>
      <c r="E396" s="29"/>
      <c r="F396" s="28"/>
      <c r="G396" s="28"/>
      <c r="H396" s="37"/>
      <c r="I396" s="28"/>
      <c r="J396" s="28"/>
      <c r="K396" s="28"/>
      <c r="L396" s="29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4.25" customHeight="1" x14ac:dyDescent="0.25">
      <c r="A397" s="36"/>
      <c r="B397" s="27"/>
      <c r="C397" s="28"/>
      <c r="D397" s="28"/>
      <c r="E397" s="29"/>
      <c r="F397" s="28"/>
      <c r="G397" s="28"/>
      <c r="H397" s="37"/>
      <c r="I397" s="28"/>
      <c r="J397" s="28"/>
      <c r="K397" s="28"/>
      <c r="L397" s="29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4.25" customHeight="1" x14ac:dyDescent="0.25">
      <c r="A398" s="36"/>
      <c r="B398" s="27"/>
      <c r="C398" s="28"/>
      <c r="D398" s="28"/>
      <c r="E398" s="29"/>
      <c r="F398" s="28"/>
      <c r="G398" s="28"/>
      <c r="H398" s="37"/>
      <c r="I398" s="28"/>
      <c r="J398" s="28"/>
      <c r="K398" s="28"/>
      <c r="L398" s="29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4.25" customHeight="1" x14ac:dyDescent="0.25">
      <c r="A399" s="36"/>
      <c r="B399" s="27"/>
      <c r="C399" s="28"/>
      <c r="D399" s="28"/>
      <c r="E399" s="29"/>
      <c r="F399" s="28"/>
      <c r="G399" s="28"/>
      <c r="H399" s="37"/>
      <c r="I399" s="28"/>
      <c r="J399" s="28"/>
      <c r="K399" s="28"/>
      <c r="L399" s="29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4.25" customHeight="1" x14ac:dyDescent="0.25">
      <c r="A400" s="36"/>
      <c r="B400" s="27"/>
      <c r="C400" s="28"/>
      <c r="D400" s="28"/>
      <c r="E400" s="29"/>
      <c r="F400" s="28"/>
      <c r="G400" s="28"/>
      <c r="H400" s="37"/>
      <c r="I400" s="28"/>
      <c r="J400" s="28"/>
      <c r="K400" s="28"/>
      <c r="L400" s="29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4.25" customHeight="1" x14ac:dyDescent="0.25">
      <c r="A401" s="36"/>
      <c r="B401" s="27"/>
      <c r="C401" s="28"/>
      <c r="D401" s="28"/>
      <c r="E401" s="29"/>
      <c r="F401" s="28"/>
      <c r="G401" s="28"/>
      <c r="H401" s="37"/>
      <c r="I401" s="28"/>
      <c r="J401" s="28"/>
      <c r="K401" s="28"/>
      <c r="L401" s="29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4.25" customHeight="1" x14ac:dyDescent="0.25">
      <c r="A402" s="36"/>
      <c r="B402" s="27"/>
      <c r="C402" s="28"/>
      <c r="D402" s="28"/>
      <c r="E402" s="29"/>
      <c r="F402" s="28"/>
      <c r="G402" s="28"/>
      <c r="H402" s="37"/>
      <c r="I402" s="28"/>
      <c r="J402" s="28"/>
      <c r="K402" s="28"/>
      <c r="L402" s="29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4.25" customHeight="1" x14ac:dyDescent="0.25">
      <c r="A403" s="36"/>
      <c r="B403" s="27"/>
      <c r="C403" s="28"/>
      <c r="D403" s="28"/>
      <c r="E403" s="29"/>
      <c r="F403" s="28"/>
      <c r="G403" s="28"/>
      <c r="H403" s="37"/>
      <c r="I403" s="28"/>
      <c r="J403" s="28"/>
      <c r="K403" s="28"/>
      <c r="L403" s="29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4.25" customHeight="1" x14ac:dyDescent="0.25">
      <c r="A404" s="36"/>
      <c r="B404" s="27"/>
      <c r="C404" s="28"/>
      <c r="D404" s="28"/>
      <c r="E404" s="29"/>
      <c r="F404" s="28"/>
      <c r="G404" s="28"/>
      <c r="H404" s="37"/>
      <c r="I404" s="28"/>
      <c r="J404" s="28"/>
      <c r="K404" s="28"/>
      <c r="L404" s="29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4.25" customHeight="1" x14ac:dyDescent="0.25">
      <c r="A405" s="36"/>
      <c r="B405" s="27"/>
      <c r="C405" s="28"/>
      <c r="D405" s="28"/>
      <c r="E405" s="29"/>
      <c r="F405" s="28"/>
      <c r="G405" s="28"/>
      <c r="H405" s="37"/>
      <c r="I405" s="28"/>
      <c r="J405" s="28"/>
      <c r="K405" s="28"/>
      <c r="L405" s="29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4.25" customHeight="1" x14ac:dyDescent="0.25">
      <c r="A406" s="36"/>
      <c r="B406" s="27"/>
      <c r="C406" s="28"/>
      <c r="D406" s="28"/>
      <c r="E406" s="29"/>
      <c r="F406" s="28"/>
      <c r="G406" s="28"/>
      <c r="H406" s="37"/>
      <c r="I406" s="28"/>
      <c r="J406" s="28"/>
      <c r="K406" s="28"/>
      <c r="L406" s="29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4.25" customHeight="1" x14ac:dyDescent="0.25">
      <c r="A407" s="36"/>
      <c r="B407" s="27"/>
      <c r="C407" s="28"/>
      <c r="D407" s="28"/>
      <c r="E407" s="29"/>
      <c r="F407" s="28"/>
      <c r="G407" s="28"/>
      <c r="H407" s="37"/>
      <c r="I407" s="28"/>
      <c r="J407" s="28"/>
      <c r="K407" s="28"/>
      <c r="L407" s="29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4.25" customHeight="1" x14ac:dyDescent="0.25">
      <c r="A408" s="36"/>
      <c r="B408" s="27"/>
      <c r="C408" s="28"/>
      <c r="D408" s="28"/>
      <c r="E408" s="29"/>
      <c r="F408" s="28"/>
      <c r="G408" s="28"/>
      <c r="H408" s="37"/>
      <c r="I408" s="28"/>
      <c r="J408" s="28"/>
      <c r="K408" s="28"/>
      <c r="L408" s="29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4.25" customHeight="1" x14ac:dyDescent="0.25">
      <c r="A409" s="36"/>
      <c r="B409" s="27"/>
      <c r="C409" s="28"/>
      <c r="D409" s="28"/>
      <c r="E409" s="29"/>
      <c r="F409" s="28"/>
      <c r="G409" s="28"/>
      <c r="H409" s="37"/>
      <c r="I409" s="28"/>
      <c r="J409" s="28"/>
      <c r="K409" s="28"/>
      <c r="L409" s="29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4.25" customHeight="1" x14ac:dyDescent="0.25">
      <c r="A410" s="36"/>
      <c r="B410" s="27"/>
      <c r="C410" s="28"/>
      <c r="D410" s="28"/>
      <c r="E410" s="29"/>
      <c r="F410" s="28"/>
      <c r="G410" s="28"/>
      <c r="H410" s="37"/>
      <c r="I410" s="28"/>
      <c r="J410" s="28"/>
      <c r="K410" s="28"/>
      <c r="L410" s="29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4.25" customHeight="1" x14ac:dyDescent="0.25">
      <c r="A411" s="36"/>
      <c r="B411" s="27"/>
      <c r="C411" s="28"/>
      <c r="D411" s="28"/>
      <c r="E411" s="29"/>
      <c r="F411" s="28"/>
      <c r="G411" s="28"/>
      <c r="H411" s="37"/>
      <c r="I411" s="28"/>
      <c r="J411" s="28"/>
      <c r="K411" s="28"/>
      <c r="L411" s="29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4.25" customHeight="1" x14ac:dyDescent="0.25">
      <c r="A412" s="36"/>
      <c r="B412" s="27"/>
      <c r="C412" s="28"/>
      <c r="D412" s="28"/>
      <c r="E412" s="29"/>
      <c r="F412" s="28"/>
      <c r="G412" s="28"/>
      <c r="H412" s="37"/>
      <c r="I412" s="28"/>
      <c r="J412" s="28"/>
      <c r="K412" s="28"/>
      <c r="L412" s="29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4.25" customHeight="1" x14ac:dyDescent="0.25">
      <c r="A413" s="36"/>
      <c r="B413" s="27"/>
      <c r="C413" s="28"/>
      <c r="D413" s="28"/>
      <c r="E413" s="29"/>
      <c r="F413" s="28"/>
      <c r="G413" s="28"/>
      <c r="H413" s="37"/>
      <c r="I413" s="28"/>
      <c r="J413" s="28"/>
      <c r="K413" s="28"/>
      <c r="L413" s="29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4.25" customHeight="1" x14ac:dyDescent="0.25">
      <c r="A414" s="36"/>
      <c r="B414" s="27"/>
      <c r="C414" s="28"/>
      <c r="D414" s="28"/>
      <c r="E414" s="29"/>
      <c r="F414" s="28"/>
      <c r="G414" s="28"/>
      <c r="H414" s="37"/>
      <c r="I414" s="28"/>
      <c r="J414" s="28"/>
      <c r="K414" s="28"/>
      <c r="L414" s="29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4.25" customHeight="1" x14ac:dyDescent="0.25">
      <c r="A415" s="36"/>
      <c r="B415" s="27"/>
      <c r="C415" s="28"/>
      <c r="D415" s="28"/>
      <c r="E415" s="29"/>
      <c r="F415" s="28"/>
      <c r="G415" s="28"/>
      <c r="H415" s="37"/>
      <c r="I415" s="28"/>
      <c r="J415" s="28"/>
      <c r="K415" s="28"/>
      <c r="L415" s="29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4.25" customHeight="1" x14ac:dyDescent="0.25">
      <c r="A416" s="36"/>
      <c r="B416" s="27"/>
      <c r="C416" s="28"/>
      <c r="D416" s="28"/>
      <c r="E416" s="29"/>
      <c r="F416" s="28"/>
      <c r="G416" s="28"/>
      <c r="H416" s="37"/>
      <c r="I416" s="28"/>
      <c r="J416" s="28"/>
      <c r="K416" s="28"/>
      <c r="L416" s="29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4.25" customHeight="1" x14ac:dyDescent="0.25">
      <c r="A417" s="36"/>
      <c r="B417" s="27"/>
      <c r="C417" s="28"/>
      <c r="D417" s="28"/>
      <c r="E417" s="29"/>
      <c r="F417" s="28"/>
      <c r="G417" s="28"/>
      <c r="H417" s="37"/>
      <c r="I417" s="28"/>
      <c r="J417" s="28"/>
      <c r="K417" s="28"/>
      <c r="L417" s="29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4.25" customHeight="1" x14ac:dyDescent="0.25">
      <c r="A418" s="36"/>
      <c r="B418" s="27"/>
      <c r="C418" s="28"/>
      <c r="D418" s="28"/>
      <c r="E418" s="29"/>
      <c r="F418" s="28"/>
      <c r="G418" s="28"/>
      <c r="H418" s="37"/>
      <c r="I418" s="28"/>
      <c r="J418" s="28"/>
      <c r="K418" s="28"/>
      <c r="L418" s="29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4.25" customHeight="1" x14ac:dyDescent="0.25">
      <c r="A419" s="36"/>
      <c r="B419" s="27"/>
      <c r="C419" s="28"/>
      <c r="D419" s="28"/>
      <c r="E419" s="29"/>
      <c r="F419" s="28"/>
      <c r="G419" s="28"/>
      <c r="H419" s="37"/>
      <c r="I419" s="28"/>
      <c r="J419" s="28"/>
      <c r="K419" s="28"/>
      <c r="L419" s="29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4.25" customHeight="1" x14ac:dyDescent="0.25">
      <c r="A420" s="36"/>
      <c r="B420" s="27"/>
      <c r="C420" s="28"/>
      <c r="D420" s="28"/>
      <c r="E420" s="29"/>
      <c r="F420" s="28"/>
      <c r="G420" s="28"/>
      <c r="H420" s="37"/>
      <c r="I420" s="28"/>
      <c r="J420" s="28"/>
      <c r="K420" s="28"/>
      <c r="L420" s="29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4.25" customHeight="1" x14ac:dyDescent="0.25">
      <c r="A421" s="36"/>
      <c r="B421" s="27"/>
      <c r="C421" s="28"/>
      <c r="D421" s="28"/>
      <c r="E421" s="29"/>
      <c r="F421" s="28"/>
      <c r="G421" s="28"/>
      <c r="H421" s="37"/>
      <c r="I421" s="28"/>
      <c r="J421" s="28"/>
      <c r="K421" s="28"/>
      <c r="L421" s="29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4.25" customHeight="1" x14ac:dyDescent="0.25">
      <c r="A422" s="36"/>
      <c r="B422" s="27"/>
      <c r="C422" s="28"/>
      <c r="D422" s="28"/>
      <c r="E422" s="29"/>
      <c r="F422" s="28"/>
      <c r="G422" s="28"/>
      <c r="H422" s="37"/>
      <c r="I422" s="28"/>
      <c r="J422" s="28"/>
      <c r="K422" s="28"/>
      <c r="L422" s="29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4.25" customHeight="1" x14ac:dyDescent="0.25">
      <c r="A423" s="36"/>
      <c r="B423" s="27"/>
      <c r="C423" s="28"/>
      <c r="D423" s="28"/>
      <c r="E423" s="29"/>
      <c r="F423" s="28"/>
      <c r="G423" s="28"/>
      <c r="H423" s="37"/>
      <c r="I423" s="28"/>
      <c r="J423" s="28"/>
      <c r="K423" s="28"/>
      <c r="L423" s="29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4.25" customHeight="1" x14ac:dyDescent="0.25">
      <c r="A424" s="36"/>
      <c r="B424" s="27"/>
      <c r="C424" s="28"/>
      <c r="D424" s="28"/>
      <c r="E424" s="29"/>
      <c r="F424" s="28"/>
      <c r="G424" s="28"/>
      <c r="H424" s="37"/>
      <c r="I424" s="28"/>
      <c r="J424" s="28"/>
      <c r="K424" s="28"/>
      <c r="L424" s="29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4.25" customHeight="1" x14ac:dyDescent="0.25">
      <c r="A425" s="36"/>
      <c r="B425" s="27"/>
      <c r="C425" s="28"/>
      <c r="D425" s="28"/>
      <c r="E425" s="29"/>
      <c r="F425" s="28"/>
      <c r="G425" s="28"/>
      <c r="H425" s="37"/>
      <c r="I425" s="28"/>
      <c r="J425" s="28"/>
      <c r="K425" s="28"/>
      <c r="L425" s="29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4.25" customHeight="1" x14ac:dyDescent="0.25">
      <c r="A426" s="36"/>
      <c r="B426" s="27"/>
      <c r="C426" s="28"/>
      <c r="D426" s="28"/>
      <c r="E426" s="29"/>
      <c r="F426" s="28"/>
      <c r="G426" s="28"/>
      <c r="H426" s="37"/>
      <c r="I426" s="28"/>
      <c r="J426" s="28"/>
      <c r="K426" s="28"/>
      <c r="L426" s="29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4.25" customHeight="1" x14ac:dyDescent="0.25">
      <c r="A427" s="36"/>
      <c r="B427" s="27"/>
      <c r="C427" s="28"/>
      <c r="D427" s="28"/>
      <c r="E427" s="29"/>
      <c r="F427" s="28"/>
      <c r="G427" s="28"/>
      <c r="H427" s="37"/>
      <c r="I427" s="28"/>
      <c r="J427" s="28"/>
      <c r="K427" s="28"/>
      <c r="L427" s="29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4.25" customHeight="1" x14ac:dyDescent="0.25">
      <c r="A428" s="36"/>
      <c r="B428" s="27"/>
      <c r="C428" s="28"/>
      <c r="D428" s="28"/>
      <c r="E428" s="29"/>
      <c r="F428" s="28"/>
      <c r="G428" s="28"/>
      <c r="H428" s="37"/>
      <c r="I428" s="28"/>
      <c r="J428" s="28"/>
      <c r="K428" s="28"/>
      <c r="L428" s="29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4.25" customHeight="1" x14ac:dyDescent="0.25">
      <c r="A429" s="36"/>
      <c r="B429" s="27"/>
      <c r="C429" s="28"/>
      <c r="D429" s="28"/>
      <c r="E429" s="29"/>
      <c r="F429" s="28"/>
      <c r="G429" s="28"/>
      <c r="H429" s="37"/>
      <c r="I429" s="28"/>
      <c r="J429" s="28"/>
      <c r="K429" s="28"/>
      <c r="L429" s="29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4.25" customHeight="1" x14ac:dyDescent="0.25">
      <c r="A430" s="36"/>
      <c r="B430" s="27"/>
      <c r="C430" s="28"/>
      <c r="D430" s="28"/>
      <c r="E430" s="29"/>
      <c r="F430" s="28"/>
      <c r="G430" s="28"/>
      <c r="H430" s="37"/>
      <c r="I430" s="28"/>
      <c r="J430" s="28"/>
      <c r="K430" s="28"/>
      <c r="L430" s="29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4.25" customHeight="1" x14ac:dyDescent="0.25">
      <c r="A431" s="36"/>
      <c r="B431" s="27"/>
      <c r="C431" s="28"/>
      <c r="D431" s="28"/>
      <c r="E431" s="29"/>
      <c r="F431" s="28"/>
      <c r="G431" s="28"/>
      <c r="H431" s="37"/>
      <c r="I431" s="28"/>
      <c r="J431" s="28"/>
      <c r="K431" s="28"/>
      <c r="L431" s="29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4.25" customHeight="1" x14ac:dyDescent="0.25">
      <c r="A432" s="36"/>
      <c r="B432" s="27"/>
      <c r="C432" s="28"/>
      <c r="D432" s="28"/>
      <c r="E432" s="29"/>
      <c r="F432" s="28"/>
      <c r="G432" s="28"/>
      <c r="H432" s="37"/>
      <c r="I432" s="28"/>
      <c r="J432" s="28"/>
      <c r="K432" s="28"/>
      <c r="L432" s="29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4.25" customHeight="1" x14ac:dyDescent="0.25">
      <c r="A433" s="36"/>
      <c r="B433" s="27"/>
      <c r="C433" s="28"/>
      <c r="D433" s="28"/>
      <c r="E433" s="29"/>
      <c r="F433" s="28"/>
      <c r="G433" s="28"/>
      <c r="H433" s="37"/>
      <c r="I433" s="28"/>
      <c r="J433" s="28"/>
      <c r="K433" s="28"/>
      <c r="L433" s="29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4.25" customHeight="1" x14ac:dyDescent="0.25">
      <c r="A434" s="36"/>
      <c r="B434" s="27"/>
      <c r="C434" s="28"/>
      <c r="D434" s="28"/>
      <c r="E434" s="29"/>
      <c r="F434" s="28"/>
      <c r="G434" s="28"/>
      <c r="H434" s="37"/>
      <c r="I434" s="28"/>
      <c r="J434" s="28"/>
      <c r="K434" s="28"/>
      <c r="L434" s="29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4.25" customHeight="1" x14ac:dyDescent="0.25">
      <c r="A435" s="36"/>
      <c r="B435" s="27"/>
      <c r="C435" s="28"/>
      <c r="D435" s="28"/>
      <c r="E435" s="29"/>
      <c r="F435" s="28"/>
      <c r="G435" s="28"/>
      <c r="H435" s="37"/>
      <c r="I435" s="28"/>
      <c r="J435" s="28"/>
      <c r="K435" s="28"/>
      <c r="L435" s="29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4.25" customHeight="1" x14ac:dyDescent="0.25">
      <c r="A436" s="36"/>
      <c r="B436" s="27"/>
      <c r="C436" s="28"/>
      <c r="D436" s="28"/>
      <c r="E436" s="29"/>
      <c r="F436" s="28"/>
      <c r="G436" s="28"/>
      <c r="H436" s="37"/>
      <c r="I436" s="28"/>
      <c r="J436" s="28"/>
      <c r="K436" s="28"/>
      <c r="L436" s="29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4.25" customHeight="1" x14ac:dyDescent="0.25">
      <c r="A437" s="36"/>
      <c r="B437" s="27"/>
      <c r="C437" s="28"/>
      <c r="D437" s="28"/>
      <c r="E437" s="29"/>
      <c r="F437" s="28"/>
      <c r="G437" s="28"/>
      <c r="H437" s="37"/>
      <c r="I437" s="28"/>
      <c r="J437" s="28"/>
      <c r="K437" s="28"/>
      <c r="L437" s="29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4.25" customHeight="1" x14ac:dyDescent="0.25">
      <c r="A438" s="36"/>
      <c r="B438" s="27"/>
      <c r="C438" s="28"/>
      <c r="D438" s="28"/>
      <c r="E438" s="29"/>
      <c r="F438" s="28"/>
      <c r="G438" s="28"/>
      <c r="H438" s="37"/>
      <c r="I438" s="28"/>
      <c r="J438" s="28"/>
      <c r="K438" s="28"/>
      <c r="L438" s="29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4.25" customHeight="1" x14ac:dyDescent="0.25">
      <c r="A439" s="36"/>
      <c r="B439" s="27"/>
      <c r="C439" s="28"/>
      <c r="D439" s="28"/>
      <c r="E439" s="29"/>
      <c r="F439" s="28"/>
      <c r="G439" s="28"/>
      <c r="H439" s="37"/>
      <c r="I439" s="28"/>
      <c r="J439" s="28"/>
      <c r="K439" s="28"/>
      <c r="L439" s="29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4.25" customHeight="1" x14ac:dyDescent="0.25">
      <c r="A440" s="36"/>
      <c r="B440" s="27"/>
      <c r="C440" s="28"/>
      <c r="D440" s="28"/>
      <c r="E440" s="29"/>
      <c r="F440" s="28"/>
      <c r="G440" s="28"/>
      <c r="H440" s="37"/>
      <c r="I440" s="28"/>
      <c r="J440" s="28"/>
      <c r="K440" s="28"/>
      <c r="L440" s="29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4.25" customHeight="1" x14ac:dyDescent="0.25">
      <c r="A441" s="36"/>
      <c r="B441" s="27"/>
      <c r="C441" s="28"/>
      <c r="D441" s="28"/>
      <c r="E441" s="29"/>
      <c r="F441" s="28"/>
      <c r="G441" s="28"/>
      <c r="H441" s="37"/>
      <c r="I441" s="28"/>
      <c r="J441" s="28"/>
      <c r="K441" s="28"/>
      <c r="L441" s="29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4.25" customHeight="1" x14ac:dyDescent="0.25">
      <c r="A442" s="36"/>
      <c r="B442" s="27"/>
      <c r="C442" s="28"/>
      <c r="D442" s="28"/>
      <c r="E442" s="29"/>
      <c r="F442" s="28"/>
      <c r="G442" s="28"/>
      <c r="H442" s="37"/>
      <c r="I442" s="28"/>
      <c r="J442" s="28"/>
      <c r="K442" s="28"/>
      <c r="L442" s="29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4.25" customHeight="1" x14ac:dyDescent="0.25">
      <c r="A443" s="36"/>
      <c r="B443" s="27"/>
      <c r="C443" s="28"/>
      <c r="D443" s="28"/>
      <c r="E443" s="29"/>
      <c r="F443" s="28"/>
      <c r="G443" s="28"/>
      <c r="H443" s="37"/>
      <c r="I443" s="28"/>
      <c r="J443" s="28"/>
      <c r="K443" s="28"/>
      <c r="L443" s="29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4.25" customHeight="1" x14ac:dyDescent="0.25">
      <c r="A444" s="36"/>
      <c r="B444" s="27"/>
      <c r="C444" s="28"/>
      <c r="D444" s="28"/>
      <c r="E444" s="29"/>
      <c r="F444" s="28"/>
      <c r="G444" s="28"/>
      <c r="H444" s="37"/>
      <c r="I444" s="28"/>
      <c r="J444" s="28"/>
      <c r="K444" s="28"/>
      <c r="L444" s="29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4.25" customHeight="1" x14ac:dyDescent="0.25">
      <c r="A445" s="36"/>
      <c r="B445" s="27"/>
      <c r="C445" s="28"/>
      <c r="D445" s="28"/>
      <c r="E445" s="29"/>
      <c r="F445" s="28"/>
      <c r="G445" s="28"/>
      <c r="H445" s="37"/>
      <c r="I445" s="28"/>
      <c r="J445" s="28"/>
      <c r="K445" s="28"/>
      <c r="L445" s="29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4.25" customHeight="1" x14ac:dyDescent="0.25">
      <c r="A446" s="36"/>
      <c r="B446" s="27"/>
      <c r="C446" s="28"/>
      <c r="D446" s="28"/>
      <c r="E446" s="29"/>
      <c r="F446" s="28"/>
      <c r="G446" s="28"/>
      <c r="H446" s="37"/>
      <c r="I446" s="28"/>
      <c r="J446" s="28"/>
      <c r="K446" s="28"/>
      <c r="L446" s="29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4.25" customHeight="1" x14ac:dyDescent="0.25">
      <c r="A447" s="36"/>
      <c r="B447" s="27"/>
      <c r="C447" s="28"/>
      <c r="D447" s="28"/>
      <c r="E447" s="29"/>
      <c r="F447" s="28"/>
      <c r="G447" s="28"/>
      <c r="H447" s="37"/>
      <c r="I447" s="28"/>
      <c r="J447" s="28"/>
      <c r="K447" s="28"/>
      <c r="L447" s="29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4.25" customHeight="1" x14ac:dyDescent="0.25">
      <c r="A448" s="36"/>
      <c r="B448" s="27"/>
      <c r="C448" s="28"/>
      <c r="D448" s="28"/>
      <c r="E448" s="29"/>
      <c r="F448" s="28"/>
      <c r="G448" s="28"/>
      <c r="H448" s="37"/>
      <c r="I448" s="28"/>
      <c r="J448" s="28"/>
      <c r="K448" s="28"/>
      <c r="L448" s="29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4.25" customHeight="1" x14ac:dyDescent="0.25">
      <c r="A449" s="36"/>
      <c r="B449" s="27"/>
      <c r="C449" s="28"/>
      <c r="D449" s="28"/>
      <c r="E449" s="29"/>
      <c r="F449" s="28"/>
      <c r="G449" s="28"/>
      <c r="H449" s="37"/>
      <c r="I449" s="28"/>
      <c r="J449" s="28"/>
      <c r="K449" s="28"/>
      <c r="L449" s="29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4.25" customHeight="1" x14ac:dyDescent="0.25">
      <c r="A450" s="36"/>
      <c r="B450" s="27"/>
      <c r="C450" s="28"/>
      <c r="D450" s="28"/>
      <c r="E450" s="29"/>
      <c r="F450" s="28"/>
      <c r="G450" s="28"/>
      <c r="H450" s="37"/>
      <c r="I450" s="28"/>
      <c r="J450" s="28"/>
      <c r="K450" s="28"/>
      <c r="L450" s="29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4.25" customHeight="1" x14ac:dyDescent="0.25">
      <c r="A451" s="36"/>
      <c r="B451" s="27"/>
      <c r="C451" s="28"/>
      <c r="D451" s="28"/>
      <c r="E451" s="29"/>
      <c r="F451" s="28"/>
      <c r="G451" s="28"/>
      <c r="H451" s="37"/>
      <c r="I451" s="28"/>
      <c r="J451" s="28"/>
      <c r="K451" s="28"/>
      <c r="L451" s="29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4.25" customHeight="1" x14ac:dyDescent="0.25">
      <c r="A452" s="36"/>
      <c r="B452" s="27"/>
      <c r="C452" s="28"/>
      <c r="D452" s="28"/>
      <c r="E452" s="29"/>
      <c r="F452" s="28"/>
      <c r="G452" s="28"/>
      <c r="H452" s="37"/>
      <c r="I452" s="28"/>
      <c r="J452" s="28"/>
      <c r="K452" s="28"/>
      <c r="L452" s="29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4.25" customHeight="1" x14ac:dyDescent="0.25">
      <c r="A453" s="36"/>
      <c r="B453" s="27"/>
      <c r="C453" s="28"/>
      <c r="D453" s="28"/>
      <c r="E453" s="29"/>
      <c r="F453" s="28"/>
      <c r="G453" s="28"/>
      <c r="H453" s="37"/>
      <c r="I453" s="28"/>
      <c r="J453" s="28"/>
      <c r="K453" s="28"/>
      <c r="L453" s="29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4.25" customHeight="1" x14ac:dyDescent="0.25">
      <c r="A454" s="36"/>
      <c r="B454" s="27"/>
      <c r="C454" s="28"/>
      <c r="D454" s="28"/>
      <c r="E454" s="29"/>
      <c r="F454" s="28"/>
      <c r="G454" s="28"/>
      <c r="H454" s="37"/>
      <c r="I454" s="28"/>
      <c r="J454" s="28"/>
      <c r="K454" s="28"/>
      <c r="L454" s="29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4.25" customHeight="1" x14ac:dyDescent="0.25">
      <c r="A455" s="36"/>
      <c r="B455" s="27"/>
      <c r="C455" s="28"/>
      <c r="D455" s="28"/>
      <c r="E455" s="29"/>
      <c r="F455" s="28"/>
      <c r="G455" s="28"/>
      <c r="H455" s="37"/>
      <c r="I455" s="28"/>
      <c r="J455" s="28"/>
      <c r="K455" s="28"/>
      <c r="L455" s="29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4.25" customHeight="1" x14ac:dyDescent="0.25">
      <c r="A456" s="36"/>
      <c r="B456" s="27"/>
      <c r="C456" s="28"/>
      <c r="D456" s="28"/>
      <c r="E456" s="29"/>
      <c r="F456" s="28"/>
      <c r="G456" s="28"/>
      <c r="H456" s="37"/>
      <c r="I456" s="28"/>
      <c r="J456" s="28"/>
      <c r="K456" s="28"/>
      <c r="L456" s="29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4.25" customHeight="1" x14ac:dyDescent="0.25">
      <c r="A457" s="36"/>
      <c r="B457" s="27"/>
      <c r="C457" s="28"/>
      <c r="D457" s="28"/>
      <c r="E457" s="29"/>
      <c r="F457" s="28"/>
      <c r="G457" s="28"/>
      <c r="H457" s="37"/>
      <c r="I457" s="28"/>
      <c r="J457" s="28"/>
      <c r="K457" s="28"/>
      <c r="L457" s="29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4.25" customHeight="1" x14ac:dyDescent="0.25">
      <c r="A458" s="36"/>
      <c r="B458" s="27"/>
      <c r="C458" s="28"/>
      <c r="D458" s="28"/>
      <c r="E458" s="29"/>
      <c r="F458" s="28"/>
      <c r="G458" s="28"/>
      <c r="H458" s="37"/>
      <c r="I458" s="28"/>
      <c r="J458" s="28"/>
      <c r="K458" s="28"/>
      <c r="L458" s="29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4.25" customHeight="1" x14ac:dyDescent="0.25">
      <c r="A459" s="36"/>
      <c r="B459" s="27"/>
      <c r="C459" s="28"/>
      <c r="D459" s="28"/>
      <c r="E459" s="29"/>
      <c r="F459" s="28"/>
      <c r="G459" s="28"/>
      <c r="H459" s="37"/>
      <c r="I459" s="28"/>
      <c r="J459" s="28"/>
      <c r="K459" s="28"/>
      <c r="L459" s="29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4.25" customHeight="1" x14ac:dyDescent="0.25">
      <c r="A460" s="36"/>
      <c r="B460" s="27"/>
      <c r="C460" s="28"/>
      <c r="D460" s="28"/>
      <c r="E460" s="29"/>
      <c r="F460" s="28"/>
      <c r="G460" s="28"/>
      <c r="H460" s="37"/>
      <c r="I460" s="28"/>
      <c r="J460" s="28"/>
      <c r="K460" s="28"/>
      <c r="L460" s="29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4.25" customHeight="1" x14ac:dyDescent="0.25">
      <c r="A461" s="36"/>
      <c r="B461" s="27"/>
      <c r="C461" s="28"/>
      <c r="D461" s="28"/>
      <c r="E461" s="29"/>
      <c r="F461" s="28"/>
      <c r="G461" s="28"/>
      <c r="H461" s="37"/>
      <c r="I461" s="28"/>
      <c r="J461" s="28"/>
      <c r="K461" s="28"/>
      <c r="L461" s="29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4.25" customHeight="1" x14ac:dyDescent="0.25">
      <c r="A462" s="36"/>
      <c r="B462" s="27"/>
      <c r="C462" s="28"/>
      <c r="D462" s="28"/>
      <c r="E462" s="29"/>
      <c r="F462" s="28"/>
      <c r="G462" s="28"/>
      <c r="H462" s="37"/>
      <c r="I462" s="28"/>
      <c r="J462" s="28"/>
      <c r="K462" s="28"/>
      <c r="L462" s="29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4.25" customHeight="1" x14ac:dyDescent="0.25">
      <c r="A463" s="36"/>
      <c r="B463" s="27"/>
      <c r="C463" s="28"/>
      <c r="D463" s="28"/>
      <c r="E463" s="29"/>
      <c r="F463" s="28"/>
      <c r="G463" s="28"/>
      <c r="H463" s="37"/>
      <c r="I463" s="28"/>
      <c r="J463" s="28"/>
      <c r="K463" s="28"/>
      <c r="L463" s="29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4.25" customHeight="1" x14ac:dyDescent="0.25">
      <c r="A464" s="36"/>
      <c r="B464" s="27"/>
      <c r="C464" s="28"/>
      <c r="D464" s="28"/>
      <c r="E464" s="29"/>
      <c r="F464" s="28"/>
      <c r="G464" s="28"/>
      <c r="H464" s="37"/>
      <c r="I464" s="28"/>
      <c r="J464" s="28"/>
      <c r="K464" s="28"/>
      <c r="L464" s="29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4.25" customHeight="1" x14ac:dyDescent="0.25">
      <c r="A465" s="36"/>
      <c r="B465" s="27"/>
      <c r="C465" s="28"/>
      <c r="D465" s="28"/>
      <c r="E465" s="29"/>
      <c r="F465" s="28"/>
      <c r="G465" s="28"/>
      <c r="H465" s="37"/>
      <c r="I465" s="28"/>
      <c r="J465" s="28"/>
      <c r="K465" s="28"/>
      <c r="L465" s="29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4.25" customHeight="1" x14ac:dyDescent="0.25">
      <c r="A466" s="36"/>
      <c r="B466" s="27"/>
      <c r="C466" s="28"/>
      <c r="D466" s="28"/>
      <c r="E466" s="29"/>
      <c r="F466" s="28"/>
      <c r="G466" s="28"/>
      <c r="H466" s="37"/>
      <c r="I466" s="28"/>
      <c r="J466" s="28"/>
      <c r="K466" s="28"/>
      <c r="L466" s="29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4.25" customHeight="1" x14ac:dyDescent="0.25">
      <c r="A467" s="36"/>
      <c r="B467" s="27"/>
      <c r="C467" s="28"/>
      <c r="D467" s="28"/>
      <c r="E467" s="29"/>
      <c r="F467" s="28"/>
      <c r="G467" s="28"/>
      <c r="H467" s="37"/>
      <c r="I467" s="28"/>
      <c r="J467" s="28"/>
      <c r="K467" s="28"/>
      <c r="L467" s="29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4.25" customHeight="1" x14ac:dyDescent="0.25">
      <c r="A468" s="36"/>
      <c r="B468" s="27"/>
      <c r="C468" s="28"/>
      <c r="D468" s="28"/>
      <c r="E468" s="29"/>
      <c r="F468" s="28"/>
      <c r="G468" s="28"/>
      <c r="H468" s="37"/>
      <c r="I468" s="28"/>
      <c r="J468" s="28"/>
      <c r="K468" s="28"/>
      <c r="L468" s="29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4.25" customHeight="1" x14ac:dyDescent="0.25">
      <c r="A469" s="36"/>
      <c r="B469" s="27"/>
      <c r="C469" s="28"/>
      <c r="D469" s="28"/>
      <c r="E469" s="29"/>
      <c r="F469" s="28"/>
      <c r="G469" s="28"/>
      <c r="H469" s="37"/>
      <c r="I469" s="28"/>
      <c r="J469" s="28"/>
      <c r="K469" s="28"/>
      <c r="L469" s="29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4.25" customHeight="1" x14ac:dyDescent="0.25">
      <c r="A470" s="36"/>
      <c r="B470" s="27"/>
      <c r="C470" s="28"/>
      <c r="D470" s="28"/>
      <c r="E470" s="29"/>
      <c r="F470" s="28"/>
      <c r="G470" s="28"/>
      <c r="H470" s="37"/>
      <c r="I470" s="28"/>
      <c r="J470" s="28"/>
      <c r="K470" s="28"/>
      <c r="L470" s="29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4.25" customHeight="1" x14ac:dyDescent="0.25">
      <c r="A471" s="36"/>
      <c r="B471" s="27"/>
      <c r="C471" s="28"/>
      <c r="D471" s="28"/>
      <c r="E471" s="29"/>
      <c r="F471" s="28"/>
      <c r="G471" s="28"/>
      <c r="H471" s="37"/>
      <c r="I471" s="28"/>
      <c r="J471" s="28"/>
      <c r="K471" s="28"/>
      <c r="L471" s="29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4.25" customHeight="1" x14ac:dyDescent="0.25">
      <c r="A472" s="36"/>
      <c r="B472" s="27"/>
      <c r="C472" s="28"/>
      <c r="D472" s="28"/>
      <c r="E472" s="29"/>
      <c r="F472" s="28"/>
      <c r="G472" s="28"/>
      <c r="H472" s="37"/>
      <c r="I472" s="28"/>
      <c r="J472" s="28"/>
      <c r="K472" s="28"/>
      <c r="L472" s="29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4.25" customHeight="1" x14ac:dyDescent="0.25">
      <c r="A473" s="36"/>
      <c r="B473" s="27"/>
      <c r="C473" s="28"/>
      <c r="D473" s="28"/>
      <c r="E473" s="29"/>
      <c r="F473" s="28"/>
      <c r="G473" s="28"/>
      <c r="H473" s="37"/>
      <c r="I473" s="28"/>
      <c r="J473" s="28"/>
      <c r="K473" s="28"/>
      <c r="L473" s="29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4.25" customHeight="1" x14ac:dyDescent="0.25">
      <c r="A474" s="36"/>
      <c r="B474" s="27"/>
      <c r="C474" s="28"/>
      <c r="D474" s="28"/>
      <c r="E474" s="29"/>
      <c r="F474" s="28"/>
      <c r="G474" s="28"/>
      <c r="H474" s="37"/>
      <c r="I474" s="28"/>
      <c r="J474" s="28"/>
      <c r="K474" s="28"/>
      <c r="L474" s="29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4.25" customHeight="1" x14ac:dyDescent="0.25">
      <c r="A475" s="36"/>
      <c r="B475" s="27"/>
      <c r="C475" s="28"/>
      <c r="D475" s="28"/>
      <c r="E475" s="29"/>
      <c r="F475" s="28"/>
      <c r="G475" s="28"/>
      <c r="H475" s="37"/>
      <c r="I475" s="28"/>
      <c r="J475" s="28"/>
      <c r="K475" s="28"/>
      <c r="L475" s="29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4.25" customHeight="1" x14ac:dyDescent="0.25">
      <c r="A476" s="36"/>
      <c r="B476" s="27"/>
      <c r="C476" s="28"/>
      <c r="D476" s="28"/>
      <c r="E476" s="29"/>
      <c r="F476" s="28"/>
      <c r="G476" s="28"/>
      <c r="H476" s="37"/>
      <c r="I476" s="28"/>
      <c r="J476" s="28"/>
      <c r="K476" s="28"/>
      <c r="L476" s="29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4.25" customHeight="1" x14ac:dyDescent="0.25">
      <c r="A477" s="36"/>
      <c r="B477" s="27"/>
      <c r="C477" s="28"/>
      <c r="D477" s="28"/>
      <c r="E477" s="29"/>
      <c r="F477" s="28"/>
      <c r="G477" s="28"/>
      <c r="H477" s="37"/>
      <c r="I477" s="28"/>
      <c r="J477" s="28"/>
      <c r="K477" s="28"/>
      <c r="L477" s="29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4.25" customHeight="1" x14ac:dyDescent="0.25">
      <c r="A478" s="36"/>
      <c r="B478" s="27"/>
      <c r="C478" s="28"/>
      <c r="D478" s="28"/>
      <c r="E478" s="29"/>
      <c r="F478" s="28"/>
      <c r="G478" s="28"/>
      <c r="H478" s="37"/>
      <c r="I478" s="28"/>
      <c r="J478" s="28"/>
      <c r="K478" s="28"/>
      <c r="L478" s="29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4.25" customHeight="1" x14ac:dyDescent="0.25">
      <c r="A479" s="36"/>
      <c r="B479" s="27"/>
      <c r="C479" s="28"/>
      <c r="D479" s="28"/>
      <c r="E479" s="29"/>
      <c r="F479" s="28"/>
      <c r="G479" s="28"/>
      <c r="H479" s="37"/>
      <c r="I479" s="28"/>
      <c r="J479" s="28"/>
      <c r="K479" s="28"/>
      <c r="L479" s="29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4.25" customHeight="1" x14ac:dyDescent="0.25">
      <c r="A480" s="36"/>
      <c r="B480" s="27"/>
      <c r="C480" s="28"/>
      <c r="D480" s="28"/>
      <c r="E480" s="29"/>
      <c r="F480" s="28"/>
      <c r="G480" s="28"/>
      <c r="H480" s="37"/>
      <c r="I480" s="28"/>
      <c r="J480" s="28"/>
      <c r="K480" s="28"/>
      <c r="L480" s="29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4.25" customHeight="1" x14ac:dyDescent="0.25">
      <c r="A481" s="36"/>
      <c r="B481" s="27"/>
      <c r="C481" s="28"/>
      <c r="D481" s="28"/>
      <c r="E481" s="29"/>
      <c r="F481" s="28"/>
      <c r="G481" s="28"/>
      <c r="H481" s="37"/>
      <c r="I481" s="28"/>
      <c r="J481" s="28"/>
      <c r="K481" s="28"/>
      <c r="L481" s="29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4.25" customHeight="1" x14ac:dyDescent="0.25">
      <c r="A482" s="36"/>
      <c r="B482" s="27"/>
      <c r="C482" s="28"/>
      <c r="D482" s="28"/>
      <c r="E482" s="29"/>
      <c r="F482" s="28"/>
      <c r="G482" s="28"/>
      <c r="H482" s="37"/>
      <c r="I482" s="28"/>
      <c r="J482" s="28"/>
      <c r="K482" s="28"/>
      <c r="L482" s="29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4.25" customHeight="1" x14ac:dyDescent="0.25">
      <c r="A483" s="36"/>
      <c r="B483" s="27"/>
      <c r="C483" s="28"/>
      <c r="D483" s="28"/>
      <c r="E483" s="29"/>
      <c r="F483" s="28"/>
      <c r="G483" s="28"/>
      <c r="H483" s="37"/>
      <c r="I483" s="28"/>
      <c r="J483" s="28"/>
      <c r="K483" s="28"/>
      <c r="L483" s="29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4.25" customHeight="1" x14ac:dyDescent="0.25">
      <c r="A484" s="36"/>
      <c r="B484" s="27"/>
      <c r="C484" s="28"/>
      <c r="D484" s="28"/>
      <c r="E484" s="29"/>
      <c r="F484" s="28"/>
      <c r="G484" s="28"/>
      <c r="H484" s="37"/>
      <c r="I484" s="28"/>
      <c r="J484" s="28"/>
      <c r="K484" s="28"/>
      <c r="L484" s="29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4.25" customHeight="1" x14ac:dyDescent="0.25">
      <c r="A485" s="36"/>
      <c r="B485" s="27"/>
      <c r="C485" s="28"/>
      <c r="D485" s="28"/>
      <c r="E485" s="29"/>
      <c r="F485" s="28"/>
      <c r="G485" s="28"/>
      <c r="H485" s="37"/>
      <c r="I485" s="28"/>
      <c r="J485" s="28"/>
      <c r="K485" s="28"/>
      <c r="L485" s="29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4.25" customHeight="1" x14ac:dyDescent="0.25">
      <c r="A486" s="36"/>
      <c r="B486" s="27"/>
      <c r="C486" s="28"/>
      <c r="D486" s="28"/>
      <c r="E486" s="29"/>
      <c r="F486" s="28"/>
      <c r="G486" s="28"/>
      <c r="H486" s="37"/>
      <c r="I486" s="28"/>
      <c r="J486" s="28"/>
      <c r="K486" s="28"/>
      <c r="L486" s="29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4.25" customHeight="1" x14ac:dyDescent="0.25">
      <c r="A487" s="36"/>
      <c r="B487" s="27"/>
      <c r="C487" s="28"/>
      <c r="D487" s="28"/>
      <c r="E487" s="29"/>
      <c r="F487" s="28"/>
      <c r="G487" s="28"/>
      <c r="H487" s="37"/>
      <c r="I487" s="28"/>
      <c r="J487" s="28"/>
      <c r="K487" s="28"/>
      <c r="L487" s="29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4.25" customHeight="1" x14ac:dyDescent="0.25">
      <c r="A488" s="36"/>
      <c r="B488" s="27"/>
      <c r="C488" s="28"/>
      <c r="D488" s="28"/>
      <c r="E488" s="29"/>
      <c r="F488" s="28"/>
      <c r="G488" s="28"/>
      <c r="H488" s="37"/>
      <c r="I488" s="28"/>
      <c r="J488" s="28"/>
      <c r="K488" s="28"/>
      <c r="L488" s="29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4.25" customHeight="1" x14ac:dyDescent="0.25">
      <c r="A489" s="36"/>
      <c r="B489" s="27"/>
      <c r="C489" s="28"/>
      <c r="D489" s="28"/>
      <c r="E489" s="29"/>
      <c r="F489" s="28"/>
      <c r="G489" s="28"/>
      <c r="H489" s="37"/>
      <c r="I489" s="28"/>
      <c r="J489" s="28"/>
      <c r="K489" s="28"/>
      <c r="L489" s="29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4.25" customHeight="1" x14ac:dyDescent="0.25">
      <c r="A490" s="36"/>
      <c r="B490" s="27"/>
      <c r="C490" s="28"/>
      <c r="D490" s="28"/>
      <c r="E490" s="29"/>
      <c r="F490" s="28"/>
      <c r="G490" s="28"/>
      <c r="H490" s="37"/>
      <c r="I490" s="28"/>
      <c r="J490" s="28"/>
      <c r="K490" s="28"/>
      <c r="L490" s="29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4.25" customHeight="1" x14ac:dyDescent="0.25">
      <c r="A491" s="36"/>
      <c r="B491" s="27"/>
      <c r="C491" s="28"/>
      <c r="D491" s="28"/>
      <c r="E491" s="29"/>
      <c r="F491" s="28"/>
      <c r="G491" s="28"/>
      <c r="H491" s="37"/>
      <c r="I491" s="28"/>
      <c r="J491" s="28"/>
      <c r="K491" s="28"/>
      <c r="L491" s="29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4.25" customHeight="1" x14ac:dyDescent="0.25">
      <c r="A492" s="36"/>
      <c r="B492" s="27"/>
      <c r="C492" s="28"/>
      <c r="D492" s="28"/>
      <c r="E492" s="29"/>
      <c r="F492" s="28"/>
      <c r="G492" s="28"/>
      <c r="H492" s="37"/>
      <c r="I492" s="28"/>
      <c r="J492" s="28"/>
      <c r="K492" s="28"/>
      <c r="L492" s="29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4.25" customHeight="1" x14ac:dyDescent="0.25">
      <c r="A493" s="36"/>
      <c r="B493" s="27"/>
      <c r="C493" s="28"/>
      <c r="D493" s="28"/>
      <c r="E493" s="29"/>
      <c r="F493" s="28"/>
      <c r="G493" s="28"/>
      <c r="H493" s="37"/>
      <c r="I493" s="28"/>
      <c r="J493" s="28"/>
      <c r="K493" s="28"/>
      <c r="L493" s="29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4.25" customHeight="1" x14ac:dyDescent="0.25">
      <c r="A494" s="36"/>
      <c r="B494" s="27"/>
      <c r="C494" s="28"/>
      <c r="D494" s="28"/>
      <c r="E494" s="29"/>
      <c r="F494" s="28"/>
      <c r="G494" s="28"/>
      <c r="H494" s="37"/>
      <c r="I494" s="28"/>
      <c r="J494" s="28"/>
      <c r="K494" s="28"/>
      <c r="L494" s="29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4.25" customHeight="1" x14ac:dyDescent="0.25">
      <c r="A495" s="36"/>
      <c r="B495" s="27"/>
      <c r="C495" s="28"/>
      <c r="D495" s="28"/>
      <c r="E495" s="29"/>
      <c r="F495" s="28"/>
      <c r="G495" s="28"/>
      <c r="H495" s="37"/>
      <c r="I495" s="28"/>
      <c r="J495" s="28"/>
      <c r="K495" s="28"/>
      <c r="L495" s="29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4.25" customHeight="1" x14ac:dyDescent="0.25">
      <c r="A496" s="36"/>
      <c r="B496" s="27"/>
      <c r="C496" s="28"/>
      <c r="D496" s="28"/>
      <c r="E496" s="29"/>
      <c r="F496" s="28"/>
      <c r="G496" s="28"/>
      <c r="H496" s="37"/>
      <c r="I496" s="28"/>
      <c r="J496" s="28"/>
      <c r="K496" s="28"/>
      <c r="L496" s="29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4.25" customHeight="1" x14ac:dyDescent="0.25">
      <c r="A497" s="36"/>
      <c r="B497" s="27"/>
      <c r="C497" s="28"/>
      <c r="D497" s="28"/>
      <c r="E497" s="29"/>
      <c r="F497" s="28"/>
      <c r="G497" s="28"/>
      <c r="H497" s="37"/>
      <c r="I497" s="28"/>
      <c r="J497" s="28"/>
      <c r="K497" s="28"/>
      <c r="L497" s="29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4.25" customHeight="1" x14ac:dyDescent="0.25">
      <c r="A498" s="36"/>
      <c r="B498" s="27"/>
      <c r="C498" s="28"/>
      <c r="D498" s="28"/>
      <c r="E498" s="29"/>
      <c r="F498" s="28"/>
      <c r="G498" s="28"/>
      <c r="H498" s="37"/>
      <c r="I498" s="28"/>
      <c r="J498" s="28"/>
      <c r="K498" s="28"/>
      <c r="L498" s="29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4.25" customHeight="1" x14ac:dyDescent="0.25">
      <c r="A499" s="36"/>
      <c r="B499" s="27"/>
      <c r="C499" s="28"/>
      <c r="D499" s="28"/>
      <c r="E499" s="29"/>
      <c r="F499" s="28"/>
      <c r="G499" s="28"/>
      <c r="H499" s="37"/>
      <c r="I499" s="28"/>
      <c r="J499" s="28"/>
      <c r="K499" s="28"/>
      <c r="L499" s="29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4.25" customHeight="1" x14ac:dyDescent="0.25">
      <c r="A500" s="36"/>
      <c r="B500" s="27"/>
      <c r="C500" s="28"/>
      <c r="D500" s="28"/>
      <c r="E500" s="29"/>
      <c r="F500" s="28"/>
      <c r="G500" s="28"/>
      <c r="H500" s="37"/>
      <c r="I500" s="28"/>
      <c r="J500" s="28"/>
      <c r="K500" s="28"/>
      <c r="L500" s="29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4.25" customHeight="1" x14ac:dyDescent="0.25">
      <c r="A501" s="36"/>
      <c r="B501" s="27"/>
      <c r="C501" s="28"/>
      <c r="D501" s="28"/>
      <c r="E501" s="29"/>
      <c r="F501" s="28"/>
      <c r="G501" s="28"/>
      <c r="H501" s="37"/>
      <c r="I501" s="28"/>
      <c r="J501" s="28"/>
      <c r="K501" s="28"/>
      <c r="L501" s="29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4.25" customHeight="1" x14ac:dyDescent="0.25">
      <c r="A502" s="36"/>
      <c r="B502" s="27"/>
      <c r="C502" s="28"/>
      <c r="D502" s="28"/>
      <c r="E502" s="29"/>
      <c r="F502" s="28"/>
      <c r="G502" s="28"/>
      <c r="H502" s="37"/>
      <c r="I502" s="28"/>
      <c r="J502" s="28"/>
      <c r="K502" s="28"/>
      <c r="L502" s="29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4.25" customHeight="1" x14ac:dyDescent="0.25">
      <c r="A503" s="36"/>
      <c r="B503" s="27"/>
      <c r="C503" s="28"/>
      <c r="D503" s="28"/>
      <c r="E503" s="29"/>
      <c r="F503" s="28"/>
      <c r="G503" s="28"/>
      <c r="H503" s="37"/>
      <c r="I503" s="28"/>
      <c r="J503" s="28"/>
      <c r="K503" s="28"/>
      <c r="L503" s="29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4.25" customHeight="1" x14ac:dyDescent="0.25">
      <c r="A504" s="36"/>
      <c r="B504" s="27"/>
      <c r="C504" s="28"/>
      <c r="D504" s="28"/>
      <c r="E504" s="29"/>
      <c r="F504" s="28"/>
      <c r="G504" s="28"/>
      <c r="H504" s="37"/>
      <c r="I504" s="28"/>
      <c r="J504" s="28"/>
      <c r="K504" s="28"/>
      <c r="L504" s="29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4.25" customHeight="1" x14ac:dyDescent="0.25">
      <c r="A505" s="36"/>
      <c r="B505" s="27"/>
      <c r="C505" s="28"/>
      <c r="D505" s="28"/>
      <c r="E505" s="29"/>
      <c r="F505" s="28"/>
      <c r="G505" s="28"/>
      <c r="H505" s="37"/>
      <c r="I505" s="28"/>
      <c r="J505" s="28"/>
      <c r="K505" s="28"/>
      <c r="L505" s="29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4.25" customHeight="1" x14ac:dyDescent="0.25">
      <c r="A506" s="36"/>
      <c r="B506" s="27"/>
      <c r="C506" s="28"/>
      <c r="D506" s="28"/>
      <c r="E506" s="29"/>
      <c r="F506" s="28"/>
      <c r="G506" s="28"/>
      <c r="H506" s="37"/>
      <c r="I506" s="28"/>
      <c r="J506" s="28"/>
      <c r="K506" s="28"/>
      <c r="L506" s="29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4.25" customHeight="1" x14ac:dyDescent="0.25">
      <c r="A507" s="36"/>
      <c r="B507" s="27"/>
      <c r="C507" s="28"/>
      <c r="D507" s="28"/>
      <c r="E507" s="29"/>
      <c r="F507" s="28"/>
      <c r="G507" s="28"/>
      <c r="H507" s="37"/>
      <c r="I507" s="28"/>
      <c r="J507" s="28"/>
      <c r="K507" s="28"/>
      <c r="L507" s="29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4.25" customHeight="1" x14ac:dyDescent="0.25">
      <c r="A508" s="36"/>
      <c r="B508" s="27"/>
      <c r="C508" s="28"/>
      <c r="D508" s="28"/>
      <c r="E508" s="29"/>
      <c r="F508" s="28"/>
      <c r="G508" s="28"/>
      <c r="H508" s="37"/>
      <c r="I508" s="28"/>
      <c r="J508" s="28"/>
      <c r="K508" s="28"/>
      <c r="L508" s="29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4.25" customHeight="1" x14ac:dyDescent="0.25">
      <c r="A509" s="36"/>
      <c r="B509" s="27"/>
      <c r="C509" s="28"/>
      <c r="D509" s="28"/>
      <c r="E509" s="29"/>
      <c r="F509" s="28"/>
      <c r="G509" s="28"/>
      <c r="H509" s="37"/>
      <c r="I509" s="28"/>
      <c r="J509" s="28"/>
      <c r="K509" s="28"/>
      <c r="L509" s="29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4.25" customHeight="1" x14ac:dyDescent="0.25">
      <c r="A510" s="36"/>
      <c r="B510" s="27"/>
      <c r="C510" s="28"/>
      <c r="D510" s="28"/>
      <c r="E510" s="29"/>
      <c r="F510" s="28"/>
      <c r="G510" s="28"/>
      <c r="H510" s="37"/>
      <c r="I510" s="28"/>
      <c r="J510" s="28"/>
      <c r="K510" s="28"/>
      <c r="L510" s="29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4.25" customHeight="1" x14ac:dyDescent="0.25">
      <c r="A511" s="36"/>
      <c r="B511" s="27"/>
      <c r="C511" s="28"/>
      <c r="D511" s="28"/>
      <c r="E511" s="29"/>
      <c r="F511" s="28"/>
      <c r="G511" s="28"/>
      <c r="H511" s="37"/>
      <c r="I511" s="28"/>
      <c r="J511" s="28"/>
      <c r="K511" s="28"/>
      <c r="L511" s="29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4.25" customHeight="1" x14ac:dyDescent="0.25">
      <c r="A512" s="36"/>
      <c r="B512" s="27"/>
      <c r="C512" s="28"/>
      <c r="D512" s="28"/>
      <c r="E512" s="29"/>
      <c r="F512" s="28"/>
      <c r="G512" s="28"/>
      <c r="H512" s="37"/>
      <c r="I512" s="28"/>
      <c r="J512" s="28"/>
      <c r="K512" s="28"/>
      <c r="L512" s="29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4.25" customHeight="1" x14ac:dyDescent="0.25">
      <c r="A513" s="36"/>
      <c r="B513" s="27"/>
      <c r="C513" s="28"/>
      <c r="D513" s="28"/>
      <c r="E513" s="29"/>
      <c r="F513" s="28"/>
      <c r="G513" s="28"/>
      <c r="H513" s="37"/>
      <c r="I513" s="28"/>
      <c r="J513" s="28"/>
      <c r="K513" s="28"/>
      <c r="L513" s="29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4.25" customHeight="1" x14ac:dyDescent="0.25">
      <c r="A514" s="36"/>
      <c r="B514" s="27"/>
      <c r="C514" s="28"/>
      <c r="D514" s="28"/>
      <c r="E514" s="29"/>
      <c r="F514" s="28"/>
      <c r="G514" s="28"/>
      <c r="H514" s="37"/>
      <c r="I514" s="28"/>
      <c r="J514" s="28"/>
      <c r="K514" s="28"/>
      <c r="L514" s="29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4.25" customHeight="1" x14ac:dyDescent="0.25">
      <c r="A515" s="36"/>
      <c r="B515" s="27"/>
      <c r="C515" s="28"/>
      <c r="D515" s="28"/>
      <c r="E515" s="29"/>
      <c r="F515" s="28"/>
      <c r="G515" s="28"/>
      <c r="H515" s="37"/>
      <c r="I515" s="28"/>
      <c r="J515" s="28"/>
      <c r="K515" s="28"/>
      <c r="L515" s="29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4.25" customHeight="1" x14ac:dyDescent="0.25">
      <c r="A516" s="36"/>
      <c r="B516" s="27"/>
      <c r="C516" s="28"/>
      <c r="D516" s="28"/>
      <c r="E516" s="29"/>
      <c r="F516" s="28"/>
      <c r="G516" s="28"/>
      <c r="H516" s="37"/>
      <c r="I516" s="28"/>
      <c r="J516" s="28"/>
      <c r="K516" s="28"/>
      <c r="L516" s="29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4.25" customHeight="1" x14ac:dyDescent="0.25">
      <c r="A517" s="36"/>
      <c r="B517" s="27"/>
      <c r="C517" s="28"/>
      <c r="D517" s="28"/>
      <c r="E517" s="29"/>
      <c r="F517" s="28"/>
      <c r="G517" s="28"/>
      <c r="H517" s="37"/>
      <c r="I517" s="28"/>
      <c r="J517" s="28"/>
      <c r="K517" s="28"/>
      <c r="L517" s="29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4.25" customHeight="1" x14ac:dyDescent="0.25">
      <c r="A518" s="36"/>
      <c r="B518" s="27"/>
      <c r="C518" s="28"/>
      <c r="D518" s="28"/>
      <c r="E518" s="29"/>
      <c r="F518" s="28"/>
      <c r="G518" s="28"/>
      <c r="H518" s="37"/>
      <c r="I518" s="28"/>
      <c r="J518" s="28"/>
      <c r="K518" s="28"/>
      <c r="L518" s="29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4.25" customHeight="1" x14ac:dyDescent="0.25">
      <c r="A519" s="36"/>
      <c r="B519" s="27"/>
      <c r="C519" s="28"/>
      <c r="D519" s="28"/>
      <c r="E519" s="29"/>
      <c r="F519" s="28"/>
      <c r="G519" s="28"/>
      <c r="H519" s="37"/>
      <c r="I519" s="28"/>
      <c r="J519" s="28"/>
      <c r="K519" s="28"/>
      <c r="L519" s="29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4.25" customHeight="1" x14ac:dyDescent="0.25">
      <c r="A520" s="36"/>
      <c r="B520" s="27"/>
      <c r="C520" s="28"/>
      <c r="D520" s="28"/>
      <c r="E520" s="29"/>
      <c r="F520" s="28"/>
      <c r="G520" s="28"/>
      <c r="H520" s="37"/>
      <c r="I520" s="28"/>
      <c r="J520" s="28"/>
      <c r="K520" s="28"/>
      <c r="L520" s="29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4.25" customHeight="1" x14ac:dyDescent="0.25">
      <c r="A521" s="36"/>
      <c r="B521" s="27"/>
      <c r="C521" s="28"/>
      <c r="D521" s="28"/>
      <c r="E521" s="29"/>
      <c r="F521" s="28"/>
      <c r="G521" s="28"/>
      <c r="H521" s="37"/>
      <c r="I521" s="28"/>
      <c r="J521" s="28"/>
      <c r="K521" s="28"/>
      <c r="L521" s="29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4.25" customHeight="1" x14ac:dyDescent="0.25">
      <c r="A522" s="36"/>
      <c r="B522" s="27"/>
      <c r="C522" s="28"/>
      <c r="D522" s="28"/>
      <c r="E522" s="29"/>
      <c r="F522" s="28"/>
      <c r="G522" s="28"/>
      <c r="H522" s="37"/>
      <c r="I522" s="28"/>
      <c r="J522" s="28"/>
      <c r="K522" s="28"/>
      <c r="L522" s="29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4.25" customHeight="1" x14ac:dyDescent="0.25">
      <c r="A523" s="36"/>
      <c r="B523" s="27"/>
      <c r="C523" s="28"/>
      <c r="D523" s="28"/>
      <c r="E523" s="29"/>
      <c r="F523" s="28"/>
      <c r="G523" s="28"/>
      <c r="H523" s="37"/>
      <c r="I523" s="28"/>
      <c r="J523" s="28"/>
      <c r="K523" s="28"/>
      <c r="L523" s="29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4.25" customHeight="1" x14ac:dyDescent="0.25">
      <c r="A524" s="36"/>
      <c r="B524" s="27"/>
      <c r="C524" s="28"/>
      <c r="D524" s="28"/>
      <c r="E524" s="29"/>
      <c r="F524" s="28"/>
      <c r="G524" s="28"/>
      <c r="H524" s="37"/>
      <c r="I524" s="28"/>
      <c r="J524" s="28"/>
      <c r="K524" s="28"/>
      <c r="L524" s="29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4.25" customHeight="1" x14ac:dyDescent="0.25">
      <c r="A525" s="36"/>
      <c r="B525" s="27"/>
      <c r="C525" s="28"/>
      <c r="D525" s="28"/>
      <c r="E525" s="29"/>
      <c r="F525" s="28"/>
      <c r="G525" s="28"/>
      <c r="H525" s="37"/>
      <c r="I525" s="28"/>
      <c r="J525" s="28"/>
      <c r="K525" s="28"/>
      <c r="L525" s="29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4.25" customHeight="1" x14ac:dyDescent="0.25">
      <c r="A526" s="36"/>
      <c r="B526" s="27"/>
      <c r="C526" s="28"/>
      <c r="D526" s="28"/>
      <c r="E526" s="29"/>
      <c r="F526" s="28"/>
      <c r="G526" s="28"/>
      <c r="H526" s="37"/>
      <c r="I526" s="28"/>
      <c r="J526" s="28"/>
      <c r="K526" s="28"/>
      <c r="L526" s="29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4.25" customHeight="1" x14ac:dyDescent="0.25">
      <c r="A527" s="36"/>
      <c r="B527" s="27"/>
      <c r="C527" s="28"/>
      <c r="D527" s="28"/>
      <c r="E527" s="29"/>
      <c r="F527" s="28"/>
      <c r="G527" s="28"/>
      <c r="H527" s="37"/>
      <c r="I527" s="28"/>
      <c r="J527" s="28"/>
      <c r="K527" s="28"/>
      <c r="L527" s="29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4.25" customHeight="1" x14ac:dyDescent="0.25">
      <c r="A528" s="36"/>
      <c r="B528" s="27"/>
      <c r="C528" s="28"/>
      <c r="D528" s="28"/>
      <c r="E528" s="29"/>
      <c r="F528" s="28"/>
      <c r="G528" s="28"/>
      <c r="H528" s="37"/>
      <c r="I528" s="28"/>
      <c r="J528" s="28"/>
      <c r="K528" s="28"/>
      <c r="L528" s="29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4.25" customHeight="1" x14ac:dyDescent="0.25">
      <c r="A529" s="36"/>
      <c r="B529" s="27"/>
      <c r="C529" s="28"/>
      <c r="D529" s="28"/>
      <c r="E529" s="29"/>
      <c r="F529" s="28"/>
      <c r="G529" s="28"/>
      <c r="H529" s="37"/>
      <c r="I529" s="28"/>
      <c r="J529" s="28"/>
      <c r="K529" s="28"/>
      <c r="L529" s="29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4.25" customHeight="1" x14ac:dyDescent="0.25">
      <c r="A530" s="36"/>
      <c r="B530" s="27"/>
      <c r="C530" s="28"/>
      <c r="D530" s="28"/>
      <c r="E530" s="29"/>
      <c r="F530" s="28"/>
      <c r="G530" s="28"/>
      <c r="H530" s="37"/>
      <c r="I530" s="28"/>
      <c r="J530" s="28"/>
      <c r="K530" s="28"/>
      <c r="L530" s="29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4.25" customHeight="1" x14ac:dyDescent="0.25">
      <c r="A531" s="36"/>
      <c r="B531" s="27"/>
      <c r="C531" s="28"/>
      <c r="D531" s="28"/>
      <c r="E531" s="29"/>
      <c r="F531" s="28"/>
      <c r="G531" s="28"/>
      <c r="H531" s="37"/>
      <c r="I531" s="28"/>
      <c r="J531" s="28"/>
      <c r="K531" s="28"/>
      <c r="L531" s="29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4.25" customHeight="1" x14ac:dyDescent="0.25">
      <c r="A532" s="36"/>
      <c r="B532" s="27"/>
      <c r="C532" s="28"/>
      <c r="D532" s="28"/>
      <c r="E532" s="29"/>
      <c r="F532" s="28"/>
      <c r="G532" s="28"/>
      <c r="H532" s="37"/>
      <c r="I532" s="28"/>
      <c r="J532" s="28"/>
      <c r="K532" s="28"/>
      <c r="L532" s="29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4.25" customHeight="1" x14ac:dyDescent="0.25">
      <c r="A533" s="36"/>
      <c r="B533" s="27"/>
      <c r="C533" s="28"/>
      <c r="D533" s="28"/>
      <c r="E533" s="29"/>
      <c r="F533" s="28"/>
      <c r="G533" s="28"/>
      <c r="H533" s="37"/>
      <c r="I533" s="28"/>
      <c r="J533" s="28"/>
      <c r="K533" s="28"/>
      <c r="L533" s="29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4.25" customHeight="1" x14ac:dyDescent="0.25">
      <c r="A534" s="36"/>
      <c r="B534" s="27"/>
      <c r="C534" s="28"/>
      <c r="D534" s="28"/>
      <c r="E534" s="29"/>
      <c r="F534" s="28"/>
      <c r="G534" s="28"/>
      <c r="H534" s="37"/>
      <c r="I534" s="28"/>
      <c r="J534" s="28"/>
      <c r="K534" s="28"/>
      <c r="L534" s="29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4.25" customHeight="1" x14ac:dyDescent="0.25">
      <c r="A535" s="36"/>
      <c r="B535" s="27"/>
      <c r="C535" s="28"/>
      <c r="D535" s="28"/>
      <c r="E535" s="29"/>
      <c r="F535" s="28"/>
      <c r="G535" s="28"/>
      <c r="H535" s="37"/>
      <c r="I535" s="28"/>
      <c r="J535" s="28"/>
      <c r="K535" s="28"/>
      <c r="L535" s="29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4.25" customHeight="1" x14ac:dyDescent="0.25">
      <c r="A536" s="36"/>
      <c r="B536" s="27"/>
      <c r="C536" s="28"/>
      <c r="D536" s="28"/>
      <c r="E536" s="29"/>
      <c r="F536" s="28"/>
      <c r="G536" s="28"/>
      <c r="H536" s="37"/>
      <c r="I536" s="28"/>
      <c r="J536" s="28"/>
      <c r="K536" s="28"/>
      <c r="L536" s="29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4.25" customHeight="1" x14ac:dyDescent="0.25">
      <c r="A537" s="36"/>
      <c r="B537" s="27"/>
      <c r="C537" s="28"/>
      <c r="D537" s="28"/>
      <c r="E537" s="29"/>
      <c r="F537" s="28"/>
      <c r="G537" s="28"/>
      <c r="H537" s="37"/>
      <c r="I537" s="28"/>
      <c r="J537" s="28"/>
      <c r="K537" s="28"/>
      <c r="L537" s="29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4.25" customHeight="1" x14ac:dyDescent="0.25">
      <c r="A538" s="36"/>
      <c r="B538" s="27"/>
      <c r="C538" s="28"/>
      <c r="D538" s="28"/>
      <c r="E538" s="29"/>
      <c r="F538" s="28"/>
      <c r="G538" s="28"/>
      <c r="H538" s="37"/>
      <c r="I538" s="28"/>
      <c r="J538" s="28"/>
      <c r="K538" s="28"/>
      <c r="L538" s="29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4.25" customHeight="1" x14ac:dyDescent="0.25">
      <c r="A539" s="36"/>
      <c r="B539" s="27"/>
      <c r="C539" s="28"/>
      <c r="D539" s="28"/>
      <c r="E539" s="29"/>
      <c r="F539" s="28"/>
      <c r="G539" s="28"/>
      <c r="H539" s="37"/>
      <c r="I539" s="28"/>
      <c r="J539" s="28"/>
      <c r="K539" s="28"/>
      <c r="L539" s="29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4.25" customHeight="1" x14ac:dyDescent="0.25">
      <c r="A540" s="36"/>
      <c r="B540" s="27"/>
      <c r="C540" s="28"/>
      <c r="D540" s="28"/>
      <c r="E540" s="29"/>
      <c r="F540" s="28"/>
      <c r="G540" s="28"/>
      <c r="H540" s="37"/>
      <c r="I540" s="28"/>
      <c r="J540" s="28"/>
      <c r="K540" s="28"/>
      <c r="L540" s="29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4.25" customHeight="1" x14ac:dyDescent="0.25">
      <c r="A541" s="36"/>
      <c r="B541" s="27"/>
      <c r="C541" s="28"/>
      <c r="D541" s="28"/>
      <c r="E541" s="29"/>
      <c r="F541" s="28"/>
      <c r="G541" s="28"/>
      <c r="H541" s="37"/>
      <c r="I541" s="28"/>
      <c r="J541" s="28"/>
      <c r="K541" s="28"/>
      <c r="L541" s="29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4.25" customHeight="1" x14ac:dyDescent="0.25">
      <c r="A542" s="36"/>
      <c r="B542" s="27"/>
      <c r="C542" s="28"/>
      <c r="D542" s="28"/>
      <c r="E542" s="29"/>
      <c r="F542" s="28"/>
      <c r="G542" s="28"/>
      <c r="H542" s="37"/>
      <c r="I542" s="28"/>
      <c r="J542" s="28"/>
      <c r="K542" s="28"/>
      <c r="L542" s="29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4.25" customHeight="1" x14ac:dyDescent="0.25">
      <c r="A543" s="36"/>
      <c r="B543" s="27"/>
      <c r="C543" s="28"/>
      <c r="D543" s="28"/>
      <c r="E543" s="29"/>
      <c r="F543" s="28"/>
      <c r="G543" s="28"/>
      <c r="H543" s="37"/>
      <c r="I543" s="28"/>
      <c r="J543" s="28"/>
      <c r="K543" s="28"/>
      <c r="L543" s="29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4.25" customHeight="1" x14ac:dyDescent="0.25">
      <c r="A544" s="36"/>
      <c r="B544" s="27"/>
      <c r="C544" s="28"/>
      <c r="D544" s="28"/>
      <c r="E544" s="29"/>
      <c r="F544" s="28"/>
      <c r="G544" s="28"/>
      <c r="H544" s="37"/>
      <c r="I544" s="28"/>
      <c r="J544" s="28"/>
      <c r="K544" s="28"/>
      <c r="L544" s="29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4.25" customHeight="1" x14ac:dyDescent="0.25">
      <c r="A545" s="36"/>
      <c r="B545" s="27"/>
      <c r="C545" s="28"/>
      <c r="D545" s="28"/>
      <c r="E545" s="29"/>
      <c r="F545" s="28"/>
      <c r="G545" s="28"/>
      <c r="H545" s="37"/>
      <c r="I545" s="28"/>
      <c r="J545" s="28"/>
      <c r="K545" s="28"/>
      <c r="L545" s="29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4.25" customHeight="1" x14ac:dyDescent="0.25">
      <c r="A546" s="36"/>
      <c r="B546" s="27"/>
      <c r="C546" s="28"/>
      <c r="D546" s="28"/>
      <c r="E546" s="29"/>
      <c r="F546" s="28"/>
      <c r="G546" s="28"/>
      <c r="H546" s="37"/>
      <c r="I546" s="28"/>
      <c r="J546" s="28"/>
      <c r="K546" s="28"/>
      <c r="L546" s="29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4.25" customHeight="1" x14ac:dyDescent="0.25">
      <c r="A547" s="36"/>
      <c r="B547" s="27"/>
      <c r="C547" s="28"/>
      <c r="D547" s="28"/>
      <c r="E547" s="29"/>
      <c r="F547" s="28"/>
      <c r="G547" s="28"/>
      <c r="H547" s="37"/>
      <c r="I547" s="28"/>
      <c r="J547" s="28"/>
      <c r="K547" s="28"/>
      <c r="L547" s="29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4.25" customHeight="1" x14ac:dyDescent="0.25">
      <c r="A548" s="36"/>
      <c r="B548" s="27"/>
      <c r="C548" s="28"/>
      <c r="D548" s="28"/>
      <c r="E548" s="29"/>
      <c r="F548" s="28"/>
      <c r="G548" s="28"/>
      <c r="H548" s="37"/>
      <c r="I548" s="28"/>
      <c r="J548" s="28"/>
      <c r="K548" s="28"/>
      <c r="L548" s="29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4.25" customHeight="1" x14ac:dyDescent="0.25">
      <c r="A549" s="36"/>
      <c r="B549" s="27"/>
      <c r="C549" s="28"/>
      <c r="D549" s="28"/>
      <c r="E549" s="29"/>
      <c r="F549" s="28"/>
      <c r="G549" s="28"/>
      <c r="H549" s="37"/>
      <c r="I549" s="28"/>
      <c r="J549" s="28"/>
      <c r="K549" s="28"/>
      <c r="L549" s="29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4.25" customHeight="1" x14ac:dyDescent="0.25">
      <c r="A550" s="36"/>
      <c r="B550" s="27"/>
      <c r="C550" s="28"/>
      <c r="D550" s="28"/>
      <c r="E550" s="29"/>
      <c r="F550" s="28"/>
      <c r="G550" s="28"/>
      <c r="H550" s="37"/>
      <c r="I550" s="28"/>
      <c r="J550" s="28"/>
      <c r="K550" s="28"/>
      <c r="L550" s="29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4.25" customHeight="1" x14ac:dyDescent="0.25">
      <c r="A551" s="36"/>
      <c r="B551" s="27"/>
      <c r="C551" s="28"/>
      <c r="D551" s="28"/>
      <c r="E551" s="29"/>
      <c r="F551" s="28"/>
      <c r="G551" s="28"/>
      <c r="H551" s="37"/>
      <c r="I551" s="28"/>
      <c r="J551" s="28"/>
      <c r="K551" s="28"/>
      <c r="L551" s="29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4.25" customHeight="1" x14ac:dyDescent="0.25">
      <c r="A552" s="36"/>
      <c r="B552" s="27"/>
      <c r="C552" s="28"/>
      <c r="D552" s="28"/>
      <c r="E552" s="29"/>
      <c r="F552" s="28"/>
      <c r="G552" s="28"/>
      <c r="H552" s="37"/>
      <c r="I552" s="28"/>
      <c r="J552" s="28"/>
      <c r="K552" s="28"/>
      <c r="L552" s="29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4.25" customHeight="1" x14ac:dyDescent="0.25">
      <c r="A553" s="36"/>
      <c r="B553" s="27"/>
      <c r="C553" s="28"/>
      <c r="D553" s="28"/>
      <c r="E553" s="29"/>
      <c r="F553" s="28"/>
      <c r="G553" s="28"/>
      <c r="H553" s="37"/>
      <c r="I553" s="28"/>
      <c r="J553" s="28"/>
      <c r="K553" s="28"/>
      <c r="L553" s="29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4.25" customHeight="1" x14ac:dyDescent="0.25">
      <c r="A554" s="36"/>
      <c r="B554" s="27"/>
      <c r="C554" s="28"/>
      <c r="D554" s="28"/>
      <c r="E554" s="29"/>
      <c r="F554" s="28"/>
      <c r="G554" s="28"/>
      <c r="H554" s="37"/>
      <c r="I554" s="28"/>
      <c r="J554" s="28"/>
      <c r="K554" s="28"/>
      <c r="L554" s="29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4.25" customHeight="1" x14ac:dyDescent="0.25">
      <c r="A555" s="36"/>
      <c r="B555" s="27"/>
      <c r="C555" s="28"/>
      <c r="D555" s="28"/>
      <c r="E555" s="29"/>
      <c r="F555" s="28"/>
      <c r="G555" s="28"/>
      <c r="H555" s="37"/>
      <c r="I555" s="28"/>
      <c r="J555" s="28"/>
      <c r="K555" s="28"/>
      <c r="L555" s="29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4.25" customHeight="1" x14ac:dyDescent="0.25">
      <c r="A556" s="36"/>
      <c r="B556" s="27"/>
      <c r="C556" s="28"/>
      <c r="D556" s="28"/>
      <c r="E556" s="29"/>
      <c r="F556" s="28"/>
      <c r="G556" s="28"/>
      <c r="H556" s="37"/>
      <c r="I556" s="28"/>
      <c r="J556" s="28"/>
      <c r="K556" s="28"/>
      <c r="L556" s="29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4.25" customHeight="1" x14ac:dyDescent="0.25">
      <c r="A557" s="36"/>
      <c r="B557" s="27"/>
      <c r="C557" s="28"/>
      <c r="D557" s="28"/>
      <c r="E557" s="29"/>
      <c r="F557" s="28"/>
      <c r="G557" s="28"/>
      <c r="H557" s="37"/>
      <c r="I557" s="28"/>
      <c r="J557" s="28"/>
      <c r="K557" s="28"/>
      <c r="L557" s="29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4.25" customHeight="1" x14ac:dyDescent="0.25">
      <c r="A558" s="36"/>
      <c r="B558" s="27"/>
      <c r="C558" s="28"/>
      <c r="D558" s="28"/>
      <c r="E558" s="29"/>
      <c r="F558" s="28"/>
      <c r="G558" s="28"/>
      <c r="H558" s="37"/>
      <c r="I558" s="28"/>
      <c r="J558" s="28"/>
      <c r="K558" s="28"/>
      <c r="L558" s="29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4.25" customHeight="1" x14ac:dyDescent="0.25">
      <c r="A559" s="36"/>
      <c r="B559" s="27"/>
      <c r="C559" s="28"/>
      <c r="D559" s="28"/>
      <c r="E559" s="29"/>
      <c r="F559" s="28"/>
      <c r="G559" s="28"/>
      <c r="H559" s="37"/>
      <c r="I559" s="28"/>
      <c r="J559" s="28"/>
      <c r="K559" s="28"/>
      <c r="L559" s="29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4.25" customHeight="1" x14ac:dyDescent="0.25">
      <c r="A560" s="36"/>
      <c r="B560" s="27"/>
      <c r="C560" s="28"/>
      <c r="D560" s="28"/>
      <c r="E560" s="29"/>
      <c r="F560" s="28"/>
      <c r="G560" s="28"/>
      <c r="H560" s="37"/>
      <c r="I560" s="28"/>
      <c r="J560" s="28"/>
      <c r="K560" s="28"/>
      <c r="L560" s="29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4.25" customHeight="1" x14ac:dyDescent="0.25">
      <c r="A561" s="36"/>
      <c r="B561" s="27"/>
      <c r="C561" s="28"/>
      <c r="D561" s="28"/>
      <c r="E561" s="29"/>
      <c r="F561" s="28"/>
      <c r="G561" s="28"/>
      <c r="H561" s="37"/>
      <c r="I561" s="28"/>
      <c r="J561" s="28"/>
      <c r="K561" s="28"/>
      <c r="L561" s="29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4.25" customHeight="1" x14ac:dyDescent="0.25">
      <c r="A562" s="36"/>
      <c r="B562" s="27"/>
      <c r="C562" s="28"/>
      <c r="D562" s="28"/>
      <c r="E562" s="29"/>
      <c r="F562" s="28"/>
      <c r="G562" s="28"/>
      <c r="H562" s="37"/>
      <c r="I562" s="28"/>
      <c r="J562" s="28"/>
      <c r="K562" s="28"/>
      <c r="L562" s="29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4.25" customHeight="1" x14ac:dyDescent="0.25">
      <c r="A563" s="36"/>
      <c r="B563" s="27"/>
      <c r="C563" s="28"/>
      <c r="D563" s="28"/>
      <c r="E563" s="29"/>
      <c r="F563" s="28"/>
      <c r="G563" s="28"/>
      <c r="H563" s="37"/>
      <c r="I563" s="28"/>
      <c r="J563" s="28"/>
      <c r="K563" s="28"/>
      <c r="L563" s="29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4.25" customHeight="1" x14ac:dyDescent="0.25">
      <c r="A564" s="36"/>
      <c r="B564" s="27"/>
      <c r="C564" s="28"/>
      <c r="D564" s="28"/>
      <c r="E564" s="29"/>
      <c r="F564" s="28"/>
      <c r="G564" s="28"/>
      <c r="H564" s="37"/>
      <c r="I564" s="28"/>
      <c r="J564" s="28"/>
      <c r="K564" s="28"/>
      <c r="L564" s="29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4.25" customHeight="1" x14ac:dyDescent="0.25">
      <c r="A565" s="36"/>
      <c r="B565" s="27"/>
      <c r="C565" s="28"/>
      <c r="D565" s="28"/>
      <c r="E565" s="29"/>
      <c r="F565" s="28"/>
      <c r="G565" s="28"/>
      <c r="H565" s="37"/>
      <c r="I565" s="28"/>
      <c r="J565" s="28"/>
      <c r="K565" s="28"/>
      <c r="L565" s="29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4.25" customHeight="1" x14ac:dyDescent="0.25">
      <c r="A566" s="36"/>
      <c r="B566" s="27"/>
      <c r="C566" s="28"/>
      <c r="D566" s="28"/>
      <c r="E566" s="29"/>
      <c r="F566" s="28"/>
      <c r="G566" s="28"/>
      <c r="H566" s="37"/>
      <c r="I566" s="28"/>
      <c r="J566" s="28"/>
      <c r="K566" s="28"/>
      <c r="L566" s="29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4.25" customHeight="1" x14ac:dyDescent="0.25">
      <c r="A567" s="36"/>
      <c r="B567" s="27"/>
      <c r="C567" s="28"/>
      <c r="D567" s="28"/>
      <c r="E567" s="29"/>
      <c r="F567" s="28"/>
      <c r="G567" s="28"/>
      <c r="H567" s="37"/>
      <c r="I567" s="28"/>
      <c r="J567" s="28"/>
      <c r="K567" s="28"/>
      <c r="L567" s="29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4.25" customHeight="1" x14ac:dyDescent="0.25">
      <c r="A568" s="36"/>
      <c r="B568" s="27"/>
      <c r="C568" s="28"/>
      <c r="D568" s="28"/>
      <c r="E568" s="29"/>
      <c r="F568" s="28"/>
      <c r="G568" s="28"/>
      <c r="H568" s="37"/>
      <c r="I568" s="28"/>
      <c r="J568" s="28"/>
      <c r="K568" s="28"/>
      <c r="L568" s="29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4.25" customHeight="1" x14ac:dyDescent="0.25">
      <c r="A569" s="36"/>
      <c r="B569" s="27"/>
      <c r="C569" s="28"/>
      <c r="D569" s="28"/>
      <c r="E569" s="29"/>
      <c r="F569" s="28"/>
      <c r="G569" s="28"/>
      <c r="H569" s="37"/>
      <c r="I569" s="28"/>
      <c r="J569" s="28"/>
      <c r="K569" s="28"/>
      <c r="L569" s="29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4.25" customHeight="1" x14ac:dyDescent="0.25">
      <c r="A570" s="36"/>
      <c r="B570" s="27"/>
      <c r="C570" s="28"/>
      <c r="D570" s="28"/>
      <c r="E570" s="29"/>
      <c r="F570" s="28"/>
      <c r="G570" s="28"/>
      <c r="H570" s="37"/>
      <c r="I570" s="28"/>
      <c r="J570" s="28"/>
      <c r="K570" s="28"/>
      <c r="L570" s="29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4.25" customHeight="1" x14ac:dyDescent="0.25">
      <c r="A571" s="36"/>
      <c r="B571" s="27"/>
      <c r="C571" s="28"/>
      <c r="D571" s="28"/>
      <c r="E571" s="29"/>
      <c r="F571" s="28"/>
      <c r="G571" s="28"/>
      <c r="H571" s="37"/>
      <c r="I571" s="28"/>
      <c r="J571" s="28"/>
      <c r="K571" s="28"/>
      <c r="L571" s="29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4.25" customHeight="1" x14ac:dyDescent="0.25">
      <c r="A572" s="36"/>
      <c r="B572" s="27"/>
      <c r="C572" s="28"/>
      <c r="D572" s="28"/>
      <c r="E572" s="29"/>
      <c r="F572" s="28"/>
      <c r="G572" s="28"/>
      <c r="H572" s="37"/>
      <c r="I572" s="28"/>
      <c r="J572" s="28"/>
      <c r="K572" s="28"/>
      <c r="L572" s="29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4.25" customHeight="1" x14ac:dyDescent="0.25">
      <c r="A573" s="36"/>
      <c r="B573" s="27"/>
      <c r="C573" s="28"/>
      <c r="D573" s="28"/>
      <c r="E573" s="29"/>
      <c r="F573" s="28"/>
      <c r="G573" s="28"/>
      <c r="H573" s="37"/>
      <c r="I573" s="28"/>
      <c r="J573" s="28"/>
      <c r="K573" s="28"/>
      <c r="L573" s="29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4.25" customHeight="1" x14ac:dyDescent="0.25">
      <c r="A574" s="36"/>
      <c r="B574" s="27"/>
      <c r="C574" s="28"/>
      <c r="D574" s="28"/>
      <c r="E574" s="29"/>
      <c r="F574" s="28"/>
      <c r="G574" s="28"/>
      <c r="H574" s="37"/>
      <c r="I574" s="28"/>
      <c r="J574" s="28"/>
      <c r="K574" s="28"/>
      <c r="L574" s="29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4.25" customHeight="1" x14ac:dyDescent="0.25">
      <c r="A575" s="36"/>
      <c r="B575" s="27"/>
      <c r="C575" s="28"/>
      <c r="D575" s="28"/>
      <c r="E575" s="29"/>
      <c r="F575" s="28"/>
      <c r="G575" s="28"/>
      <c r="H575" s="37"/>
      <c r="I575" s="28"/>
      <c r="J575" s="28"/>
      <c r="K575" s="28"/>
      <c r="L575" s="29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4.25" customHeight="1" x14ac:dyDescent="0.25">
      <c r="A576" s="36"/>
      <c r="B576" s="27"/>
      <c r="C576" s="28"/>
      <c r="D576" s="28"/>
      <c r="E576" s="29"/>
      <c r="F576" s="28"/>
      <c r="G576" s="28"/>
      <c r="H576" s="37"/>
      <c r="I576" s="28"/>
      <c r="J576" s="28"/>
      <c r="K576" s="28"/>
      <c r="L576" s="29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4.25" customHeight="1" x14ac:dyDescent="0.25">
      <c r="A577" s="36"/>
      <c r="B577" s="27"/>
      <c r="C577" s="28"/>
      <c r="D577" s="28"/>
      <c r="E577" s="29"/>
      <c r="F577" s="28"/>
      <c r="G577" s="28"/>
      <c r="H577" s="37"/>
      <c r="I577" s="28"/>
      <c r="J577" s="28"/>
      <c r="K577" s="28"/>
      <c r="L577" s="29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4.25" customHeight="1" x14ac:dyDescent="0.25">
      <c r="A578" s="36"/>
      <c r="B578" s="27"/>
      <c r="C578" s="28"/>
      <c r="D578" s="28"/>
      <c r="E578" s="29"/>
      <c r="F578" s="28"/>
      <c r="G578" s="28"/>
      <c r="H578" s="37"/>
      <c r="I578" s="28"/>
      <c r="J578" s="28"/>
      <c r="K578" s="28"/>
      <c r="L578" s="29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4.25" customHeight="1" x14ac:dyDescent="0.25">
      <c r="A579" s="36"/>
      <c r="B579" s="27"/>
      <c r="C579" s="28"/>
      <c r="D579" s="28"/>
      <c r="E579" s="29"/>
      <c r="F579" s="28"/>
      <c r="G579" s="28"/>
      <c r="H579" s="37"/>
      <c r="I579" s="28"/>
      <c r="J579" s="28"/>
      <c r="K579" s="28"/>
      <c r="L579" s="29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4.25" customHeight="1" x14ac:dyDescent="0.25">
      <c r="A580" s="36"/>
      <c r="B580" s="27"/>
      <c r="C580" s="28"/>
      <c r="D580" s="28"/>
      <c r="E580" s="29"/>
      <c r="F580" s="28"/>
      <c r="G580" s="28"/>
      <c r="H580" s="37"/>
      <c r="I580" s="28"/>
      <c r="J580" s="28"/>
      <c r="K580" s="28"/>
      <c r="L580" s="29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4.25" customHeight="1" x14ac:dyDescent="0.25">
      <c r="A581" s="36"/>
      <c r="B581" s="27"/>
      <c r="C581" s="28"/>
      <c r="D581" s="28"/>
      <c r="E581" s="29"/>
      <c r="F581" s="28"/>
      <c r="G581" s="28"/>
      <c r="H581" s="37"/>
      <c r="I581" s="28"/>
      <c r="J581" s="28"/>
      <c r="K581" s="28"/>
      <c r="L581" s="29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4.25" customHeight="1" x14ac:dyDescent="0.25">
      <c r="A582" s="36"/>
      <c r="B582" s="27"/>
      <c r="C582" s="28"/>
      <c r="D582" s="28"/>
      <c r="E582" s="29"/>
      <c r="F582" s="28"/>
      <c r="G582" s="28"/>
      <c r="H582" s="37"/>
      <c r="I582" s="28"/>
      <c r="J582" s="28"/>
      <c r="K582" s="28"/>
      <c r="L582" s="29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4.25" customHeight="1" x14ac:dyDescent="0.25">
      <c r="A583" s="36"/>
      <c r="B583" s="27"/>
      <c r="C583" s="28"/>
      <c r="D583" s="28"/>
      <c r="E583" s="29"/>
      <c r="F583" s="28"/>
      <c r="G583" s="28"/>
      <c r="H583" s="37"/>
      <c r="I583" s="28"/>
      <c r="J583" s="28"/>
      <c r="K583" s="28"/>
      <c r="L583" s="29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4.25" customHeight="1" x14ac:dyDescent="0.25">
      <c r="A584" s="36"/>
      <c r="B584" s="27"/>
      <c r="C584" s="28"/>
      <c r="D584" s="28"/>
      <c r="E584" s="29"/>
      <c r="F584" s="28"/>
      <c r="G584" s="28"/>
      <c r="H584" s="37"/>
      <c r="I584" s="28"/>
      <c r="J584" s="28"/>
      <c r="K584" s="28"/>
      <c r="L584" s="29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4.25" customHeight="1" x14ac:dyDescent="0.25">
      <c r="A585" s="36"/>
      <c r="B585" s="27"/>
      <c r="C585" s="28"/>
      <c r="D585" s="28"/>
      <c r="E585" s="29"/>
      <c r="F585" s="28"/>
      <c r="G585" s="28"/>
      <c r="H585" s="37"/>
      <c r="I585" s="28"/>
      <c r="J585" s="28"/>
      <c r="K585" s="28"/>
      <c r="L585" s="29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4.25" customHeight="1" x14ac:dyDescent="0.25">
      <c r="A586" s="36"/>
      <c r="B586" s="27"/>
      <c r="C586" s="28"/>
      <c r="D586" s="28"/>
      <c r="E586" s="29"/>
      <c r="F586" s="28"/>
      <c r="G586" s="28"/>
      <c r="H586" s="37"/>
      <c r="I586" s="28"/>
      <c r="J586" s="28"/>
      <c r="K586" s="28"/>
      <c r="L586" s="29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4.25" customHeight="1" x14ac:dyDescent="0.25">
      <c r="A587" s="36"/>
      <c r="B587" s="27"/>
      <c r="C587" s="28"/>
      <c r="D587" s="28"/>
      <c r="E587" s="29"/>
      <c r="F587" s="28"/>
      <c r="G587" s="28"/>
      <c r="H587" s="37"/>
      <c r="I587" s="28"/>
      <c r="J587" s="28"/>
      <c r="K587" s="28"/>
      <c r="L587" s="29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4.25" customHeight="1" x14ac:dyDescent="0.25">
      <c r="A588" s="36"/>
      <c r="B588" s="27"/>
      <c r="C588" s="28"/>
      <c r="D588" s="28"/>
      <c r="E588" s="29"/>
      <c r="F588" s="28"/>
      <c r="G588" s="28"/>
      <c r="H588" s="37"/>
      <c r="I588" s="28"/>
      <c r="J588" s="28"/>
      <c r="K588" s="28"/>
      <c r="L588" s="29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4.25" customHeight="1" x14ac:dyDescent="0.25">
      <c r="A589" s="36"/>
      <c r="B589" s="27"/>
      <c r="C589" s="28"/>
      <c r="D589" s="28"/>
      <c r="E589" s="29"/>
      <c r="F589" s="28"/>
      <c r="G589" s="28"/>
      <c r="H589" s="37"/>
      <c r="I589" s="28"/>
      <c r="J589" s="28"/>
      <c r="K589" s="28"/>
      <c r="L589" s="29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4.25" customHeight="1" x14ac:dyDescent="0.25">
      <c r="A590" s="36"/>
      <c r="B590" s="27"/>
      <c r="C590" s="28"/>
      <c r="D590" s="28"/>
      <c r="E590" s="29"/>
      <c r="F590" s="28"/>
      <c r="G590" s="28"/>
      <c r="H590" s="37"/>
      <c r="I590" s="28"/>
      <c r="J590" s="28"/>
      <c r="K590" s="28"/>
      <c r="L590" s="29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4.25" customHeight="1" x14ac:dyDescent="0.25">
      <c r="A591" s="36"/>
      <c r="B591" s="27"/>
      <c r="C591" s="28"/>
      <c r="D591" s="28"/>
      <c r="E591" s="29"/>
      <c r="F591" s="28"/>
      <c r="G591" s="28"/>
      <c r="H591" s="37"/>
      <c r="I591" s="28"/>
      <c r="J591" s="28"/>
      <c r="K591" s="28"/>
      <c r="L591" s="29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4.25" customHeight="1" x14ac:dyDescent="0.25">
      <c r="A592" s="36"/>
      <c r="B592" s="27"/>
      <c r="C592" s="28"/>
      <c r="D592" s="28"/>
      <c r="E592" s="29"/>
      <c r="F592" s="28"/>
      <c r="G592" s="28"/>
      <c r="H592" s="37"/>
      <c r="I592" s="28"/>
      <c r="J592" s="28"/>
      <c r="K592" s="28"/>
      <c r="L592" s="29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4.25" customHeight="1" x14ac:dyDescent="0.25">
      <c r="A593" s="36"/>
      <c r="B593" s="27"/>
      <c r="C593" s="28"/>
      <c r="D593" s="28"/>
      <c r="E593" s="29"/>
      <c r="F593" s="28"/>
      <c r="G593" s="28"/>
      <c r="H593" s="37"/>
      <c r="I593" s="28"/>
      <c r="J593" s="28"/>
      <c r="K593" s="28"/>
      <c r="L593" s="29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4.25" customHeight="1" x14ac:dyDescent="0.25">
      <c r="A594" s="36"/>
      <c r="B594" s="27"/>
      <c r="C594" s="28"/>
      <c r="D594" s="28"/>
      <c r="E594" s="29"/>
      <c r="F594" s="28"/>
      <c r="G594" s="28"/>
      <c r="H594" s="37"/>
      <c r="I594" s="28"/>
      <c r="J594" s="28"/>
      <c r="K594" s="28"/>
      <c r="L594" s="29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4.25" customHeight="1" x14ac:dyDescent="0.25">
      <c r="A595" s="36"/>
      <c r="B595" s="27"/>
      <c r="C595" s="28"/>
      <c r="D595" s="28"/>
      <c r="E595" s="29"/>
      <c r="F595" s="28"/>
      <c r="G595" s="28"/>
      <c r="H595" s="37"/>
      <c r="I595" s="28"/>
      <c r="J595" s="28"/>
      <c r="K595" s="28"/>
      <c r="L595" s="29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4.25" customHeight="1" x14ac:dyDescent="0.25">
      <c r="A596" s="36"/>
      <c r="B596" s="27"/>
      <c r="C596" s="28"/>
      <c r="D596" s="28"/>
      <c r="E596" s="29"/>
      <c r="F596" s="28"/>
      <c r="G596" s="28"/>
      <c r="H596" s="37"/>
      <c r="I596" s="28"/>
      <c r="J596" s="28"/>
      <c r="K596" s="28"/>
      <c r="L596" s="29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4.25" customHeight="1" x14ac:dyDescent="0.25">
      <c r="A597" s="36"/>
      <c r="B597" s="27"/>
      <c r="C597" s="28"/>
      <c r="D597" s="28"/>
      <c r="E597" s="29"/>
      <c r="F597" s="28"/>
      <c r="G597" s="28"/>
      <c r="H597" s="37"/>
      <c r="I597" s="28"/>
      <c r="J597" s="28"/>
      <c r="K597" s="28"/>
      <c r="L597" s="29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4.25" customHeight="1" x14ac:dyDescent="0.25">
      <c r="A598" s="36"/>
      <c r="B598" s="27"/>
      <c r="C598" s="28"/>
      <c r="D598" s="28"/>
      <c r="E598" s="29"/>
      <c r="F598" s="28"/>
      <c r="G598" s="28"/>
      <c r="H598" s="37"/>
      <c r="I598" s="28"/>
      <c r="J598" s="28"/>
      <c r="K598" s="28"/>
      <c r="L598" s="29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4.25" customHeight="1" x14ac:dyDescent="0.25">
      <c r="A599" s="36"/>
      <c r="B599" s="27"/>
      <c r="C599" s="28"/>
      <c r="D599" s="28"/>
      <c r="E599" s="29"/>
      <c r="F599" s="28"/>
      <c r="G599" s="28"/>
      <c r="H599" s="37"/>
      <c r="I599" s="28"/>
      <c r="J599" s="28"/>
      <c r="K599" s="28"/>
      <c r="L599" s="29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4.25" customHeight="1" x14ac:dyDescent="0.25">
      <c r="A600" s="36"/>
      <c r="B600" s="27"/>
      <c r="C600" s="28"/>
      <c r="D600" s="28"/>
      <c r="E600" s="29"/>
      <c r="F600" s="28"/>
      <c r="G600" s="28"/>
      <c r="H600" s="37"/>
      <c r="I600" s="28"/>
      <c r="J600" s="28"/>
      <c r="K600" s="28"/>
      <c r="L600" s="29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4.25" customHeight="1" x14ac:dyDescent="0.25">
      <c r="A601" s="36"/>
      <c r="B601" s="27"/>
      <c r="C601" s="28"/>
      <c r="D601" s="28"/>
      <c r="E601" s="29"/>
      <c r="F601" s="28"/>
      <c r="G601" s="28"/>
      <c r="H601" s="37"/>
      <c r="I601" s="28"/>
      <c r="J601" s="28"/>
      <c r="K601" s="28"/>
      <c r="L601" s="29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4.25" customHeight="1" x14ac:dyDescent="0.25">
      <c r="A602" s="36"/>
      <c r="B602" s="27"/>
      <c r="C602" s="28"/>
      <c r="D602" s="28"/>
      <c r="E602" s="29"/>
      <c r="F602" s="28"/>
      <c r="G602" s="28"/>
      <c r="H602" s="37"/>
      <c r="I602" s="28"/>
      <c r="J602" s="28"/>
      <c r="K602" s="28"/>
      <c r="L602" s="29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4.25" customHeight="1" x14ac:dyDescent="0.25">
      <c r="A603" s="36"/>
      <c r="B603" s="27"/>
      <c r="C603" s="28"/>
      <c r="D603" s="28"/>
      <c r="E603" s="29"/>
      <c r="F603" s="28"/>
      <c r="G603" s="28"/>
      <c r="H603" s="37"/>
      <c r="I603" s="28"/>
      <c r="J603" s="28"/>
      <c r="K603" s="28"/>
      <c r="L603" s="29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4.25" customHeight="1" x14ac:dyDescent="0.25">
      <c r="A604" s="36"/>
      <c r="B604" s="27"/>
      <c r="C604" s="28"/>
      <c r="D604" s="28"/>
      <c r="E604" s="29"/>
      <c r="F604" s="28"/>
      <c r="G604" s="28"/>
      <c r="H604" s="37"/>
      <c r="I604" s="28"/>
      <c r="J604" s="28"/>
      <c r="K604" s="28"/>
      <c r="L604" s="29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4.25" customHeight="1" x14ac:dyDescent="0.25">
      <c r="A605" s="36"/>
      <c r="B605" s="27"/>
      <c r="C605" s="28"/>
      <c r="D605" s="28"/>
      <c r="E605" s="29"/>
      <c r="F605" s="28"/>
      <c r="G605" s="28"/>
      <c r="H605" s="37"/>
      <c r="I605" s="28"/>
      <c r="J605" s="28"/>
      <c r="K605" s="28"/>
      <c r="L605" s="29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4.25" customHeight="1" x14ac:dyDescent="0.25">
      <c r="A606" s="36"/>
      <c r="B606" s="27"/>
      <c r="C606" s="28"/>
      <c r="D606" s="28"/>
      <c r="E606" s="29"/>
      <c r="F606" s="28"/>
      <c r="G606" s="28"/>
      <c r="H606" s="37"/>
      <c r="I606" s="28"/>
      <c r="J606" s="28"/>
      <c r="K606" s="28"/>
      <c r="L606" s="29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4.25" customHeight="1" x14ac:dyDescent="0.25">
      <c r="A607" s="36"/>
      <c r="B607" s="27"/>
      <c r="C607" s="28"/>
      <c r="D607" s="28"/>
      <c r="E607" s="29"/>
      <c r="F607" s="28"/>
      <c r="G607" s="28"/>
      <c r="H607" s="37"/>
      <c r="I607" s="28"/>
      <c r="J607" s="28"/>
      <c r="K607" s="28"/>
      <c r="L607" s="29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4.25" customHeight="1" x14ac:dyDescent="0.25">
      <c r="A608" s="36"/>
      <c r="B608" s="27"/>
      <c r="C608" s="28"/>
      <c r="D608" s="28"/>
      <c r="E608" s="29"/>
      <c r="F608" s="28"/>
      <c r="G608" s="28"/>
      <c r="H608" s="37"/>
      <c r="I608" s="28"/>
      <c r="J608" s="28"/>
      <c r="K608" s="28"/>
      <c r="L608" s="29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4.25" customHeight="1" x14ac:dyDescent="0.25">
      <c r="A609" s="36"/>
      <c r="B609" s="27"/>
      <c r="C609" s="28"/>
      <c r="D609" s="28"/>
      <c r="E609" s="29"/>
      <c r="F609" s="28"/>
      <c r="G609" s="28"/>
      <c r="H609" s="37"/>
      <c r="I609" s="28"/>
      <c r="J609" s="28"/>
      <c r="K609" s="28"/>
      <c r="L609" s="29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4.25" customHeight="1" x14ac:dyDescent="0.25">
      <c r="A610" s="36"/>
      <c r="B610" s="27"/>
      <c r="C610" s="28"/>
      <c r="D610" s="28"/>
      <c r="E610" s="29"/>
      <c r="F610" s="28"/>
      <c r="G610" s="28"/>
      <c r="H610" s="37"/>
      <c r="I610" s="28"/>
      <c r="J610" s="28"/>
      <c r="K610" s="28"/>
      <c r="L610" s="29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4.25" customHeight="1" x14ac:dyDescent="0.25">
      <c r="A611" s="36"/>
      <c r="B611" s="27"/>
      <c r="C611" s="28"/>
      <c r="D611" s="28"/>
      <c r="E611" s="29"/>
      <c r="F611" s="28"/>
      <c r="G611" s="28"/>
      <c r="H611" s="37"/>
      <c r="I611" s="28"/>
      <c r="J611" s="28"/>
      <c r="K611" s="28"/>
      <c r="L611" s="29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4.25" customHeight="1" x14ac:dyDescent="0.25">
      <c r="A612" s="36"/>
      <c r="B612" s="27"/>
      <c r="C612" s="28"/>
      <c r="D612" s="28"/>
      <c r="E612" s="29"/>
      <c r="F612" s="28"/>
      <c r="G612" s="28"/>
      <c r="H612" s="37"/>
      <c r="I612" s="28"/>
      <c r="J612" s="28"/>
      <c r="K612" s="28"/>
      <c r="L612" s="29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4.25" customHeight="1" x14ac:dyDescent="0.25">
      <c r="A613" s="36"/>
      <c r="B613" s="27"/>
      <c r="C613" s="28"/>
      <c r="D613" s="28"/>
      <c r="E613" s="29"/>
      <c r="F613" s="28"/>
      <c r="G613" s="28"/>
      <c r="H613" s="37"/>
      <c r="I613" s="28"/>
      <c r="J613" s="28"/>
      <c r="K613" s="28"/>
      <c r="L613" s="29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4.25" customHeight="1" x14ac:dyDescent="0.25">
      <c r="A614" s="36"/>
      <c r="B614" s="27"/>
      <c r="C614" s="28"/>
      <c r="D614" s="28"/>
      <c r="E614" s="29"/>
      <c r="F614" s="28"/>
      <c r="G614" s="28"/>
      <c r="H614" s="37"/>
      <c r="I614" s="28"/>
      <c r="J614" s="28"/>
      <c r="K614" s="28"/>
      <c r="L614" s="29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4.25" customHeight="1" x14ac:dyDescent="0.25">
      <c r="A615" s="36"/>
      <c r="B615" s="27"/>
      <c r="C615" s="28"/>
      <c r="D615" s="28"/>
      <c r="E615" s="29"/>
      <c r="F615" s="28"/>
      <c r="G615" s="28"/>
      <c r="H615" s="37"/>
      <c r="I615" s="28"/>
      <c r="J615" s="28"/>
      <c r="K615" s="28"/>
      <c r="L615" s="29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4.25" customHeight="1" x14ac:dyDescent="0.25">
      <c r="A616" s="36"/>
      <c r="B616" s="27"/>
      <c r="C616" s="28"/>
      <c r="D616" s="28"/>
      <c r="E616" s="29"/>
      <c r="F616" s="28"/>
      <c r="G616" s="28"/>
      <c r="H616" s="37"/>
      <c r="I616" s="28"/>
      <c r="J616" s="28"/>
      <c r="K616" s="28"/>
      <c r="L616" s="29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4.25" customHeight="1" x14ac:dyDescent="0.25">
      <c r="A617" s="36"/>
      <c r="B617" s="27"/>
      <c r="C617" s="28"/>
      <c r="D617" s="28"/>
      <c r="E617" s="29"/>
      <c r="F617" s="28"/>
      <c r="G617" s="28"/>
      <c r="H617" s="37"/>
      <c r="I617" s="28"/>
      <c r="J617" s="28"/>
      <c r="K617" s="28"/>
      <c r="L617" s="29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4.25" customHeight="1" x14ac:dyDescent="0.25">
      <c r="A618" s="36"/>
      <c r="B618" s="27"/>
      <c r="C618" s="28"/>
      <c r="D618" s="28"/>
      <c r="E618" s="29"/>
      <c r="F618" s="28"/>
      <c r="G618" s="28"/>
      <c r="H618" s="37"/>
      <c r="I618" s="28"/>
      <c r="J618" s="28"/>
      <c r="K618" s="28"/>
      <c r="L618" s="29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4.25" customHeight="1" x14ac:dyDescent="0.25">
      <c r="A619" s="36"/>
      <c r="B619" s="27"/>
      <c r="C619" s="28"/>
      <c r="D619" s="28"/>
      <c r="E619" s="29"/>
      <c r="F619" s="28"/>
      <c r="G619" s="28"/>
      <c r="H619" s="37"/>
      <c r="I619" s="28"/>
      <c r="J619" s="28"/>
      <c r="K619" s="28"/>
      <c r="L619" s="29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4.25" customHeight="1" x14ac:dyDescent="0.25">
      <c r="A620" s="36"/>
      <c r="B620" s="27"/>
      <c r="C620" s="28"/>
      <c r="D620" s="28"/>
      <c r="E620" s="29"/>
      <c r="F620" s="28"/>
      <c r="G620" s="28"/>
      <c r="H620" s="37"/>
      <c r="I620" s="28"/>
      <c r="J620" s="28"/>
      <c r="K620" s="28"/>
      <c r="L620" s="29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4.25" customHeight="1" x14ac:dyDescent="0.25">
      <c r="A621" s="36"/>
      <c r="B621" s="27"/>
      <c r="C621" s="28"/>
      <c r="D621" s="28"/>
      <c r="E621" s="29"/>
      <c r="F621" s="28"/>
      <c r="G621" s="28"/>
      <c r="H621" s="37"/>
      <c r="I621" s="28"/>
      <c r="J621" s="28"/>
      <c r="K621" s="28"/>
      <c r="L621" s="29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4.25" customHeight="1" x14ac:dyDescent="0.25">
      <c r="A622" s="36"/>
      <c r="B622" s="27"/>
      <c r="C622" s="28"/>
      <c r="D622" s="28"/>
      <c r="E622" s="29"/>
      <c r="F622" s="28"/>
      <c r="G622" s="28"/>
      <c r="H622" s="37"/>
      <c r="I622" s="28"/>
      <c r="J622" s="28"/>
      <c r="K622" s="28"/>
      <c r="L622" s="29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4.25" customHeight="1" x14ac:dyDescent="0.25">
      <c r="A623" s="36"/>
      <c r="B623" s="27"/>
      <c r="C623" s="28"/>
      <c r="D623" s="28"/>
      <c r="E623" s="29"/>
      <c r="F623" s="28"/>
      <c r="G623" s="28"/>
      <c r="H623" s="37"/>
      <c r="I623" s="28"/>
      <c r="J623" s="28"/>
      <c r="K623" s="28"/>
      <c r="L623" s="29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4.25" customHeight="1" x14ac:dyDescent="0.25">
      <c r="A624" s="36"/>
      <c r="B624" s="27"/>
      <c r="C624" s="28"/>
      <c r="D624" s="28"/>
      <c r="E624" s="29"/>
      <c r="F624" s="28"/>
      <c r="G624" s="28"/>
      <c r="H624" s="37"/>
      <c r="I624" s="28"/>
      <c r="J624" s="28"/>
      <c r="K624" s="28"/>
      <c r="L624" s="29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4.25" customHeight="1" x14ac:dyDescent="0.25">
      <c r="A625" s="36"/>
      <c r="B625" s="27"/>
      <c r="C625" s="28"/>
      <c r="D625" s="28"/>
      <c r="E625" s="29"/>
      <c r="F625" s="28"/>
      <c r="G625" s="28"/>
      <c r="H625" s="37"/>
      <c r="I625" s="28"/>
      <c r="J625" s="28"/>
      <c r="K625" s="28"/>
      <c r="L625" s="29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4.25" customHeight="1" x14ac:dyDescent="0.25">
      <c r="A626" s="36"/>
      <c r="B626" s="27"/>
      <c r="C626" s="28"/>
      <c r="D626" s="28"/>
      <c r="E626" s="29"/>
      <c r="F626" s="28"/>
      <c r="G626" s="28"/>
      <c r="H626" s="37"/>
      <c r="I626" s="28"/>
      <c r="J626" s="28"/>
      <c r="K626" s="28"/>
      <c r="L626" s="29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4.25" customHeight="1" x14ac:dyDescent="0.25">
      <c r="A627" s="36"/>
      <c r="B627" s="27"/>
      <c r="C627" s="28"/>
      <c r="D627" s="28"/>
      <c r="E627" s="29"/>
      <c r="F627" s="28"/>
      <c r="G627" s="28"/>
      <c r="H627" s="37"/>
      <c r="I627" s="28"/>
      <c r="J627" s="28"/>
      <c r="K627" s="28"/>
      <c r="L627" s="29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4.25" customHeight="1" x14ac:dyDescent="0.25">
      <c r="A628" s="36"/>
      <c r="B628" s="27"/>
      <c r="C628" s="28"/>
      <c r="D628" s="28"/>
      <c r="E628" s="29"/>
      <c r="F628" s="28"/>
      <c r="G628" s="28"/>
      <c r="H628" s="37"/>
      <c r="I628" s="28"/>
      <c r="J628" s="28"/>
      <c r="K628" s="28"/>
      <c r="L628" s="29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4.25" customHeight="1" x14ac:dyDescent="0.25">
      <c r="A629" s="36"/>
      <c r="B629" s="27"/>
      <c r="C629" s="28"/>
      <c r="D629" s="28"/>
      <c r="E629" s="29"/>
      <c r="F629" s="28"/>
      <c r="G629" s="28"/>
      <c r="H629" s="37"/>
      <c r="I629" s="28"/>
      <c r="J629" s="28"/>
      <c r="K629" s="28"/>
      <c r="L629" s="29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4.25" customHeight="1" x14ac:dyDescent="0.25">
      <c r="A630" s="36"/>
      <c r="B630" s="27"/>
      <c r="C630" s="28"/>
      <c r="D630" s="28"/>
      <c r="E630" s="29"/>
      <c r="F630" s="28"/>
      <c r="G630" s="28"/>
      <c r="H630" s="37"/>
      <c r="I630" s="28"/>
      <c r="J630" s="28"/>
      <c r="K630" s="28"/>
      <c r="L630" s="29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4.25" customHeight="1" x14ac:dyDescent="0.25">
      <c r="A631" s="36"/>
      <c r="B631" s="27"/>
      <c r="C631" s="28"/>
      <c r="D631" s="28"/>
      <c r="E631" s="29"/>
      <c r="F631" s="28"/>
      <c r="G631" s="28"/>
      <c r="H631" s="37"/>
      <c r="I631" s="28"/>
      <c r="J631" s="28"/>
      <c r="K631" s="28"/>
      <c r="L631" s="29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4.25" customHeight="1" x14ac:dyDescent="0.25">
      <c r="A632" s="36"/>
      <c r="B632" s="27"/>
      <c r="C632" s="28"/>
      <c r="D632" s="28"/>
      <c r="E632" s="29"/>
      <c r="F632" s="28"/>
      <c r="G632" s="28"/>
      <c r="H632" s="37"/>
      <c r="I632" s="28"/>
      <c r="J632" s="28"/>
      <c r="K632" s="28"/>
      <c r="L632" s="29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4.25" customHeight="1" x14ac:dyDescent="0.25">
      <c r="A633" s="36"/>
      <c r="B633" s="27"/>
      <c r="C633" s="28"/>
      <c r="D633" s="28"/>
      <c r="E633" s="29"/>
      <c r="F633" s="28"/>
      <c r="G633" s="28"/>
      <c r="H633" s="37"/>
      <c r="I633" s="28"/>
      <c r="J633" s="28"/>
      <c r="K633" s="28"/>
      <c r="L633" s="29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4.25" customHeight="1" x14ac:dyDescent="0.25">
      <c r="A634" s="36"/>
      <c r="B634" s="27"/>
      <c r="C634" s="28"/>
      <c r="D634" s="28"/>
      <c r="E634" s="29"/>
      <c r="F634" s="28"/>
      <c r="G634" s="28"/>
      <c r="H634" s="37"/>
      <c r="I634" s="28"/>
      <c r="J634" s="28"/>
      <c r="K634" s="28"/>
      <c r="L634" s="29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4.25" customHeight="1" x14ac:dyDescent="0.25">
      <c r="A635" s="36"/>
      <c r="B635" s="27"/>
      <c r="C635" s="28"/>
      <c r="D635" s="28"/>
      <c r="E635" s="29"/>
      <c r="F635" s="28"/>
      <c r="G635" s="28"/>
      <c r="H635" s="37"/>
      <c r="I635" s="28"/>
      <c r="J635" s="28"/>
      <c r="K635" s="28"/>
      <c r="L635" s="29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4.25" customHeight="1" x14ac:dyDescent="0.25">
      <c r="A636" s="36"/>
      <c r="B636" s="27"/>
      <c r="C636" s="28"/>
      <c r="D636" s="28"/>
      <c r="E636" s="29"/>
      <c r="F636" s="28"/>
      <c r="G636" s="28"/>
      <c r="H636" s="37"/>
      <c r="I636" s="28"/>
      <c r="J636" s="28"/>
      <c r="K636" s="28"/>
      <c r="L636" s="29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4.25" customHeight="1" x14ac:dyDescent="0.25">
      <c r="A637" s="36"/>
      <c r="B637" s="27"/>
      <c r="C637" s="28"/>
      <c r="D637" s="28"/>
      <c r="E637" s="29"/>
      <c r="F637" s="28"/>
      <c r="G637" s="28"/>
      <c r="H637" s="37"/>
      <c r="I637" s="28"/>
      <c r="J637" s="28"/>
      <c r="K637" s="28"/>
      <c r="L637" s="29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4.25" customHeight="1" x14ac:dyDescent="0.25">
      <c r="A638" s="36"/>
      <c r="B638" s="27"/>
      <c r="C638" s="28"/>
      <c r="D638" s="28"/>
      <c r="E638" s="29"/>
      <c r="F638" s="28"/>
      <c r="G638" s="28"/>
      <c r="H638" s="37"/>
      <c r="I638" s="28"/>
      <c r="J638" s="28"/>
      <c r="K638" s="28"/>
      <c r="L638" s="29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4.25" customHeight="1" x14ac:dyDescent="0.25">
      <c r="A639" s="36"/>
      <c r="B639" s="27"/>
      <c r="C639" s="28"/>
      <c r="D639" s="28"/>
      <c r="E639" s="29"/>
      <c r="F639" s="28"/>
      <c r="G639" s="28"/>
      <c r="H639" s="37"/>
      <c r="I639" s="28"/>
      <c r="J639" s="28"/>
      <c r="K639" s="28"/>
      <c r="L639" s="29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4.25" customHeight="1" x14ac:dyDescent="0.25">
      <c r="A640" s="36"/>
      <c r="B640" s="27"/>
      <c r="C640" s="28"/>
      <c r="D640" s="28"/>
      <c r="E640" s="29"/>
      <c r="F640" s="28"/>
      <c r="G640" s="28"/>
      <c r="H640" s="37"/>
      <c r="I640" s="28"/>
      <c r="J640" s="28"/>
      <c r="K640" s="28"/>
      <c r="L640" s="29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4.25" customHeight="1" x14ac:dyDescent="0.25">
      <c r="A641" s="36"/>
      <c r="B641" s="27"/>
      <c r="C641" s="28"/>
      <c r="D641" s="28"/>
      <c r="E641" s="29"/>
      <c r="F641" s="28"/>
      <c r="G641" s="28"/>
      <c r="H641" s="37"/>
      <c r="I641" s="28"/>
      <c r="J641" s="28"/>
      <c r="K641" s="28"/>
      <c r="L641" s="29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4.25" customHeight="1" x14ac:dyDescent="0.25">
      <c r="A642" s="36"/>
      <c r="B642" s="27"/>
      <c r="C642" s="28"/>
      <c r="D642" s="28"/>
      <c r="E642" s="29"/>
      <c r="F642" s="28"/>
      <c r="G642" s="28"/>
      <c r="H642" s="37"/>
      <c r="I642" s="28"/>
      <c r="J642" s="28"/>
      <c r="K642" s="28"/>
      <c r="L642" s="29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4.25" customHeight="1" x14ac:dyDescent="0.25">
      <c r="A643" s="36"/>
      <c r="B643" s="27"/>
      <c r="C643" s="28"/>
      <c r="D643" s="28"/>
      <c r="E643" s="29"/>
      <c r="F643" s="28"/>
      <c r="G643" s="28"/>
      <c r="H643" s="37"/>
      <c r="I643" s="28"/>
      <c r="J643" s="28"/>
      <c r="K643" s="28"/>
      <c r="L643" s="29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4.25" customHeight="1" x14ac:dyDescent="0.25">
      <c r="A644" s="36"/>
      <c r="B644" s="27"/>
      <c r="C644" s="28"/>
      <c r="D644" s="28"/>
      <c r="E644" s="29"/>
      <c r="F644" s="28"/>
      <c r="G644" s="28"/>
      <c r="H644" s="37"/>
      <c r="I644" s="28"/>
      <c r="J644" s="28"/>
      <c r="K644" s="28"/>
      <c r="L644" s="29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4.25" customHeight="1" x14ac:dyDescent="0.25">
      <c r="A645" s="36"/>
      <c r="B645" s="27"/>
      <c r="C645" s="28"/>
      <c r="D645" s="28"/>
      <c r="E645" s="29"/>
      <c r="F645" s="28"/>
      <c r="G645" s="28"/>
      <c r="H645" s="37"/>
      <c r="I645" s="28"/>
      <c r="J645" s="28"/>
      <c r="K645" s="28"/>
      <c r="L645" s="29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4.25" customHeight="1" x14ac:dyDescent="0.25">
      <c r="A646" s="36"/>
      <c r="B646" s="27"/>
      <c r="C646" s="28"/>
      <c r="D646" s="28"/>
      <c r="E646" s="29"/>
      <c r="F646" s="28"/>
      <c r="G646" s="28"/>
      <c r="H646" s="37"/>
      <c r="I646" s="28"/>
      <c r="J646" s="28"/>
      <c r="K646" s="28"/>
      <c r="L646" s="29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4.25" customHeight="1" x14ac:dyDescent="0.25">
      <c r="A647" s="36"/>
      <c r="B647" s="27"/>
      <c r="C647" s="28"/>
      <c r="D647" s="28"/>
      <c r="E647" s="29"/>
      <c r="F647" s="28"/>
      <c r="G647" s="28"/>
      <c r="H647" s="37"/>
      <c r="I647" s="28"/>
      <c r="J647" s="28"/>
      <c r="K647" s="28"/>
      <c r="L647" s="29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4.25" customHeight="1" x14ac:dyDescent="0.25">
      <c r="A648" s="36"/>
      <c r="B648" s="27"/>
      <c r="C648" s="28"/>
      <c r="D648" s="28"/>
      <c r="E648" s="29"/>
      <c r="F648" s="28"/>
      <c r="G648" s="28"/>
      <c r="H648" s="37"/>
      <c r="I648" s="28"/>
      <c r="J648" s="28"/>
      <c r="K648" s="28"/>
      <c r="L648" s="29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4.25" customHeight="1" x14ac:dyDescent="0.25">
      <c r="A649" s="36"/>
      <c r="B649" s="27"/>
      <c r="C649" s="28"/>
      <c r="D649" s="28"/>
      <c r="E649" s="29"/>
      <c r="F649" s="28"/>
      <c r="G649" s="28"/>
      <c r="H649" s="37"/>
      <c r="I649" s="28"/>
      <c r="J649" s="28"/>
      <c r="K649" s="28"/>
      <c r="L649" s="29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4.25" customHeight="1" x14ac:dyDescent="0.25">
      <c r="A650" s="36"/>
      <c r="B650" s="27"/>
      <c r="C650" s="28"/>
      <c r="D650" s="28"/>
      <c r="E650" s="29"/>
      <c r="F650" s="28"/>
      <c r="G650" s="28"/>
      <c r="H650" s="37"/>
      <c r="I650" s="28"/>
      <c r="J650" s="28"/>
      <c r="K650" s="28"/>
      <c r="L650" s="29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4.25" customHeight="1" x14ac:dyDescent="0.25">
      <c r="A651" s="36"/>
      <c r="B651" s="27"/>
      <c r="C651" s="28"/>
      <c r="D651" s="28"/>
      <c r="E651" s="29"/>
      <c r="F651" s="28"/>
      <c r="G651" s="28"/>
      <c r="H651" s="37"/>
      <c r="I651" s="28"/>
      <c r="J651" s="28"/>
      <c r="K651" s="28"/>
      <c r="L651" s="29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4.25" customHeight="1" x14ac:dyDescent="0.25">
      <c r="A652" s="36"/>
      <c r="B652" s="27"/>
      <c r="C652" s="28"/>
      <c r="D652" s="28"/>
      <c r="E652" s="29"/>
      <c r="F652" s="28"/>
      <c r="G652" s="28"/>
      <c r="H652" s="37"/>
      <c r="I652" s="28"/>
      <c r="J652" s="28"/>
      <c r="K652" s="28"/>
      <c r="L652" s="29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4.25" customHeight="1" x14ac:dyDescent="0.25">
      <c r="A653" s="36"/>
      <c r="B653" s="27"/>
      <c r="C653" s="28"/>
      <c r="D653" s="28"/>
      <c r="E653" s="29"/>
      <c r="F653" s="28"/>
      <c r="G653" s="28"/>
      <c r="H653" s="37"/>
      <c r="I653" s="28"/>
      <c r="J653" s="28"/>
      <c r="K653" s="28"/>
      <c r="L653" s="29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4.25" customHeight="1" x14ac:dyDescent="0.25">
      <c r="A654" s="36"/>
      <c r="B654" s="27"/>
      <c r="C654" s="28"/>
      <c r="D654" s="28"/>
      <c r="E654" s="29"/>
      <c r="F654" s="28"/>
      <c r="G654" s="28"/>
      <c r="H654" s="37"/>
      <c r="I654" s="28"/>
      <c r="J654" s="28"/>
      <c r="K654" s="28"/>
      <c r="L654" s="29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4.25" customHeight="1" x14ac:dyDescent="0.25">
      <c r="A655" s="36"/>
      <c r="B655" s="27"/>
      <c r="C655" s="28"/>
      <c r="D655" s="28"/>
      <c r="E655" s="29"/>
      <c r="F655" s="28"/>
      <c r="G655" s="28"/>
      <c r="H655" s="37"/>
      <c r="I655" s="28"/>
      <c r="J655" s="28"/>
      <c r="K655" s="28"/>
      <c r="L655" s="29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4.25" customHeight="1" x14ac:dyDescent="0.25">
      <c r="A656" s="36"/>
      <c r="B656" s="27"/>
      <c r="C656" s="28"/>
      <c r="D656" s="28"/>
      <c r="E656" s="29"/>
      <c r="F656" s="28"/>
      <c r="G656" s="28"/>
      <c r="H656" s="37"/>
      <c r="I656" s="28"/>
      <c r="J656" s="28"/>
      <c r="K656" s="28"/>
      <c r="L656" s="29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4.25" customHeight="1" x14ac:dyDescent="0.25">
      <c r="A657" s="36"/>
      <c r="B657" s="27"/>
      <c r="C657" s="28"/>
      <c r="D657" s="28"/>
      <c r="E657" s="29"/>
      <c r="F657" s="28"/>
      <c r="G657" s="28"/>
      <c r="H657" s="37"/>
      <c r="I657" s="28"/>
      <c r="J657" s="28"/>
      <c r="K657" s="28"/>
      <c r="L657" s="29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4.25" customHeight="1" x14ac:dyDescent="0.25">
      <c r="A658" s="36"/>
      <c r="B658" s="27"/>
      <c r="C658" s="28"/>
      <c r="D658" s="28"/>
      <c r="E658" s="29"/>
      <c r="F658" s="28"/>
      <c r="G658" s="28"/>
      <c r="H658" s="37"/>
      <c r="I658" s="28"/>
      <c r="J658" s="28"/>
      <c r="K658" s="28"/>
      <c r="L658" s="29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4.25" customHeight="1" x14ac:dyDescent="0.25">
      <c r="A659" s="36"/>
      <c r="B659" s="27"/>
      <c r="C659" s="28"/>
      <c r="D659" s="28"/>
      <c r="E659" s="29"/>
      <c r="F659" s="28"/>
      <c r="G659" s="28"/>
      <c r="H659" s="37"/>
      <c r="I659" s="28"/>
      <c r="J659" s="28"/>
      <c r="K659" s="28"/>
      <c r="L659" s="29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4.25" customHeight="1" x14ac:dyDescent="0.25">
      <c r="A660" s="36"/>
      <c r="B660" s="27"/>
      <c r="C660" s="28"/>
      <c r="D660" s="28"/>
      <c r="E660" s="29"/>
      <c r="F660" s="28"/>
      <c r="G660" s="28"/>
      <c r="H660" s="37"/>
      <c r="I660" s="28"/>
      <c r="J660" s="28"/>
      <c r="K660" s="28"/>
      <c r="L660" s="29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4.25" customHeight="1" x14ac:dyDescent="0.25">
      <c r="A661" s="36"/>
      <c r="B661" s="27"/>
      <c r="C661" s="28"/>
      <c r="D661" s="28"/>
      <c r="E661" s="29"/>
      <c r="F661" s="28"/>
      <c r="G661" s="28"/>
      <c r="H661" s="37"/>
      <c r="I661" s="28"/>
      <c r="J661" s="28"/>
      <c r="K661" s="28"/>
      <c r="L661" s="29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4.25" customHeight="1" x14ac:dyDescent="0.25">
      <c r="A662" s="36"/>
      <c r="B662" s="27"/>
      <c r="C662" s="28"/>
      <c r="D662" s="28"/>
      <c r="E662" s="29"/>
      <c r="F662" s="28"/>
      <c r="G662" s="28"/>
      <c r="H662" s="37"/>
      <c r="I662" s="28"/>
      <c r="J662" s="28"/>
      <c r="K662" s="28"/>
      <c r="L662" s="29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4.25" customHeight="1" x14ac:dyDescent="0.25">
      <c r="A663" s="36"/>
      <c r="B663" s="27"/>
      <c r="C663" s="28"/>
      <c r="D663" s="28"/>
      <c r="E663" s="29"/>
      <c r="F663" s="28"/>
      <c r="G663" s="28"/>
      <c r="H663" s="37"/>
      <c r="I663" s="28"/>
      <c r="J663" s="28"/>
      <c r="K663" s="28"/>
      <c r="L663" s="29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4.25" customHeight="1" x14ac:dyDescent="0.25">
      <c r="A664" s="36"/>
      <c r="B664" s="27"/>
      <c r="C664" s="28"/>
      <c r="D664" s="28"/>
      <c r="E664" s="29"/>
      <c r="F664" s="28"/>
      <c r="G664" s="28"/>
      <c r="H664" s="37"/>
      <c r="I664" s="28"/>
      <c r="J664" s="28"/>
      <c r="K664" s="28"/>
      <c r="L664" s="29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4.25" customHeight="1" x14ac:dyDescent="0.25">
      <c r="A665" s="36"/>
      <c r="B665" s="27"/>
      <c r="C665" s="28"/>
      <c r="D665" s="28"/>
      <c r="E665" s="29"/>
      <c r="F665" s="28"/>
      <c r="G665" s="28"/>
      <c r="H665" s="37"/>
      <c r="I665" s="28"/>
      <c r="J665" s="28"/>
      <c r="K665" s="28"/>
      <c r="L665" s="29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4.25" customHeight="1" x14ac:dyDescent="0.25">
      <c r="A666" s="36"/>
      <c r="B666" s="27"/>
      <c r="C666" s="28"/>
      <c r="D666" s="28"/>
      <c r="E666" s="29"/>
      <c r="F666" s="28"/>
      <c r="G666" s="28"/>
      <c r="H666" s="37"/>
      <c r="I666" s="28"/>
      <c r="J666" s="28"/>
      <c r="K666" s="28"/>
      <c r="L666" s="29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4.25" customHeight="1" x14ac:dyDescent="0.25">
      <c r="A667" s="36"/>
      <c r="B667" s="27"/>
      <c r="C667" s="28"/>
      <c r="D667" s="28"/>
      <c r="E667" s="29"/>
      <c r="F667" s="28"/>
      <c r="G667" s="28"/>
      <c r="H667" s="37"/>
      <c r="I667" s="28"/>
      <c r="J667" s="28"/>
      <c r="K667" s="28"/>
      <c r="L667" s="29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4.25" customHeight="1" x14ac:dyDescent="0.25">
      <c r="A668" s="36"/>
      <c r="B668" s="27"/>
      <c r="C668" s="28"/>
      <c r="D668" s="28"/>
      <c r="E668" s="29"/>
      <c r="F668" s="28"/>
      <c r="G668" s="28"/>
      <c r="H668" s="37"/>
      <c r="I668" s="28"/>
      <c r="J668" s="28"/>
      <c r="K668" s="28"/>
      <c r="L668" s="29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4.25" customHeight="1" x14ac:dyDescent="0.25">
      <c r="A669" s="36"/>
      <c r="B669" s="27"/>
      <c r="C669" s="28"/>
      <c r="D669" s="28"/>
      <c r="E669" s="29"/>
      <c r="F669" s="28"/>
      <c r="G669" s="28"/>
      <c r="H669" s="37"/>
      <c r="I669" s="28"/>
      <c r="J669" s="28"/>
      <c r="K669" s="28"/>
      <c r="L669" s="29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4.25" customHeight="1" x14ac:dyDescent="0.25">
      <c r="A670" s="36"/>
      <c r="B670" s="27"/>
      <c r="C670" s="28"/>
      <c r="D670" s="28"/>
      <c r="E670" s="29"/>
      <c r="F670" s="28"/>
      <c r="G670" s="28"/>
      <c r="H670" s="37"/>
      <c r="I670" s="28"/>
      <c r="J670" s="28"/>
      <c r="K670" s="28"/>
      <c r="L670" s="29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4.25" customHeight="1" x14ac:dyDescent="0.25">
      <c r="A671" s="36"/>
      <c r="B671" s="27"/>
      <c r="C671" s="28"/>
      <c r="D671" s="28"/>
      <c r="E671" s="29"/>
      <c r="F671" s="28"/>
      <c r="G671" s="28"/>
      <c r="H671" s="37"/>
      <c r="I671" s="28"/>
      <c r="J671" s="28"/>
      <c r="K671" s="28"/>
      <c r="L671" s="29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4.25" customHeight="1" x14ac:dyDescent="0.25">
      <c r="A672" s="36"/>
      <c r="B672" s="27"/>
      <c r="C672" s="28"/>
      <c r="D672" s="28"/>
      <c r="E672" s="29"/>
      <c r="F672" s="28"/>
      <c r="G672" s="28"/>
      <c r="H672" s="37"/>
      <c r="I672" s="28"/>
      <c r="J672" s="28"/>
      <c r="K672" s="28"/>
      <c r="L672" s="29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4.25" customHeight="1" x14ac:dyDescent="0.25">
      <c r="A673" s="36"/>
      <c r="B673" s="27"/>
      <c r="C673" s="28"/>
      <c r="D673" s="28"/>
      <c r="E673" s="29"/>
      <c r="F673" s="28"/>
      <c r="G673" s="28"/>
      <c r="H673" s="37"/>
      <c r="I673" s="28"/>
      <c r="J673" s="28"/>
      <c r="K673" s="28"/>
      <c r="L673" s="29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4.25" customHeight="1" x14ac:dyDescent="0.25">
      <c r="A674" s="36"/>
      <c r="B674" s="27"/>
      <c r="C674" s="28"/>
      <c r="D674" s="28"/>
      <c r="E674" s="29"/>
      <c r="F674" s="28"/>
      <c r="G674" s="28"/>
      <c r="H674" s="37"/>
      <c r="I674" s="28"/>
      <c r="J674" s="28"/>
      <c r="K674" s="28"/>
      <c r="L674" s="29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4.25" customHeight="1" x14ac:dyDescent="0.25">
      <c r="A675" s="36"/>
      <c r="B675" s="27"/>
      <c r="C675" s="28"/>
      <c r="D675" s="28"/>
      <c r="E675" s="29"/>
      <c r="F675" s="28"/>
      <c r="G675" s="28"/>
      <c r="H675" s="37"/>
      <c r="I675" s="28"/>
      <c r="J675" s="28"/>
      <c r="K675" s="28"/>
      <c r="L675" s="29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4.25" customHeight="1" x14ac:dyDescent="0.25">
      <c r="A676" s="36"/>
      <c r="B676" s="27"/>
      <c r="C676" s="28"/>
      <c r="D676" s="28"/>
      <c r="E676" s="29"/>
      <c r="F676" s="28"/>
      <c r="G676" s="28"/>
      <c r="H676" s="37"/>
      <c r="I676" s="28"/>
      <c r="J676" s="28"/>
      <c r="K676" s="28"/>
      <c r="L676" s="29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4.25" customHeight="1" x14ac:dyDescent="0.25">
      <c r="A677" s="36"/>
      <c r="B677" s="27"/>
      <c r="C677" s="28"/>
      <c r="D677" s="28"/>
      <c r="E677" s="29"/>
      <c r="F677" s="28"/>
      <c r="G677" s="28"/>
      <c r="H677" s="37"/>
      <c r="I677" s="28"/>
      <c r="J677" s="28"/>
      <c r="K677" s="28"/>
      <c r="L677" s="29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4.25" customHeight="1" x14ac:dyDescent="0.25">
      <c r="A678" s="36"/>
      <c r="B678" s="27"/>
      <c r="C678" s="28"/>
      <c r="D678" s="28"/>
      <c r="E678" s="29"/>
      <c r="F678" s="28"/>
      <c r="G678" s="28"/>
      <c r="H678" s="37"/>
      <c r="I678" s="28"/>
      <c r="J678" s="28"/>
      <c r="K678" s="28"/>
      <c r="L678" s="29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4.25" customHeight="1" x14ac:dyDescent="0.25">
      <c r="A679" s="36"/>
      <c r="B679" s="27"/>
      <c r="C679" s="28"/>
      <c r="D679" s="28"/>
      <c r="E679" s="29"/>
      <c r="F679" s="28"/>
      <c r="G679" s="28"/>
      <c r="H679" s="37"/>
      <c r="I679" s="28"/>
      <c r="J679" s="28"/>
      <c r="K679" s="28"/>
      <c r="L679" s="29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4.25" customHeight="1" x14ac:dyDescent="0.25">
      <c r="A680" s="36"/>
      <c r="B680" s="27"/>
      <c r="C680" s="28"/>
      <c r="D680" s="28"/>
      <c r="E680" s="29"/>
      <c r="F680" s="28"/>
      <c r="G680" s="28"/>
      <c r="H680" s="37"/>
      <c r="I680" s="28"/>
      <c r="J680" s="28"/>
      <c r="K680" s="28"/>
      <c r="L680" s="29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4.25" customHeight="1" x14ac:dyDescent="0.25">
      <c r="A681" s="36"/>
      <c r="B681" s="27"/>
      <c r="C681" s="28"/>
      <c r="D681" s="28"/>
      <c r="E681" s="29"/>
      <c r="F681" s="28"/>
      <c r="G681" s="28"/>
      <c r="H681" s="37"/>
      <c r="I681" s="28"/>
      <c r="J681" s="28"/>
      <c r="K681" s="28"/>
      <c r="L681" s="29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4.25" customHeight="1" x14ac:dyDescent="0.25">
      <c r="A682" s="36"/>
      <c r="B682" s="27"/>
      <c r="C682" s="28"/>
      <c r="D682" s="28"/>
      <c r="E682" s="29"/>
      <c r="F682" s="28"/>
      <c r="G682" s="28"/>
      <c r="H682" s="37"/>
      <c r="I682" s="28"/>
      <c r="J682" s="28"/>
      <c r="K682" s="28"/>
      <c r="L682" s="29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4.25" customHeight="1" x14ac:dyDescent="0.25">
      <c r="A683" s="36"/>
      <c r="B683" s="27"/>
      <c r="C683" s="28"/>
      <c r="D683" s="28"/>
      <c r="E683" s="29"/>
      <c r="F683" s="28"/>
      <c r="G683" s="28"/>
      <c r="H683" s="37"/>
      <c r="I683" s="28"/>
      <c r="J683" s="28"/>
      <c r="K683" s="28"/>
      <c r="L683" s="29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4.25" customHeight="1" x14ac:dyDescent="0.25">
      <c r="A684" s="36"/>
      <c r="B684" s="27"/>
      <c r="C684" s="28"/>
      <c r="D684" s="28"/>
      <c r="E684" s="29"/>
      <c r="F684" s="28"/>
      <c r="G684" s="28"/>
      <c r="H684" s="37"/>
      <c r="I684" s="28"/>
      <c r="J684" s="28"/>
      <c r="K684" s="28"/>
      <c r="L684" s="29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4.25" customHeight="1" x14ac:dyDescent="0.25">
      <c r="A685" s="36"/>
      <c r="B685" s="27"/>
      <c r="C685" s="28"/>
      <c r="D685" s="28"/>
      <c r="E685" s="29"/>
      <c r="F685" s="28"/>
      <c r="G685" s="28"/>
      <c r="H685" s="37"/>
      <c r="I685" s="28"/>
      <c r="J685" s="28"/>
      <c r="K685" s="28"/>
      <c r="L685" s="29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4.25" customHeight="1" x14ac:dyDescent="0.25">
      <c r="A686" s="36"/>
      <c r="B686" s="27"/>
      <c r="C686" s="28"/>
      <c r="D686" s="28"/>
      <c r="E686" s="29"/>
      <c r="F686" s="28"/>
      <c r="G686" s="28"/>
      <c r="H686" s="37"/>
      <c r="I686" s="28"/>
      <c r="J686" s="28"/>
      <c r="K686" s="28"/>
      <c r="L686" s="29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4.25" customHeight="1" x14ac:dyDescent="0.25">
      <c r="A687" s="36"/>
      <c r="B687" s="27"/>
      <c r="C687" s="28"/>
      <c r="D687" s="28"/>
      <c r="E687" s="29"/>
      <c r="F687" s="28"/>
      <c r="G687" s="28"/>
      <c r="H687" s="37"/>
      <c r="I687" s="28"/>
      <c r="J687" s="28"/>
      <c r="K687" s="28"/>
      <c r="L687" s="29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4.25" customHeight="1" x14ac:dyDescent="0.25">
      <c r="A688" s="36"/>
      <c r="B688" s="27"/>
      <c r="C688" s="28"/>
      <c r="D688" s="28"/>
      <c r="E688" s="29"/>
      <c r="F688" s="28"/>
      <c r="G688" s="28"/>
      <c r="H688" s="37"/>
      <c r="I688" s="28"/>
      <c r="J688" s="28"/>
      <c r="K688" s="28"/>
      <c r="L688" s="29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4.25" customHeight="1" x14ac:dyDescent="0.25">
      <c r="A689" s="36"/>
      <c r="B689" s="27"/>
      <c r="C689" s="28"/>
      <c r="D689" s="28"/>
      <c r="E689" s="29"/>
      <c r="F689" s="28"/>
      <c r="G689" s="28"/>
      <c r="H689" s="37"/>
      <c r="I689" s="28"/>
      <c r="J689" s="28"/>
      <c r="K689" s="28"/>
      <c r="L689" s="29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4.25" customHeight="1" x14ac:dyDescent="0.25">
      <c r="A690" s="36"/>
      <c r="B690" s="27"/>
      <c r="C690" s="28"/>
      <c r="D690" s="28"/>
      <c r="E690" s="29"/>
      <c r="F690" s="28"/>
      <c r="G690" s="28"/>
      <c r="H690" s="37"/>
      <c r="I690" s="28"/>
      <c r="J690" s="28"/>
      <c r="K690" s="28"/>
      <c r="L690" s="29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4.25" customHeight="1" x14ac:dyDescent="0.25">
      <c r="A691" s="36"/>
      <c r="B691" s="27"/>
      <c r="C691" s="28"/>
      <c r="D691" s="28"/>
      <c r="E691" s="29"/>
      <c r="F691" s="28"/>
      <c r="G691" s="28"/>
      <c r="H691" s="37"/>
      <c r="I691" s="28"/>
      <c r="J691" s="28"/>
      <c r="K691" s="28"/>
      <c r="L691" s="29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4.25" customHeight="1" x14ac:dyDescent="0.25">
      <c r="A692" s="36"/>
      <c r="B692" s="27"/>
      <c r="C692" s="28"/>
      <c r="D692" s="28"/>
      <c r="E692" s="29"/>
      <c r="F692" s="28"/>
      <c r="G692" s="28"/>
      <c r="H692" s="37"/>
      <c r="I692" s="28"/>
      <c r="J692" s="28"/>
      <c r="K692" s="28"/>
      <c r="L692" s="29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4.25" customHeight="1" x14ac:dyDescent="0.25">
      <c r="A693" s="36"/>
      <c r="B693" s="27"/>
      <c r="C693" s="28"/>
      <c r="D693" s="28"/>
      <c r="E693" s="29"/>
      <c r="F693" s="28"/>
      <c r="G693" s="28"/>
      <c r="H693" s="37"/>
      <c r="I693" s="28"/>
      <c r="J693" s="28"/>
      <c r="K693" s="28"/>
      <c r="L693" s="29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4.25" customHeight="1" x14ac:dyDescent="0.25">
      <c r="A694" s="36"/>
      <c r="B694" s="27"/>
      <c r="C694" s="28"/>
      <c r="D694" s="28"/>
      <c r="E694" s="29"/>
      <c r="F694" s="28"/>
      <c r="G694" s="28"/>
      <c r="H694" s="37"/>
      <c r="I694" s="28"/>
      <c r="J694" s="28"/>
      <c r="K694" s="28"/>
      <c r="L694" s="29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4.25" customHeight="1" x14ac:dyDescent="0.25">
      <c r="A695" s="36"/>
      <c r="B695" s="27"/>
      <c r="C695" s="28"/>
      <c r="D695" s="28"/>
      <c r="E695" s="29"/>
      <c r="F695" s="28"/>
      <c r="G695" s="28"/>
      <c r="H695" s="37"/>
      <c r="I695" s="28"/>
      <c r="J695" s="28"/>
      <c r="K695" s="28"/>
      <c r="L695" s="29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4.25" customHeight="1" x14ac:dyDescent="0.25">
      <c r="A696" s="36"/>
      <c r="B696" s="27"/>
      <c r="C696" s="28"/>
      <c r="D696" s="28"/>
      <c r="E696" s="29"/>
      <c r="F696" s="28"/>
      <c r="G696" s="28"/>
      <c r="H696" s="37"/>
      <c r="I696" s="28"/>
      <c r="J696" s="28"/>
      <c r="K696" s="28"/>
      <c r="L696" s="29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4.25" customHeight="1" x14ac:dyDescent="0.25">
      <c r="A697" s="36"/>
      <c r="B697" s="27"/>
      <c r="C697" s="28"/>
      <c r="D697" s="28"/>
      <c r="E697" s="29"/>
      <c r="F697" s="28"/>
      <c r="G697" s="28"/>
      <c r="H697" s="37"/>
      <c r="I697" s="28"/>
      <c r="J697" s="28"/>
      <c r="K697" s="28"/>
      <c r="L697" s="29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4.25" customHeight="1" x14ac:dyDescent="0.25">
      <c r="A698" s="36"/>
      <c r="B698" s="27"/>
      <c r="C698" s="28"/>
      <c r="D698" s="28"/>
      <c r="E698" s="29"/>
      <c r="F698" s="28"/>
      <c r="G698" s="28"/>
      <c r="H698" s="37"/>
      <c r="I698" s="28"/>
      <c r="J698" s="28"/>
      <c r="K698" s="28"/>
      <c r="L698" s="29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4.25" customHeight="1" x14ac:dyDescent="0.25">
      <c r="A699" s="36"/>
      <c r="B699" s="27"/>
      <c r="C699" s="28"/>
      <c r="D699" s="28"/>
      <c r="E699" s="29"/>
      <c r="F699" s="28"/>
      <c r="G699" s="28"/>
      <c r="H699" s="37"/>
      <c r="I699" s="28"/>
      <c r="J699" s="28"/>
      <c r="K699" s="28"/>
      <c r="L699" s="29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4.25" customHeight="1" x14ac:dyDescent="0.25">
      <c r="A700" s="36"/>
      <c r="B700" s="27"/>
      <c r="C700" s="28"/>
      <c r="D700" s="28"/>
      <c r="E700" s="29"/>
      <c r="F700" s="28"/>
      <c r="G700" s="28"/>
      <c r="H700" s="37"/>
      <c r="I700" s="28"/>
      <c r="J700" s="28"/>
      <c r="K700" s="28"/>
      <c r="L700" s="29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4.25" customHeight="1" x14ac:dyDescent="0.25">
      <c r="A701" s="36"/>
      <c r="B701" s="27"/>
      <c r="C701" s="28"/>
      <c r="D701" s="28"/>
      <c r="E701" s="29"/>
      <c r="F701" s="28"/>
      <c r="G701" s="28"/>
      <c r="H701" s="37"/>
      <c r="I701" s="28"/>
      <c r="J701" s="28"/>
      <c r="K701" s="28"/>
      <c r="L701" s="29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4.25" customHeight="1" x14ac:dyDescent="0.25">
      <c r="A702" s="36"/>
      <c r="B702" s="27"/>
      <c r="C702" s="28"/>
      <c r="D702" s="28"/>
      <c r="E702" s="29"/>
      <c r="F702" s="28"/>
      <c r="G702" s="28"/>
      <c r="H702" s="37"/>
      <c r="I702" s="28"/>
      <c r="J702" s="28"/>
      <c r="K702" s="28"/>
      <c r="L702" s="29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4.25" customHeight="1" x14ac:dyDescent="0.25">
      <c r="A703" s="36"/>
      <c r="B703" s="27"/>
      <c r="C703" s="28"/>
      <c r="D703" s="28"/>
      <c r="E703" s="29"/>
      <c r="F703" s="28"/>
      <c r="G703" s="28"/>
      <c r="H703" s="37"/>
      <c r="I703" s="28"/>
      <c r="J703" s="28"/>
      <c r="K703" s="28"/>
      <c r="L703" s="29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4.25" customHeight="1" x14ac:dyDescent="0.25">
      <c r="A704" s="36"/>
      <c r="B704" s="27"/>
      <c r="C704" s="28"/>
      <c r="D704" s="28"/>
      <c r="E704" s="29"/>
      <c r="F704" s="28"/>
      <c r="G704" s="28"/>
      <c r="H704" s="37"/>
      <c r="I704" s="28"/>
      <c r="J704" s="28"/>
      <c r="K704" s="28"/>
      <c r="L704" s="29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4.25" customHeight="1" x14ac:dyDescent="0.25">
      <c r="A705" s="36"/>
      <c r="B705" s="27"/>
      <c r="C705" s="28"/>
      <c r="D705" s="28"/>
      <c r="E705" s="29"/>
      <c r="F705" s="28"/>
      <c r="G705" s="28"/>
      <c r="H705" s="37"/>
      <c r="I705" s="28"/>
      <c r="J705" s="28"/>
      <c r="K705" s="28"/>
      <c r="L705" s="29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4.25" customHeight="1" x14ac:dyDescent="0.25">
      <c r="A706" s="36"/>
      <c r="B706" s="27"/>
      <c r="C706" s="28"/>
      <c r="D706" s="28"/>
      <c r="E706" s="29"/>
      <c r="F706" s="28"/>
      <c r="G706" s="28"/>
      <c r="H706" s="37"/>
      <c r="I706" s="28"/>
      <c r="J706" s="28"/>
      <c r="K706" s="28"/>
      <c r="L706" s="29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4.25" customHeight="1" x14ac:dyDescent="0.25">
      <c r="A707" s="36"/>
      <c r="B707" s="27"/>
      <c r="C707" s="28"/>
      <c r="D707" s="28"/>
      <c r="E707" s="29"/>
      <c r="F707" s="28"/>
      <c r="G707" s="28"/>
      <c r="H707" s="37"/>
      <c r="I707" s="28"/>
      <c r="J707" s="28"/>
      <c r="K707" s="28"/>
      <c r="L707" s="29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4.25" customHeight="1" x14ac:dyDescent="0.25">
      <c r="A708" s="36"/>
      <c r="B708" s="27"/>
      <c r="C708" s="28"/>
      <c r="D708" s="28"/>
      <c r="E708" s="29"/>
      <c r="F708" s="28"/>
      <c r="G708" s="28"/>
      <c r="H708" s="37"/>
      <c r="I708" s="28"/>
      <c r="J708" s="28"/>
      <c r="K708" s="28"/>
      <c r="L708" s="29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4.25" customHeight="1" x14ac:dyDescent="0.25">
      <c r="A709" s="36"/>
      <c r="B709" s="27"/>
      <c r="C709" s="28"/>
      <c r="D709" s="28"/>
      <c r="E709" s="29"/>
      <c r="F709" s="28"/>
      <c r="G709" s="28"/>
      <c r="H709" s="37"/>
      <c r="I709" s="28"/>
      <c r="J709" s="28"/>
      <c r="K709" s="28"/>
      <c r="L709" s="29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4.25" customHeight="1" x14ac:dyDescent="0.25">
      <c r="A710" s="36"/>
      <c r="B710" s="27"/>
      <c r="C710" s="28"/>
      <c r="D710" s="28"/>
      <c r="E710" s="29"/>
      <c r="F710" s="28"/>
      <c r="G710" s="28"/>
      <c r="H710" s="37"/>
      <c r="I710" s="28"/>
      <c r="J710" s="28"/>
      <c r="K710" s="28"/>
      <c r="L710" s="29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4.25" customHeight="1" x14ac:dyDescent="0.25">
      <c r="A711" s="36"/>
      <c r="B711" s="27"/>
      <c r="C711" s="28"/>
      <c r="D711" s="28"/>
      <c r="E711" s="29"/>
      <c r="F711" s="28"/>
      <c r="G711" s="28"/>
      <c r="H711" s="37"/>
      <c r="I711" s="28"/>
      <c r="J711" s="28"/>
      <c r="K711" s="28"/>
      <c r="L711" s="29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4.25" customHeight="1" x14ac:dyDescent="0.25">
      <c r="A712" s="36"/>
      <c r="B712" s="27"/>
      <c r="C712" s="28"/>
      <c r="D712" s="28"/>
      <c r="E712" s="29"/>
      <c r="F712" s="28"/>
      <c r="G712" s="28"/>
      <c r="H712" s="37"/>
      <c r="I712" s="28"/>
      <c r="J712" s="28"/>
      <c r="K712" s="28"/>
      <c r="L712" s="29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4.25" customHeight="1" x14ac:dyDescent="0.25">
      <c r="A713" s="36"/>
      <c r="B713" s="27"/>
      <c r="C713" s="28"/>
      <c r="D713" s="28"/>
      <c r="E713" s="29"/>
      <c r="F713" s="28"/>
      <c r="G713" s="28"/>
      <c r="H713" s="37"/>
      <c r="I713" s="28"/>
      <c r="J713" s="28"/>
      <c r="K713" s="28"/>
      <c r="L713" s="29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4.25" customHeight="1" x14ac:dyDescent="0.25">
      <c r="A714" s="36"/>
      <c r="B714" s="27"/>
      <c r="C714" s="28"/>
      <c r="D714" s="28"/>
      <c r="E714" s="29"/>
      <c r="F714" s="28"/>
      <c r="G714" s="28"/>
      <c r="H714" s="37"/>
      <c r="I714" s="28"/>
      <c r="J714" s="28"/>
      <c r="K714" s="28"/>
      <c r="L714" s="29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4.25" customHeight="1" x14ac:dyDescent="0.25">
      <c r="A715" s="36"/>
      <c r="B715" s="27"/>
      <c r="C715" s="28"/>
      <c r="D715" s="28"/>
      <c r="E715" s="29"/>
      <c r="F715" s="28"/>
      <c r="G715" s="28"/>
      <c r="H715" s="37"/>
      <c r="I715" s="28"/>
      <c r="J715" s="28"/>
      <c r="K715" s="28"/>
      <c r="L715" s="29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4.25" customHeight="1" x14ac:dyDescent="0.25">
      <c r="A716" s="36"/>
      <c r="B716" s="27"/>
      <c r="C716" s="28"/>
      <c r="D716" s="28"/>
      <c r="E716" s="29"/>
      <c r="F716" s="28"/>
      <c r="G716" s="28"/>
      <c r="H716" s="37"/>
      <c r="I716" s="28"/>
      <c r="J716" s="28"/>
      <c r="K716" s="28"/>
      <c r="L716" s="29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4.25" customHeight="1" x14ac:dyDescent="0.25">
      <c r="A717" s="36"/>
      <c r="B717" s="27"/>
      <c r="C717" s="28"/>
      <c r="D717" s="28"/>
      <c r="E717" s="29"/>
      <c r="F717" s="28"/>
      <c r="G717" s="28"/>
      <c r="H717" s="37"/>
      <c r="I717" s="28"/>
      <c r="J717" s="28"/>
      <c r="K717" s="28"/>
      <c r="L717" s="29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4.25" customHeight="1" x14ac:dyDescent="0.25">
      <c r="A718" s="36"/>
      <c r="B718" s="27"/>
      <c r="C718" s="28"/>
      <c r="D718" s="28"/>
      <c r="E718" s="29"/>
      <c r="F718" s="28"/>
      <c r="G718" s="28"/>
      <c r="H718" s="37"/>
      <c r="I718" s="28"/>
      <c r="J718" s="28"/>
      <c r="K718" s="28"/>
      <c r="L718" s="29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4.25" customHeight="1" x14ac:dyDescent="0.25">
      <c r="A719" s="36"/>
      <c r="B719" s="27"/>
      <c r="C719" s="28"/>
      <c r="D719" s="28"/>
      <c r="E719" s="29"/>
      <c r="F719" s="28"/>
      <c r="G719" s="28"/>
      <c r="H719" s="37"/>
      <c r="I719" s="28"/>
      <c r="J719" s="28"/>
      <c r="K719" s="28"/>
      <c r="L719" s="29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4.25" customHeight="1" x14ac:dyDescent="0.25">
      <c r="A720" s="36"/>
      <c r="B720" s="27"/>
      <c r="C720" s="28"/>
      <c r="D720" s="28"/>
      <c r="E720" s="29"/>
      <c r="F720" s="28"/>
      <c r="G720" s="28"/>
      <c r="H720" s="37"/>
      <c r="I720" s="28"/>
      <c r="J720" s="28"/>
      <c r="K720" s="28"/>
      <c r="L720" s="29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4.25" customHeight="1" x14ac:dyDescent="0.25">
      <c r="A721" s="36"/>
      <c r="B721" s="27"/>
      <c r="C721" s="28"/>
      <c r="D721" s="28"/>
      <c r="E721" s="29"/>
      <c r="F721" s="28"/>
      <c r="G721" s="28"/>
      <c r="H721" s="37"/>
      <c r="I721" s="28"/>
      <c r="J721" s="28"/>
      <c r="K721" s="28"/>
      <c r="L721" s="29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4.25" customHeight="1" x14ac:dyDescent="0.25">
      <c r="A722" s="36"/>
      <c r="B722" s="27"/>
      <c r="C722" s="28"/>
      <c r="D722" s="28"/>
      <c r="E722" s="29"/>
      <c r="F722" s="28"/>
      <c r="G722" s="28"/>
      <c r="H722" s="37"/>
      <c r="I722" s="28"/>
      <c r="J722" s="28"/>
      <c r="K722" s="28"/>
      <c r="L722" s="29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4.25" customHeight="1" x14ac:dyDescent="0.25">
      <c r="A723" s="36"/>
      <c r="B723" s="27"/>
      <c r="C723" s="28"/>
      <c r="D723" s="28"/>
      <c r="E723" s="29"/>
      <c r="F723" s="28"/>
      <c r="G723" s="28"/>
      <c r="H723" s="37"/>
      <c r="I723" s="28"/>
      <c r="J723" s="28"/>
      <c r="K723" s="28"/>
      <c r="L723" s="29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4.25" customHeight="1" x14ac:dyDescent="0.25">
      <c r="A724" s="36"/>
      <c r="B724" s="27"/>
      <c r="C724" s="28"/>
      <c r="D724" s="28"/>
      <c r="E724" s="29"/>
      <c r="F724" s="28"/>
      <c r="G724" s="28"/>
      <c r="H724" s="37"/>
      <c r="I724" s="28"/>
      <c r="J724" s="28"/>
      <c r="K724" s="28"/>
      <c r="L724" s="29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4.25" customHeight="1" x14ac:dyDescent="0.25">
      <c r="A725" s="36"/>
      <c r="B725" s="27"/>
      <c r="C725" s="28"/>
      <c r="D725" s="28"/>
      <c r="E725" s="29"/>
      <c r="F725" s="28"/>
      <c r="G725" s="28"/>
      <c r="H725" s="37"/>
      <c r="I725" s="28"/>
      <c r="J725" s="28"/>
      <c r="K725" s="28"/>
      <c r="L725" s="29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4.25" customHeight="1" x14ac:dyDescent="0.25">
      <c r="A726" s="36"/>
      <c r="B726" s="27"/>
      <c r="C726" s="28"/>
      <c r="D726" s="28"/>
      <c r="E726" s="29"/>
      <c r="F726" s="28"/>
      <c r="G726" s="28"/>
      <c r="H726" s="37"/>
      <c r="I726" s="28"/>
      <c r="J726" s="28"/>
      <c r="K726" s="28"/>
      <c r="L726" s="29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4.25" customHeight="1" x14ac:dyDescent="0.25">
      <c r="A727" s="36"/>
      <c r="B727" s="27"/>
      <c r="C727" s="28"/>
      <c r="D727" s="28"/>
      <c r="E727" s="29"/>
      <c r="F727" s="28"/>
      <c r="G727" s="28"/>
      <c r="H727" s="37"/>
      <c r="I727" s="28"/>
      <c r="J727" s="28"/>
      <c r="K727" s="28"/>
      <c r="L727" s="29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4.25" customHeight="1" x14ac:dyDescent="0.25">
      <c r="A728" s="36"/>
      <c r="B728" s="27"/>
      <c r="C728" s="28"/>
      <c r="D728" s="28"/>
      <c r="E728" s="29"/>
      <c r="F728" s="28"/>
      <c r="G728" s="28"/>
      <c r="H728" s="37"/>
      <c r="I728" s="28"/>
      <c r="J728" s="28"/>
      <c r="K728" s="28"/>
      <c r="L728" s="29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4.25" customHeight="1" x14ac:dyDescent="0.25">
      <c r="A729" s="36"/>
      <c r="B729" s="27"/>
      <c r="C729" s="28"/>
      <c r="D729" s="28"/>
      <c r="E729" s="29"/>
      <c r="F729" s="28"/>
      <c r="G729" s="28"/>
      <c r="H729" s="37"/>
      <c r="I729" s="28"/>
      <c r="J729" s="28"/>
      <c r="K729" s="28"/>
      <c r="L729" s="29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4.25" customHeight="1" x14ac:dyDescent="0.25">
      <c r="A730" s="36"/>
      <c r="B730" s="27"/>
      <c r="C730" s="28"/>
      <c r="D730" s="28"/>
      <c r="E730" s="29"/>
      <c r="F730" s="28"/>
      <c r="G730" s="28"/>
      <c r="H730" s="37"/>
      <c r="I730" s="28"/>
      <c r="J730" s="28"/>
      <c r="K730" s="28"/>
      <c r="L730" s="29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4.25" customHeight="1" x14ac:dyDescent="0.25">
      <c r="A731" s="36"/>
      <c r="B731" s="27"/>
      <c r="C731" s="28"/>
      <c r="D731" s="28"/>
      <c r="E731" s="29"/>
      <c r="F731" s="28"/>
      <c r="G731" s="28"/>
      <c r="H731" s="37"/>
      <c r="I731" s="28"/>
      <c r="J731" s="28"/>
      <c r="K731" s="28"/>
      <c r="L731" s="29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4.25" customHeight="1" x14ac:dyDescent="0.25">
      <c r="A732" s="36"/>
      <c r="B732" s="27"/>
      <c r="C732" s="28"/>
      <c r="D732" s="28"/>
      <c r="E732" s="29"/>
      <c r="F732" s="28"/>
      <c r="G732" s="28"/>
      <c r="H732" s="37"/>
      <c r="I732" s="28"/>
      <c r="J732" s="28"/>
      <c r="K732" s="28"/>
      <c r="L732" s="29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4.25" customHeight="1" x14ac:dyDescent="0.25">
      <c r="A733" s="36"/>
      <c r="B733" s="27"/>
      <c r="C733" s="28"/>
      <c r="D733" s="28"/>
      <c r="E733" s="29"/>
      <c r="F733" s="28"/>
      <c r="G733" s="28"/>
      <c r="H733" s="37"/>
      <c r="I733" s="28"/>
      <c r="J733" s="28"/>
      <c r="K733" s="28"/>
      <c r="L733" s="29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4.25" customHeight="1" x14ac:dyDescent="0.25">
      <c r="A734" s="36"/>
      <c r="B734" s="27"/>
      <c r="C734" s="28"/>
      <c r="D734" s="28"/>
      <c r="E734" s="29"/>
      <c r="F734" s="28"/>
      <c r="G734" s="28"/>
      <c r="H734" s="37"/>
      <c r="I734" s="28"/>
      <c r="J734" s="28"/>
      <c r="K734" s="28"/>
      <c r="L734" s="29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4.25" customHeight="1" x14ac:dyDescent="0.25">
      <c r="A735" s="36"/>
      <c r="B735" s="27"/>
      <c r="C735" s="28"/>
      <c r="D735" s="28"/>
      <c r="E735" s="29"/>
      <c r="F735" s="28"/>
      <c r="G735" s="28"/>
      <c r="H735" s="37"/>
      <c r="I735" s="28"/>
      <c r="J735" s="28"/>
      <c r="K735" s="28"/>
      <c r="L735" s="29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4.25" customHeight="1" x14ac:dyDescent="0.25">
      <c r="A736" s="36"/>
      <c r="B736" s="27"/>
      <c r="C736" s="28"/>
      <c r="D736" s="28"/>
      <c r="E736" s="29"/>
      <c r="F736" s="28"/>
      <c r="G736" s="28"/>
      <c r="H736" s="37"/>
      <c r="I736" s="28"/>
      <c r="J736" s="28"/>
      <c r="K736" s="28"/>
      <c r="L736" s="29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4.25" customHeight="1" x14ac:dyDescent="0.25">
      <c r="A737" s="36"/>
      <c r="B737" s="27"/>
      <c r="C737" s="28"/>
      <c r="D737" s="28"/>
      <c r="E737" s="29"/>
      <c r="F737" s="28"/>
      <c r="G737" s="28"/>
      <c r="H737" s="37"/>
      <c r="I737" s="28"/>
      <c r="J737" s="28"/>
      <c r="K737" s="28"/>
      <c r="L737" s="29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4.25" customHeight="1" x14ac:dyDescent="0.25">
      <c r="A738" s="36"/>
      <c r="B738" s="27"/>
      <c r="C738" s="28"/>
      <c r="D738" s="28"/>
      <c r="E738" s="29"/>
      <c r="F738" s="28"/>
      <c r="G738" s="28"/>
      <c r="H738" s="37"/>
      <c r="I738" s="28"/>
      <c r="J738" s="28"/>
      <c r="K738" s="28"/>
      <c r="L738" s="29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4.25" customHeight="1" x14ac:dyDescent="0.25">
      <c r="A739" s="36"/>
      <c r="B739" s="27"/>
      <c r="C739" s="28"/>
      <c r="D739" s="28"/>
      <c r="E739" s="29"/>
      <c r="F739" s="28"/>
      <c r="G739" s="28"/>
      <c r="H739" s="37"/>
      <c r="I739" s="28"/>
      <c r="J739" s="28"/>
      <c r="K739" s="28"/>
      <c r="L739" s="29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4.25" customHeight="1" x14ac:dyDescent="0.25">
      <c r="A740" s="36"/>
      <c r="B740" s="27"/>
      <c r="C740" s="28"/>
      <c r="D740" s="28"/>
      <c r="E740" s="29"/>
      <c r="F740" s="28"/>
      <c r="G740" s="28"/>
      <c r="H740" s="37"/>
      <c r="I740" s="28"/>
      <c r="J740" s="28"/>
      <c r="K740" s="28"/>
      <c r="L740" s="29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4.25" customHeight="1" x14ac:dyDescent="0.25">
      <c r="A741" s="36"/>
      <c r="B741" s="27"/>
      <c r="C741" s="28"/>
      <c r="D741" s="28"/>
      <c r="E741" s="29"/>
      <c r="F741" s="28"/>
      <c r="G741" s="28"/>
      <c r="H741" s="37"/>
      <c r="I741" s="28"/>
      <c r="J741" s="28"/>
      <c r="K741" s="28"/>
      <c r="L741" s="29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4.25" customHeight="1" x14ac:dyDescent="0.25">
      <c r="A742" s="36"/>
      <c r="B742" s="27"/>
      <c r="C742" s="28"/>
      <c r="D742" s="28"/>
      <c r="E742" s="29"/>
      <c r="F742" s="28"/>
      <c r="G742" s="28"/>
      <c r="H742" s="37"/>
      <c r="I742" s="28"/>
      <c r="J742" s="28"/>
      <c r="K742" s="28"/>
      <c r="L742" s="29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4.25" customHeight="1" x14ac:dyDescent="0.25">
      <c r="A743" s="36"/>
      <c r="B743" s="27"/>
      <c r="C743" s="28"/>
      <c r="D743" s="28"/>
      <c r="E743" s="29"/>
      <c r="F743" s="28"/>
      <c r="G743" s="28"/>
      <c r="H743" s="37"/>
      <c r="I743" s="28"/>
      <c r="J743" s="28"/>
      <c r="K743" s="28"/>
      <c r="L743" s="29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4.25" customHeight="1" x14ac:dyDescent="0.25">
      <c r="A744" s="36"/>
      <c r="B744" s="27"/>
      <c r="C744" s="28"/>
      <c r="D744" s="28"/>
      <c r="E744" s="29"/>
      <c r="F744" s="28"/>
      <c r="G744" s="28"/>
      <c r="H744" s="37"/>
      <c r="I744" s="28"/>
      <c r="J744" s="28"/>
      <c r="K744" s="28"/>
      <c r="L744" s="29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4.25" customHeight="1" x14ac:dyDescent="0.25">
      <c r="A745" s="36"/>
      <c r="B745" s="27"/>
      <c r="C745" s="28"/>
      <c r="D745" s="28"/>
      <c r="E745" s="29"/>
      <c r="F745" s="28"/>
      <c r="G745" s="28"/>
      <c r="H745" s="37"/>
      <c r="I745" s="28"/>
      <c r="J745" s="28"/>
      <c r="K745" s="28"/>
      <c r="L745" s="29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4.25" customHeight="1" x14ac:dyDescent="0.25">
      <c r="A746" s="36"/>
      <c r="B746" s="27"/>
      <c r="C746" s="28"/>
      <c r="D746" s="28"/>
      <c r="E746" s="29"/>
      <c r="F746" s="28"/>
      <c r="G746" s="28"/>
      <c r="H746" s="37"/>
      <c r="I746" s="28"/>
      <c r="J746" s="28"/>
      <c r="K746" s="28"/>
      <c r="L746" s="29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4.25" customHeight="1" x14ac:dyDescent="0.25">
      <c r="A747" s="36"/>
      <c r="B747" s="27"/>
      <c r="C747" s="28"/>
      <c r="D747" s="28"/>
      <c r="E747" s="29"/>
      <c r="F747" s="28"/>
      <c r="G747" s="28"/>
      <c r="H747" s="37"/>
      <c r="I747" s="28"/>
      <c r="J747" s="28"/>
      <c r="K747" s="28"/>
      <c r="L747" s="29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4.25" customHeight="1" x14ac:dyDescent="0.25">
      <c r="A748" s="36"/>
      <c r="B748" s="27"/>
      <c r="C748" s="28"/>
      <c r="D748" s="28"/>
      <c r="E748" s="29"/>
      <c r="F748" s="28"/>
      <c r="G748" s="28"/>
      <c r="H748" s="37"/>
      <c r="I748" s="28"/>
      <c r="J748" s="28"/>
      <c r="K748" s="28"/>
      <c r="L748" s="29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4.25" customHeight="1" x14ac:dyDescent="0.25">
      <c r="A749" s="36"/>
      <c r="B749" s="27"/>
      <c r="C749" s="28"/>
      <c r="D749" s="28"/>
      <c r="E749" s="29"/>
      <c r="F749" s="28"/>
      <c r="G749" s="28"/>
      <c r="H749" s="37"/>
      <c r="I749" s="28"/>
      <c r="J749" s="28"/>
      <c r="K749" s="28"/>
      <c r="L749" s="29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4.25" customHeight="1" x14ac:dyDescent="0.25">
      <c r="A750" s="36"/>
      <c r="B750" s="27"/>
      <c r="C750" s="28"/>
      <c r="D750" s="28"/>
      <c r="E750" s="29"/>
      <c r="F750" s="28"/>
      <c r="G750" s="28"/>
      <c r="H750" s="37"/>
      <c r="I750" s="28"/>
      <c r="J750" s="28"/>
      <c r="K750" s="28"/>
      <c r="L750" s="29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4.25" customHeight="1" x14ac:dyDescent="0.25">
      <c r="A751" s="36"/>
      <c r="B751" s="27"/>
      <c r="C751" s="28"/>
      <c r="D751" s="28"/>
      <c r="E751" s="29"/>
      <c r="F751" s="28"/>
      <c r="G751" s="28"/>
      <c r="H751" s="37"/>
      <c r="I751" s="28"/>
      <c r="J751" s="28"/>
      <c r="K751" s="28"/>
      <c r="L751" s="29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4.25" customHeight="1" x14ac:dyDescent="0.25">
      <c r="A752" s="36"/>
      <c r="B752" s="27"/>
      <c r="C752" s="28"/>
      <c r="D752" s="28"/>
      <c r="E752" s="29"/>
      <c r="F752" s="28"/>
      <c r="G752" s="28"/>
      <c r="H752" s="37"/>
      <c r="I752" s="28"/>
      <c r="J752" s="28"/>
      <c r="K752" s="28"/>
      <c r="L752" s="29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4.25" customHeight="1" x14ac:dyDescent="0.25">
      <c r="A753" s="36"/>
      <c r="B753" s="27"/>
      <c r="C753" s="28"/>
      <c r="D753" s="28"/>
      <c r="E753" s="29"/>
      <c r="F753" s="28"/>
      <c r="G753" s="28"/>
      <c r="H753" s="37"/>
      <c r="I753" s="28"/>
      <c r="J753" s="28"/>
      <c r="K753" s="28"/>
      <c r="L753" s="29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4.25" customHeight="1" x14ac:dyDescent="0.25">
      <c r="A754" s="36"/>
      <c r="B754" s="27"/>
      <c r="C754" s="28"/>
      <c r="D754" s="28"/>
      <c r="E754" s="29"/>
      <c r="F754" s="28"/>
      <c r="G754" s="28"/>
      <c r="H754" s="37"/>
      <c r="I754" s="28"/>
      <c r="J754" s="28"/>
      <c r="K754" s="28"/>
      <c r="L754" s="29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4.25" customHeight="1" x14ac:dyDescent="0.25">
      <c r="A755" s="36"/>
      <c r="B755" s="27"/>
      <c r="C755" s="28"/>
      <c r="D755" s="28"/>
      <c r="E755" s="29"/>
      <c r="F755" s="28"/>
      <c r="G755" s="28"/>
      <c r="H755" s="37"/>
      <c r="I755" s="28"/>
      <c r="J755" s="28"/>
      <c r="K755" s="28"/>
      <c r="L755" s="29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4.25" customHeight="1" x14ac:dyDescent="0.25">
      <c r="A756" s="36"/>
      <c r="B756" s="27"/>
      <c r="C756" s="28"/>
      <c r="D756" s="28"/>
      <c r="E756" s="29"/>
      <c r="F756" s="28"/>
      <c r="G756" s="28"/>
      <c r="H756" s="37"/>
      <c r="I756" s="28"/>
      <c r="J756" s="28"/>
      <c r="K756" s="28"/>
      <c r="L756" s="29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4.25" customHeight="1" x14ac:dyDescent="0.25">
      <c r="A757" s="36"/>
      <c r="B757" s="27"/>
      <c r="C757" s="28"/>
      <c r="D757" s="28"/>
      <c r="E757" s="29"/>
      <c r="F757" s="28"/>
      <c r="G757" s="28"/>
      <c r="H757" s="37"/>
      <c r="I757" s="28"/>
      <c r="J757" s="28"/>
      <c r="K757" s="28"/>
      <c r="L757" s="29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4.25" customHeight="1" x14ac:dyDescent="0.25">
      <c r="A758" s="36"/>
      <c r="B758" s="27"/>
      <c r="C758" s="28"/>
      <c r="D758" s="28"/>
      <c r="E758" s="29"/>
      <c r="F758" s="28"/>
      <c r="G758" s="28"/>
      <c r="H758" s="37"/>
      <c r="I758" s="28"/>
      <c r="J758" s="28"/>
      <c r="K758" s="28"/>
      <c r="L758" s="29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4.25" customHeight="1" x14ac:dyDescent="0.25">
      <c r="A759" s="36"/>
      <c r="B759" s="27"/>
      <c r="C759" s="28"/>
      <c r="D759" s="28"/>
      <c r="E759" s="29"/>
      <c r="F759" s="28"/>
      <c r="G759" s="28"/>
      <c r="H759" s="37"/>
      <c r="I759" s="28"/>
      <c r="J759" s="28"/>
      <c r="K759" s="28"/>
      <c r="L759" s="29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4.25" customHeight="1" x14ac:dyDescent="0.25">
      <c r="A760" s="36"/>
      <c r="B760" s="27"/>
      <c r="C760" s="28"/>
      <c r="D760" s="28"/>
      <c r="E760" s="29"/>
      <c r="F760" s="28"/>
      <c r="G760" s="28"/>
      <c r="H760" s="37"/>
      <c r="I760" s="28"/>
      <c r="J760" s="28"/>
      <c r="K760" s="28"/>
      <c r="L760" s="29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4.25" customHeight="1" x14ac:dyDescent="0.25">
      <c r="A761" s="36"/>
      <c r="B761" s="27"/>
      <c r="C761" s="28"/>
      <c r="D761" s="28"/>
      <c r="E761" s="29"/>
      <c r="F761" s="28"/>
      <c r="G761" s="28"/>
      <c r="H761" s="37"/>
      <c r="I761" s="28"/>
      <c r="J761" s="28"/>
      <c r="K761" s="28"/>
      <c r="L761" s="29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4.25" customHeight="1" x14ac:dyDescent="0.25">
      <c r="A762" s="36"/>
      <c r="B762" s="27"/>
      <c r="C762" s="28"/>
      <c r="D762" s="28"/>
      <c r="E762" s="29"/>
      <c r="F762" s="28"/>
      <c r="G762" s="28"/>
      <c r="H762" s="37"/>
      <c r="I762" s="28"/>
      <c r="J762" s="28"/>
      <c r="K762" s="28"/>
      <c r="L762" s="29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4.25" customHeight="1" x14ac:dyDescent="0.25">
      <c r="A763" s="36"/>
      <c r="B763" s="27"/>
      <c r="C763" s="28"/>
      <c r="D763" s="28"/>
      <c r="E763" s="29"/>
      <c r="F763" s="28"/>
      <c r="G763" s="28"/>
      <c r="H763" s="37"/>
      <c r="I763" s="28"/>
      <c r="J763" s="28"/>
      <c r="K763" s="28"/>
      <c r="L763" s="29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4.25" customHeight="1" x14ac:dyDescent="0.25">
      <c r="A764" s="36"/>
      <c r="B764" s="27"/>
      <c r="C764" s="28"/>
      <c r="D764" s="28"/>
      <c r="E764" s="29"/>
      <c r="F764" s="28"/>
      <c r="G764" s="28"/>
      <c r="H764" s="37"/>
      <c r="I764" s="28"/>
      <c r="J764" s="28"/>
      <c r="K764" s="28"/>
      <c r="L764" s="29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4.25" customHeight="1" x14ac:dyDescent="0.25">
      <c r="A765" s="36"/>
      <c r="B765" s="27"/>
      <c r="C765" s="28"/>
      <c r="D765" s="28"/>
      <c r="E765" s="29"/>
      <c r="F765" s="28"/>
      <c r="G765" s="28"/>
      <c r="H765" s="37"/>
      <c r="I765" s="28"/>
      <c r="J765" s="28"/>
      <c r="K765" s="28"/>
      <c r="L765" s="29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4.25" customHeight="1" x14ac:dyDescent="0.25">
      <c r="A766" s="36"/>
      <c r="B766" s="27"/>
      <c r="C766" s="28"/>
      <c r="D766" s="28"/>
      <c r="E766" s="29"/>
      <c r="F766" s="28"/>
      <c r="G766" s="28"/>
      <c r="H766" s="37"/>
      <c r="I766" s="28"/>
      <c r="J766" s="28"/>
      <c r="K766" s="28"/>
      <c r="L766" s="29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4.25" customHeight="1" x14ac:dyDescent="0.25">
      <c r="A767" s="36"/>
      <c r="B767" s="27"/>
      <c r="C767" s="28"/>
      <c r="D767" s="28"/>
      <c r="E767" s="29"/>
      <c r="F767" s="28"/>
      <c r="G767" s="28"/>
      <c r="H767" s="37"/>
      <c r="I767" s="28"/>
      <c r="J767" s="28"/>
      <c r="K767" s="28"/>
      <c r="L767" s="29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4.25" customHeight="1" x14ac:dyDescent="0.25">
      <c r="A768" s="36"/>
      <c r="B768" s="27"/>
      <c r="C768" s="28"/>
      <c r="D768" s="28"/>
      <c r="E768" s="29"/>
      <c r="F768" s="28"/>
      <c r="G768" s="28"/>
      <c r="H768" s="37"/>
      <c r="I768" s="28"/>
      <c r="J768" s="28"/>
      <c r="K768" s="28"/>
      <c r="L768" s="29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4.25" customHeight="1" x14ac:dyDescent="0.25">
      <c r="A769" s="36"/>
      <c r="B769" s="27"/>
      <c r="C769" s="28"/>
      <c r="D769" s="28"/>
      <c r="E769" s="29"/>
      <c r="F769" s="28"/>
      <c r="G769" s="28"/>
      <c r="H769" s="37"/>
      <c r="I769" s="28"/>
      <c r="J769" s="28"/>
      <c r="K769" s="28"/>
      <c r="L769" s="29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4.25" customHeight="1" x14ac:dyDescent="0.25">
      <c r="A770" s="36"/>
      <c r="B770" s="27"/>
      <c r="C770" s="28"/>
      <c r="D770" s="28"/>
      <c r="E770" s="29"/>
      <c r="F770" s="28"/>
      <c r="G770" s="28"/>
      <c r="H770" s="37"/>
      <c r="I770" s="28"/>
      <c r="J770" s="28"/>
      <c r="K770" s="28"/>
      <c r="L770" s="29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4.25" customHeight="1" x14ac:dyDescent="0.25">
      <c r="A771" s="36"/>
      <c r="B771" s="27"/>
      <c r="C771" s="28"/>
      <c r="D771" s="28"/>
      <c r="E771" s="29"/>
      <c r="F771" s="28"/>
      <c r="G771" s="28"/>
      <c r="H771" s="37"/>
      <c r="I771" s="28"/>
      <c r="J771" s="28"/>
      <c r="K771" s="28"/>
      <c r="L771" s="29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4.25" customHeight="1" x14ac:dyDescent="0.25">
      <c r="A772" s="36"/>
      <c r="B772" s="27"/>
      <c r="C772" s="28"/>
      <c r="D772" s="28"/>
      <c r="E772" s="29"/>
      <c r="F772" s="28"/>
      <c r="G772" s="28"/>
      <c r="H772" s="37"/>
      <c r="I772" s="28"/>
      <c r="J772" s="28"/>
      <c r="K772" s="28"/>
      <c r="L772" s="29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4.25" customHeight="1" x14ac:dyDescent="0.25">
      <c r="A773" s="36"/>
      <c r="B773" s="27"/>
      <c r="C773" s="28"/>
      <c r="D773" s="28"/>
      <c r="E773" s="29"/>
      <c r="F773" s="28"/>
      <c r="G773" s="28"/>
      <c r="H773" s="37"/>
      <c r="I773" s="28"/>
      <c r="J773" s="28"/>
      <c r="K773" s="28"/>
      <c r="L773" s="29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4.25" customHeight="1" x14ac:dyDescent="0.25">
      <c r="A774" s="36"/>
      <c r="B774" s="27"/>
      <c r="C774" s="28"/>
      <c r="D774" s="28"/>
      <c r="E774" s="29"/>
      <c r="F774" s="28"/>
      <c r="G774" s="28"/>
      <c r="H774" s="37"/>
      <c r="I774" s="28"/>
      <c r="J774" s="28"/>
      <c r="K774" s="28"/>
      <c r="L774" s="29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4.25" customHeight="1" x14ac:dyDescent="0.25">
      <c r="A775" s="36"/>
      <c r="B775" s="27"/>
      <c r="C775" s="28"/>
      <c r="D775" s="28"/>
      <c r="E775" s="29"/>
      <c r="F775" s="28"/>
      <c r="G775" s="28"/>
      <c r="H775" s="37"/>
      <c r="I775" s="28"/>
      <c r="J775" s="28"/>
      <c r="K775" s="28"/>
      <c r="L775" s="29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4.25" customHeight="1" x14ac:dyDescent="0.25">
      <c r="A776" s="36"/>
      <c r="B776" s="27"/>
      <c r="C776" s="28"/>
      <c r="D776" s="28"/>
      <c r="E776" s="29"/>
      <c r="F776" s="28"/>
      <c r="G776" s="28"/>
      <c r="H776" s="37"/>
      <c r="I776" s="28"/>
      <c r="J776" s="28"/>
      <c r="K776" s="28"/>
      <c r="L776" s="29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4.25" customHeight="1" x14ac:dyDescent="0.25">
      <c r="A777" s="36"/>
      <c r="B777" s="27"/>
      <c r="C777" s="28"/>
      <c r="D777" s="28"/>
      <c r="E777" s="29"/>
      <c r="F777" s="28"/>
      <c r="G777" s="28"/>
      <c r="H777" s="37"/>
      <c r="I777" s="28"/>
      <c r="J777" s="28"/>
      <c r="K777" s="28"/>
      <c r="L777" s="29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4.25" customHeight="1" x14ac:dyDescent="0.25">
      <c r="A778" s="36"/>
      <c r="B778" s="27"/>
      <c r="C778" s="28"/>
      <c r="D778" s="28"/>
      <c r="E778" s="29"/>
      <c r="F778" s="28"/>
      <c r="G778" s="28"/>
      <c r="H778" s="37"/>
      <c r="I778" s="28"/>
      <c r="J778" s="28"/>
      <c r="K778" s="28"/>
      <c r="L778" s="29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4.25" customHeight="1" x14ac:dyDescent="0.25">
      <c r="A779" s="36"/>
      <c r="B779" s="27"/>
      <c r="C779" s="28"/>
      <c r="D779" s="28"/>
      <c r="E779" s="29"/>
      <c r="F779" s="28"/>
      <c r="G779" s="28"/>
      <c r="H779" s="37"/>
      <c r="I779" s="28"/>
      <c r="J779" s="28"/>
      <c r="K779" s="28"/>
      <c r="L779" s="29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4.25" customHeight="1" x14ac:dyDescent="0.25">
      <c r="A780" s="36"/>
      <c r="B780" s="27"/>
      <c r="C780" s="28"/>
      <c r="D780" s="28"/>
      <c r="E780" s="29"/>
      <c r="F780" s="28"/>
      <c r="G780" s="28"/>
      <c r="H780" s="37"/>
      <c r="I780" s="28"/>
      <c r="J780" s="28"/>
      <c r="K780" s="28"/>
      <c r="L780" s="29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4.25" customHeight="1" x14ac:dyDescent="0.25">
      <c r="A781" s="36"/>
      <c r="B781" s="27"/>
      <c r="C781" s="28"/>
      <c r="D781" s="28"/>
      <c r="E781" s="29"/>
      <c r="F781" s="28"/>
      <c r="G781" s="28"/>
      <c r="H781" s="37"/>
      <c r="I781" s="28"/>
      <c r="J781" s="28"/>
      <c r="K781" s="28"/>
      <c r="L781" s="29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4.25" customHeight="1" x14ac:dyDescent="0.25">
      <c r="A782" s="36"/>
      <c r="B782" s="27"/>
      <c r="C782" s="28"/>
      <c r="D782" s="28"/>
      <c r="E782" s="29"/>
      <c r="F782" s="28"/>
      <c r="G782" s="28"/>
      <c r="H782" s="37"/>
      <c r="I782" s="28"/>
      <c r="J782" s="28"/>
      <c r="K782" s="28"/>
      <c r="L782" s="29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4.25" customHeight="1" x14ac:dyDescent="0.25">
      <c r="A783" s="36"/>
      <c r="B783" s="27"/>
      <c r="C783" s="28"/>
      <c r="D783" s="28"/>
      <c r="E783" s="29"/>
      <c r="F783" s="28"/>
      <c r="G783" s="28"/>
      <c r="H783" s="37"/>
      <c r="I783" s="28"/>
      <c r="J783" s="28"/>
      <c r="K783" s="28"/>
      <c r="L783" s="29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4.25" customHeight="1" x14ac:dyDescent="0.25">
      <c r="A784" s="36"/>
      <c r="B784" s="27"/>
      <c r="C784" s="28"/>
      <c r="D784" s="28"/>
      <c r="E784" s="29"/>
      <c r="F784" s="28"/>
      <c r="G784" s="28"/>
      <c r="H784" s="37"/>
      <c r="I784" s="28"/>
      <c r="J784" s="28"/>
      <c r="K784" s="28"/>
      <c r="L784" s="29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4.25" customHeight="1" x14ac:dyDescent="0.25">
      <c r="A785" s="36"/>
      <c r="B785" s="27"/>
      <c r="C785" s="28"/>
      <c r="D785" s="28"/>
      <c r="E785" s="29"/>
      <c r="F785" s="28"/>
      <c r="G785" s="28"/>
      <c r="H785" s="37"/>
      <c r="I785" s="28"/>
      <c r="J785" s="28"/>
      <c r="K785" s="28"/>
      <c r="L785" s="29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4.25" customHeight="1" x14ac:dyDescent="0.25">
      <c r="A786" s="36"/>
      <c r="B786" s="27"/>
      <c r="C786" s="28"/>
      <c r="D786" s="28"/>
      <c r="E786" s="29"/>
      <c r="F786" s="28"/>
      <c r="G786" s="28"/>
      <c r="H786" s="37"/>
      <c r="I786" s="28"/>
      <c r="J786" s="28"/>
      <c r="K786" s="28"/>
      <c r="L786" s="29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4.25" customHeight="1" x14ac:dyDescent="0.25">
      <c r="A787" s="36"/>
      <c r="B787" s="27"/>
      <c r="C787" s="28"/>
      <c r="D787" s="28"/>
      <c r="E787" s="29"/>
      <c r="F787" s="28"/>
      <c r="G787" s="28"/>
      <c r="H787" s="37"/>
      <c r="I787" s="28"/>
      <c r="J787" s="28"/>
      <c r="K787" s="28"/>
      <c r="L787" s="29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4.25" customHeight="1" x14ac:dyDescent="0.25">
      <c r="A788" s="36"/>
      <c r="B788" s="27"/>
      <c r="C788" s="28"/>
      <c r="D788" s="28"/>
      <c r="E788" s="29"/>
      <c r="F788" s="28"/>
      <c r="G788" s="28"/>
      <c r="H788" s="37"/>
      <c r="I788" s="28"/>
      <c r="J788" s="28"/>
      <c r="K788" s="28"/>
      <c r="L788" s="29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4.25" customHeight="1" x14ac:dyDescent="0.25">
      <c r="A789" s="36"/>
      <c r="B789" s="27"/>
      <c r="C789" s="28"/>
      <c r="D789" s="28"/>
      <c r="E789" s="29"/>
      <c r="F789" s="28"/>
      <c r="G789" s="28"/>
      <c r="H789" s="37"/>
      <c r="I789" s="28"/>
      <c r="J789" s="28"/>
      <c r="K789" s="28"/>
      <c r="L789" s="29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4.25" customHeight="1" x14ac:dyDescent="0.25">
      <c r="A790" s="36"/>
      <c r="B790" s="27"/>
      <c r="C790" s="28"/>
      <c r="D790" s="28"/>
      <c r="E790" s="29"/>
      <c r="F790" s="28"/>
      <c r="G790" s="28"/>
      <c r="H790" s="37"/>
      <c r="I790" s="28"/>
      <c r="J790" s="28"/>
      <c r="K790" s="28"/>
      <c r="L790" s="29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4.25" customHeight="1" x14ac:dyDescent="0.25">
      <c r="A791" s="36"/>
      <c r="B791" s="27"/>
      <c r="C791" s="28"/>
      <c r="D791" s="28"/>
      <c r="E791" s="29"/>
      <c r="F791" s="28"/>
      <c r="G791" s="28"/>
      <c r="H791" s="37"/>
      <c r="I791" s="28"/>
      <c r="J791" s="28"/>
      <c r="K791" s="28"/>
      <c r="L791" s="29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4.25" customHeight="1" x14ac:dyDescent="0.25">
      <c r="A792" s="36"/>
      <c r="B792" s="27"/>
      <c r="C792" s="28"/>
      <c r="D792" s="28"/>
      <c r="E792" s="29"/>
      <c r="F792" s="28"/>
      <c r="G792" s="28"/>
      <c r="H792" s="37"/>
      <c r="I792" s="28"/>
      <c r="J792" s="28"/>
      <c r="K792" s="28"/>
      <c r="L792" s="29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4.25" customHeight="1" x14ac:dyDescent="0.25">
      <c r="A793" s="36"/>
      <c r="B793" s="27"/>
      <c r="C793" s="28"/>
      <c r="D793" s="28"/>
      <c r="E793" s="29"/>
      <c r="F793" s="28"/>
      <c r="G793" s="28"/>
      <c r="H793" s="37"/>
      <c r="I793" s="28"/>
      <c r="J793" s="28"/>
      <c r="K793" s="28"/>
      <c r="L793" s="29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4.25" customHeight="1" x14ac:dyDescent="0.25">
      <c r="A794" s="36"/>
      <c r="B794" s="27"/>
      <c r="C794" s="28"/>
      <c r="D794" s="28"/>
      <c r="E794" s="29"/>
      <c r="F794" s="28"/>
      <c r="G794" s="28"/>
      <c r="H794" s="37"/>
      <c r="I794" s="28"/>
      <c r="J794" s="28"/>
      <c r="K794" s="28"/>
      <c r="L794" s="29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4.25" customHeight="1" x14ac:dyDescent="0.25">
      <c r="A795" s="36"/>
      <c r="B795" s="27"/>
      <c r="C795" s="28"/>
      <c r="D795" s="28"/>
      <c r="E795" s="29"/>
      <c r="F795" s="28"/>
      <c r="G795" s="28"/>
      <c r="H795" s="37"/>
      <c r="I795" s="28"/>
      <c r="J795" s="28"/>
      <c r="K795" s="28"/>
      <c r="L795" s="29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4.25" customHeight="1" x14ac:dyDescent="0.25">
      <c r="A796" s="36"/>
      <c r="B796" s="27"/>
      <c r="C796" s="28"/>
      <c r="D796" s="28"/>
      <c r="E796" s="29"/>
      <c r="F796" s="28"/>
      <c r="G796" s="28"/>
      <c r="H796" s="37"/>
      <c r="I796" s="28"/>
      <c r="J796" s="28"/>
      <c r="K796" s="28"/>
      <c r="L796" s="29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4.25" customHeight="1" x14ac:dyDescent="0.25">
      <c r="A797" s="36"/>
      <c r="B797" s="27"/>
      <c r="C797" s="28"/>
      <c r="D797" s="28"/>
      <c r="E797" s="29"/>
      <c r="F797" s="28"/>
      <c r="G797" s="28"/>
      <c r="H797" s="37"/>
      <c r="I797" s="28"/>
      <c r="J797" s="28"/>
      <c r="K797" s="28"/>
      <c r="L797" s="29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4.25" customHeight="1" x14ac:dyDescent="0.25">
      <c r="A798" s="36"/>
      <c r="B798" s="27"/>
      <c r="C798" s="28"/>
      <c r="D798" s="28"/>
      <c r="E798" s="29"/>
      <c r="F798" s="28"/>
      <c r="G798" s="28"/>
      <c r="H798" s="37"/>
      <c r="I798" s="28"/>
      <c r="J798" s="28"/>
      <c r="K798" s="28"/>
      <c r="L798" s="29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4.25" customHeight="1" x14ac:dyDescent="0.25">
      <c r="A799" s="36"/>
      <c r="B799" s="27"/>
      <c r="C799" s="28"/>
      <c r="D799" s="28"/>
      <c r="E799" s="29"/>
      <c r="F799" s="28"/>
      <c r="G799" s="28"/>
      <c r="H799" s="37"/>
      <c r="I799" s="28"/>
      <c r="J799" s="28"/>
      <c r="K799" s="28"/>
      <c r="L799" s="29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4.25" customHeight="1" x14ac:dyDescent="0.25">
      <c r="A800" s="36"/>
      <c r="B800" s="27"/>
      <c r="C800" s="28"/>
      <c r="D800" s="28"/>
      <c r="E800" s="29"/>
      <c r="F800" s="28"/>
      <c r="G800" s="28"/>
      <c r="H800" s="37"/>
      <c r="I800" s="28"/>
      <c r="J800" s="28"/>
      <c r="K800" s="28"/>
      <c r="L800" s="29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4.25" customHeight="1" x14ac:dyDescent="0.25">
      <c r="A801" s="36"/>
      <c r="B801" s="27"/>
      <c r="C801" s="28"/>
      <c r="D801" s="28"/>
      <c r="E801" s="29"/>
      <c r="F801" s="28"/>
      <c r="G801" s="28"/>
      <c r="H801" s="37"/>
      <c r="I801" s="28"/>
      <c r="J801" s="28"/>
      <c r="K801" s="28"/>
      <c r="L801" s="29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4.25" customHeight="1" x14ac:dyDescent="0.25">
      <c r="A802" s="36"/>
      <c r="B802" s="27"/>
      <c r="C802" s="28"/>
      <c r="D802" s="28"/>
      <c r="E802" s="29"/>
      <c r="F802" s="28"/>
      <c r="G802" s="28"/>
      <c r="H802" s="37"/>
      <c r="I802" s="28"/>
      <c r="J802" s="28"/>
      <c r="K802" s="28"/>
      <c r="L802" s="29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4.25" customHeight="1" x14ac:dyDescent="0.25">
      <c r="A803" s="36"/>
      <c r="B803" s="27"/>
      <c r="C803" s="28"/>
      <c r="D803" s="28"/>
      <c r="E803" s="29"/>
      <c r="F803" s="28"/>
      <c r="G803" s="28"/>
      <c r="H803" s="37"/>
      <c r="I803" s="28"/>
      <c r="J803" s="28"/>
      <c r="K803" s="28"/>
      <c r="L803" s="29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4.25" customHeight="1" x14ac:dyDescent="0.25">
      <c r="A804" s="36"/>
      <c r="B804" s="27"/>
      <c r="C804" s="28"/>
      <c r="D804" s="28"/>
      <c r="E804" s="29"/>
      <c r="F804" s="28"/>
      <c r="G804" s="28"/>
      <c r="H804" s="37"/>
      <c r="I804" s="28"/>
      <c r="J804" s="28"/>
      <c r="K804" s="28"/>
      <c r="L804" s="29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4.25" customHeight="1" x14ac:dyDescent="0.25">
      <c r="A805" s="36"/>
      <c r="B805" s="27"/>
      <c r="C805" s="28"/>
      <c r="D805" s="28"/>
      <c r="E805" s="29"/>
      <c r="F805" s="28"/>
      <c r="G805" s="28"/>
      <c r="H805" s="37"/>
      <c r="I805" s="28"/>
      <c r="J805" s="28"/>
      <c r="K805" s="28"/>
      <c r="L805" s="29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4.25" customHeight="1" x14ac:dyDescent="0.25">
      <c r="A806" s="36"/>
      <c r="B806" s="27"/>
      <c r="C806" s="28"/>
      <c r="D806" s="28"/>
      <c r="E806" s="29"/>
      <c r="F806" s="28"/>
      <c r="G806" s="28"/>
      <c r="H806" s="37"/>
      <c r="I806" s="28"/>
      <c r="J806" s="28"/>
      <c r="K806" s="28"/>
      <c r="L806" s="29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4.25" customHeight="1" x14ac:dyDescent="0.25">
      <c r="A807" s="36"/>
      <c r="B807" s="27"/>
      <c r="C807" s="28"/>
      <c r="D807" s="28"/>
      <c r="E807" s="29"/>
      <c r="F807" s="28"/>
      <c r="G807" s="28"/>
      <c r="H807" s="37"/>
      <c r="I807" s="28"/>
      <c r="J807" s="28"/>
      <c r="K807" s="28"/>
      <c r="L807" s="29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4.25" customHeight="1" x14ac:dyDescent="0.25">
      <c r="A808" s="36"/>
      <c r="B808" s="27"/>
      <c r="C808" s="28"/>
      <c r="D808" s="28"/>
      <c r="E808" s="29"/>
      <c r="F808" s="28"/>
      <c r="G808" s="28"/>
      <c r="H808" s="37"/>
      <c r="I808" s="28"/>
      <c r="J808" s="28"/>
      <c r="K808" s="28"/>
      <c r="L808" s="29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4.25" customHeight="1" x14ac:dyDescent="0.25">
      <c r="A809" s="36"/>
      <c r="B809" s="27"/>
      <c r="C809" s="28"/>
      <c r="D809" s="28"/>
      <c r="E809" s="29"/>
      <c r="F809" s="28"/>
      <c r="G809" s="28"/>
      <c r="H809" s="37"/>
      <c r="I809" s="28"/>
      <c r="J809" s="28"/>
      <c r="K809" s="28"/>
      <c r="L809" s="29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4.25" customHeight="1" x14ac:dyDescent="0.25">
      <c r="A810" s="36"/>
      <c r="B810" s="27"/>
      <c r="C810" s="28"/>
      <c r="D810" s="28"/>
      <c r="E810" s="29"/>
      <c r="F810" s="28"/>
      <c r="G810" s="28"/>
      <c r="H810" s="37"/>
      <c r="I810" s="28"/>
      <c r="J810" s="28"/>
      <c r="K810" s="28"/>
      <c r="L810" s="29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4.25" customHeight="1" x14ac:dyDescent="0.25">
      <c r="A811" s="36"/>
      <c r="B811" s="27"/>
      <c r="C811" s="28"/>
      <c r="D811" s="28"/>
      <c r="E811" s="29"/>
      <c r="F811" s="28"/>
      <c r="G811" s="28"/>
      <c r="H811" s="37"/>
      <c r="I811" s="28"/>
      <c r="J811" s="28"/>
      <c r="K811" s="28"/>
      <c r="L811" s="29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4.25" customHeight="1" x14ac:dyDescent="0.25">
      <c r="A812" s="36"/>
      <c r="B812" s="27"/>
      <c r="C812" s="28"/>
      <c r="D812" s="28"/>
      <c r="E812" s="29"/>
      <c r="F812" s="28"/>
      <c r="G812" s="28"/>
      <c r="H812" s="37"/>
      <c r="I812" s="28"/>
      <c r="J812" s="28"/>
      <c r="K812" s="28"/>
      <c r="L812" s="29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4.25" customHeight="1" x14ac:dyDescent="0.25">
      <c r="A813" s="36"/>
      <c r="B813" s="27"/>
      <c r="C813" s="28"/>
      <c r="D813" s="28"/>
      <c r="E813" s="29"/>
      <c r="F813" s="28"/>
      <c r="G813" s="28"/>
      <c r="H813" s="37"/>
      <c r="I813" s="28"/>
      <c r="J813" s="28"/>
      <c r="K813" s="28"/>
      <c r="L813" s="29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4.25" customHeight="1" x14ac:dyDescent="0.25">
      <c r="A814" s="36"/>
      <c r="B814" s="27"/>
      <c r="C814" s="28"/>
      <c r="D814" s="28"/>
      <c r="E814" s="29"/>
      <c r="F814" s="28"/>
      <c r="G814" s="28"/>
      <c r="H814" s="37"/>
      <c r="I814" s="28"/>
      <c r="J814" s="28"/>
      <c r="K814" s="28"/>
      <c r="L814" s="29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4.25" customHeight="1" x14ac:dyDescent="0.25">
      <c r="A815" s="36"/>
      <c r="B815" s="27"/>
      <c r="C815" s="28"/>
      <c r="D815" s="28"/>
      <c r="E815" s="29"/>
      <c r="F815" s="28"/>
      <c r="G815" s="28"/>
      <c r="H815" s="37"/>
      <c r="I815" s="28"/>
      <c r="J815" s="28"/>
      <c r="K815" s="28"/>
      <c r="L815" s="29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4.25" customHeight="1" x14ac:dyDescent="0.25">
      <c r="A816" s="36"/>
      <c r="B816" s="27"/>
      <c r="C816" s="28"/>
      <c r="D816" s="28"/>
      <c r="E816" s="29"/>
      <c r="F816" s="28"/>
      <c r="G816" s="28"/>
      <c r="H816" s="37"/>
      <c r="I816" s="28"/>
      <c r="J816" s="28"/>
      <c r="K816" s="28"/>
      <c r="L816" s="29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4.25" customHeight="1" x14ac:dyDescent="0.25">
      <c r="A817" s="36"/>
      <c r="B817" s="27"/>
      <c r="C817" s="28"/>
      <c r="D817" s="28"/>
      <c r="E817" s="29"/>
      <c r="F817" s="28"/>
      <c r="G817" s="28"/>
      <c r="H817" s="37"/>
      <c r="I817" s="28"/>
      <c r="J817" s="28"/>
      <c r="K817" s="28"/>
      <c r="L817" s="29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4.25" customHeight="1" x14ac:dyDescent="0.25">
      <c r="A818" s="36"/>
      <c r="B818" s="27"/>
      <c r="C818" s="28"/>
      <c r="D818" s="28"/>
      <c r="E818" s="29"/>
      <c r="F818" s="28"/>
      <c r="G818" s="28"/>
      <c r="H818" s="37"/>
      <c r="I818" s="28"/>
      <c r="J818" s="28"/>
      <c r="K818" s="28"/>
      <c r="L818" s="29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4.25" customHeight="1" x14ac:dyDescent="0.25">
      <c r="A819" s="36"/>
      <c r="B819" s="27"/>
      <c r="C819" s="28"/>
      <c r="D819" s="28"/>
      <c r="E819" s="29"/>
      <c r="F819" s="28"/>
      <c r="G819" s="28"/>
      <c r="H819" s="37"/>
      <c r="I819" s="28"/>
      <c r="J819" s="28"/>
      <c r="K819" s="28"/>
      <c r="L819" s="29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4.25" customHeight="1" x14ac:dyDescent="0.25">
      <c r="A820" s="36"/>
      <c r="B820" s="27"/>
      <c r="C820" s="28"/>
      <c r="D820" s="28"/>
      <c r="E820" s="29"/>
      <c r="F820" s="28"/>
      <c r="G820" s="28"/>
      <c r="H820" s="37"/>
      <c r="I820" s="28"/>
      <c r="J820" s="28"/>
      <c r="K820" s="28"/>
      <c r="L820" s="29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4.25" customHeight="1" x14ac:dyDescent="0.25">
      <c r="A821" s="36"/>
      <c r="B821" s="27"/>
      <c r="C821" s="28"/>
      <c r="D821" s="28"/>
      <c r="E821" s="29"/>
      <c r="F821" s="28"/>
      <c r="G821" s="28"/>
      <c r="H821" s="37"/>
      <c r="I821" s="28"/>
      <c r="J821" s="28"/>
      <c r="K821" s="28"/>
      <c r="L821" s="29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4.25" customHeight="1" x14ac:dyDescent="0.25">
      <c r="A822" s="36"/>
      <c r="B822" s="27"/>
      <c r="C822" s="28"/>
      <c r="D822" s="28"/>
      <c r="E822" s="29"/>
      <c r="F822" s="28"/>
      <c r="G822" s="28"/>
      <c r="H822" s="37"/>
      <c r="I822" s="28"/>
      <c r="J822" s="28"/>
      <c r="K822" s="28"/>
      <c r="L822" s="29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4.25" customHeight="1" x14ac:dyDescent="0.25">
      <c r="A823" s="36"/>
      <c r="B823" s="27"/>
      <c r="C823" s="28"/>
      <c r="D823" s="28"/>
      <c r="E823" s="29"/>
      <c r="F823" s="28"/>
      <c r="G823" s="28"/>
      <c r="H823" s="37"/>
      <c r="I823" s="28"/>
      <c r="J823" s="28"/>
      <c r="K823" s="28"/>
      <c r="L823" s="29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4.25" customHeight="1" x14ac:dyDescent="0.25">
      <c r="A824" s="36"/>
      <c r="B824" s="27"/>
      <c r="C824" s="28"/>
      <c r="D824" s="28"/>
      <c r="E824" s="29"/>
      <c r="F824" s="28"/>
      <c r="G824" s="28"/>
      <c r="H824" s="37"/>
      <c r="I824" s="28"/>
      <c r="J824" s="28"/>
      <c r="K824" s="28"/>
      <c r="L824" s="29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4.25" customHeight="1" x14ac:dyDescent="0.25">
      <c r="A825" s="36"/>
      <c r="B825" s="27"/>
      <c r="C825" s="28"/>
      <c r="D825" s="28"/>
      <c r="E825" s="29"/>
      <c r="F825" s="28"/>
      <c r="G825" s="28"/>
      <c r="H825" s="37"/>
      <c r="I825" s="28"/>
      <c r="J825" s="28"/>
      <c r="K825" s="28"/>
      <c r="L825" s="29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4.25" customHeight="1" x14ac:dyDescent="0.25">
      <c r="A826" s="36"/>
      <c r="B826" s="27"/>
      <c r="C826" s="28"/>
      <c r="D826" s="28"/>
      <c r="E826" s="29"/>
      <c r="F826" s="28"/>
      <c r="G826" s="28"/>
      <c r="H826" s="37"/>
      <c r="I826" s="28"/>
      <c r="J826" s="28"/>
      <c r="K826" s="28"/>
      <c r="L826" s="29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4.25" customHeight="1" x14ac:dyDescent="0.25">
      <c r="A827" s="36"/>
      <c r="B827" s="27"/>
      <c r="C827" s="28"/>
      <c r="D827" s="28"/>
      <c r="E827" s="29"/>
      <c r="F827" s="28"/>
      <c r="G827" s="28"/>
      <c r="H827" s="37"/>
      <c r="I827" s="28"/>
      <c r="J827" s="28"/>
      <c r="K827" s="28"/>
      <c r="L827" s="29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4.25" customHeight="1" x14ac:dyDescent="0.25">
      <c r="A828" s="36"/>
      <c r="B828" s="27"/>
      <c r="C828" s="28"/>
      <c r="D828" s="28"/>
      <c r="E828" s="29"/>
      <c r="F828" s="28"/>
      <c r="G828" s="28"/>
      <c r="H828" s="37"/>
      <c r="I828" s="28"/>
      <c r="J828" s="28"/>
      <c r="K828" s="28"/>
      <c r="L828" s="29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4.25" customHeight="1" x14ac:dyDescent="0.25">
      <c r="A829" s="36"/>
      <c r="B829" s="27"/>
      <c r="C829" s="28"/>
      <c r="D829" s="28"/>
      <c r="E829" s="29"/>
      <c r="F829" s="28"/>
      <c r="G829" s="28"/>
      <c r="H829" s="37"/>
      <c r="I829" s="28"/>
      <c r="J829" s="28"/>
      <c r="K829" s="28"/>
      <c r="L829" s="29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4.25" customHeight="1" x14ac:dyDescent="0.25">
      <c r="A830" s="36"/>
      <c r="B830" s="27"/>
      <c r="C830" s="28"/>
      <c r="D830" s="28"/>
      <c r="E830" s="29"/>
      <c r="F830" s="28"/>
      <c r="G830" s="28"/>
      <c r="H830" s="37"/>
      <c r="I830" s="28"/>
      <c r="J830" s="28"/>
      <c r="K830" s="28"/>
      <c r="L830" s="29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4.25" customHeight="1" x14ac:dyDescent="0.25">
      <c r="A831" s="36"/>
      <c r="B831" s="27"/>
      <c r="C831" s="28"/>
      <c r="D831" s="28"/>
      <c r="E831" s="29"/>
      <c r="F831" s="28"/>
      <c r="G831" s="28"/>
      <c r="H831" s="37"/>
      <c r="I831" s="28"/>
      <c r="J831" s="28"/>
      <c r="K831" s="28"/>
      <c r="L831" s="29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4.25" customHeight="1" x14ac:dyDescent="0.25">
      <c r="A832" s="36"/>
      <c r="B832" s="27"/>
      <c r="C832" s="28"/>
      <c r="D832" s="28"/>
      <c r="E832" s="29"/>
      <c r="F832" s="28"/>
      <c r="G832" s="28"/>
      <c r="H832" s="37"/>
      <c r="I832" s="28"/>
      <c r="J832" s="28"/>
      <c r="K832" s="28"/>
      <c r="L832" s="29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4.25" customHeight="1" x14ac:dyDescent="0.25">
      <c r="A833" s="36"/>
      <c r="B833" s="27"/>
      <c r="C833" s="28"/>
      <c r="D833" s="28"/>
      <c r="E833" s="29"/>
      <c r="F833" s="28"/>
      <c r="G833" s="28"/>
      <c r="H833" s="37"/>
      <c r="I833" s="28"/>
      <c r="J833" s="28"/>
      <c r="K833" s="28"/>
      <c r="L833" s="29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4.25" customHeight="1" x14ac:dyDescent="0.25">
      <c r="A834" s="36"/>
      <c r="B834" s="27"/>
      <c r="C834" s="28"/>
      <c r="D834" s="28"/>
      <c r="E834" s="29"/>
      <c r="F834" s="28"/>
      <c r="G834" s="28"/>
      <c r="H834" s="37"/>
      <c r="I834" s="28"/>
      <c r="J834" s="28"/>
      <c r="K834" s="28"/>
      <c r="L834" s="29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4.25" customHeight="1" x14ac:dyDescent="0.25">
      <c r="A835" s="36"/>
      <c r="B835" s="27"/>
      <c r="C835" s="28"/>
      <c r="D835" s="28"/>
      <c r="E835" s="29"/>
      <c r="F835" s="28"/>
      <c r="G835" s="28"/>
      <c r="H835" s="37"/>
      <c r="I835" s="28"/>
      <c r="J835" s="28"/>
      <c r="K835" s="28"/>
      <c r="L835" s="29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4.25" customHeight="1" x14ac:dyDescent="0.25">
      <c r="A836" s="36"/>
      <c r="B836" s="27"/>
      <c r="C836" s="28"/>
      <c r="D836" s="28"/>
      <c r="E836" s="29"/>
      <c r="F836" s="28"/>
      <c r="G836" s="28"/>
      <c r="H836" s="37"/>
      <c r="I836" s="28"/>
      <c r="J836" s="28"/>
      <c r="K836" s="28"/>
      <c r="L836" s="29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4.25" customHeight="1" x14ac:dyDescent="0.25">
      <c r="A837" s="36"/>
      <c r="B837" s="27"/>
      <c r="C837" s="28"/>
      <c r="D837" s="28"/>
      <c r="E837" s="29"/>
      <c r="F837" s="28"/>
      <c r="G837" s="28"/>
      <c r="H837" s="37"/>
      <c r="I837" s="28"/>
      <c r="J837" s="28"/>
      <c r="K837" s="28"/>
      <c r="L837" s="29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4.25" customHeight="1" x14ac:dyDescent="0.25">
      <c r="A838" s="36"/>
      <c r="B838" s="27"/>
      <c r="C838" s="28"/>
      <c r="D838" s="28"/>
      <c r="E838" s="29"/>
      <c r="F838" s="28"/>
      <c r="G838" s="28"/>
      <c r="H838" s="37"/>
      <c r="I838" s="28"/>
      <c r="J838" s="28"/>
      <c r="K838" s="28"/>
      <c r="L838" s="29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4.25" customHeight="1" x14ac:dyDescent="0.25">
      <c r="A839" s="36"/>
      <c r="B839" s="27"/>
      <c r="C839" s="28"/>
      <c r="D839" s="28"/>
      <c r="E839" s="29"/>
      <c r="F839" s="28"/>
      <c r="G839" s="28"/>
      <c r="H839" s="37"/>
      <c r="I839" s="28"/>
      <c r="J839" s="28"/>
      <c r="K839" s="28"/>
      <c r="L839" s="29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4.25" customHeight="1" x14ac:dyDescent="0.25">
      <c r="A840" s="36"/>
      <c r="B840" s="27"/>
      <c r="C840" s="28"/>
      <c r="D840" s="28"/>
      <c r="E840" s="29"/>
      <c r="F840" s="28"/>
      <c r="G840" s="28"/>
      <c r="H840" s="37"/>
      <c r="I840" s="28"/>
      <c r="J840" s="28"/>
      <c r="K840" s="28"/>
      <c r="L840" s="29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4.25" customHeight="1" x14ac:dyDescent="0.25">
      <c r="A841" s="36"/>
      <c r="B841" s="27"/>
      <c r="C841" s="28"/>
      <c r="D841" s="28"/>
      <c r="E841" s="29"/>
      <c r="F841" s="28"/>
      <c r="G841" s="28"/>
      <c r="H841" s="37"/>
      <c r="I841" s="28"/>
      <c r="J841" s="28"/>
      <c r="K841" s="28"/>
      <c r="L841" s="29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4.25" customHeight="1" x14ac:dyDescent="0.25">
      <c r="A842" s="36"/>
      <c r="B842" s="27"/>
      <c r="C842" s="28"/>
      <c r="D842" s="28"/>
      <c r="E842" s="29"/>
      <c r="F842" s="28"/>
      <c r="G842" s="28"/>
      <c r="H842" s="37"/>
      <c r="I842" s="28"/>
      <c r="J842" s="28"/>
      <c r="K842" s="28"/>
      <c r="L842" s="29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4.25" customHeight="1" x14ac:dyDescent="0.25">
      <c r="A843" s="36"/>
      <c r="B843" s="27"/>
      <c r="C843" s="28"/>
      <c r="D843" s="28"/>
      <c r="E843" s="29"/>
      <c r="F843" s="28"/>
      <c r="G843" s="28"/>
      <c r="H843" s="37"/>
      <c r="I843" s="28"/>
      <c r="J843" s="28"/>
      <c r="K843" s="28"/>
      <c r="L843" s="29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4.25" customHeight="1" x14ac:dyDescent="0.25">
      <c r="A844" s="36"/>
      <c r="B844" s="27"/>
      <c r="C844" s="28"/>
      <c r="D844" s="28"/>
      <c r="E844" s="29"/>
      <c r="F844" s="28"/>
      <c r="G844" s="28"/>
      <c r="H844" s="37"/>
      <c r="I844" s="28"/>
      <c r="J844" s="28"/>
      <c r="K844" s="28"/>
      <c r="L844" s="29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4.25" customHeight="1" x14ac:dyDescent="0.25">
      <c r="A845" s="36"/>
      <c r="B845" s="27"/>
      <c r="C845" s="28"/>
      <c r="D845" s="28"/>
      <c r="E845" s="29"/>
      <c r="F845" s="28"/>
      <c r="G845" s="28"/>
      <c r="H845" s="37"/>
      <c r="I845" s="28"/>
      <c r="J845" s="28"/>
      <c r="K845" s="28"/>
      <c r="L845" s="29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4.25" customHeight="1" x14ac:dyDescent="0.25">
      <c r="A846" s="36"/>
      <c r="B846" s="27"/>
      <c r="C846" s="28"/>
      <c r="D846" s="28"/>
      <c r="E846" s="29"/>
      <c r="F846" s="28"/>
      <c r="G846" s="28"/>
      <c r="H846" s="37"/>
      <c r="I846" s="28"/>
      <c r="J846" s="28"/>
      <c r="K846" s="28"/>
      <c r="L846" s="29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4.25" customHeight="1" x14ac:dyDescent="0.25">
      <c r="A847" s="36"/>
      <c r="B847" s="27"/>
      <c r="C847" s="28"/>
      <c r="D847" s="28"/>
      <c r="E847" s="29"/>
      <c r="F847" s="28"/>
      <c r="G847" s="28"/>
      <c r="H847" s="37"/>
      <c r="I847" s="28"/>
      <c r="J847" s="28"/>
      <c r="K847" s="28"/>
      <c r="L847" s="29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4.25" customHeight="1" x14ac:dyDescent="0.25">
      <c r="A848" s="36"/>
      <c r="B848" s="27"/>
      <c r="C848" s="28"/>
      <c r="D848" s="28"/>
      <c r="E848" s="29"/>
      <c r="F848" s="28"/>
      <c r="G848" s="28"/>
      <c r="H848" s="37"/>
      <c r="I848" s="28"/>
      <c r="J848" s="28"/>
      <c r="K848" s="28"/>
      <c r="L848" s="29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4.25" customHeight="1" x14ac:dyDescent="0.25">
      <c r="A849" s="36"/>
      <c r="B849" s="27"/>
      <c r="C849" s="28"/>
      <c r="D849" s="28"/>
      <c r="E849" s="29"/>
      <c r="F849" s="28"/>
      <c r="G849" s="28"/>
      <c r="H849" s="37"/>
      <c r="I849" s="28"/>
      <c r="J849" s="28"/>
      <c r="K849" s="28"/>
      <c r="L849" s="29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4.25" customHeight="1" x14ac:dyDescent="0.25">
      <c r="A850" s="36"/>
      <c r="B850" s="27"/>
      <c r="C850" s="28"/>
      <c r="D850" s="28"/>
      <c r="E850" s="29"/>
      <c r="F850" s="28"/>
      <c r="G850" s="28"/>
      <c r="H850" s="37"/>
      <c r="I850" s="28"/>
      <c r="J850" s="28"/>
      <c r="K850" s="28"/>
      <c r="L850" s="29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4.25" customHeight="1" x14ac:dyDescent="0.25">
      <c r="A851" s="36"/>
      <c r="B851" s="27"/>
      <c r="C851" s="28"/>
      <c r="D851" s="28"/>
      <c r="E851" s="29"/>
      <c r="F851" s="28"/>
      <c r="G851" s="28"/>
      <c r="H851" s="37"/>
      <c r="I851" s="28"/>
      <c r="J851" s="28"/>
      <c r="K851" s="28"/>
      <c r="L851" s="29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4.25" customHeight="1" x14ac:dyDescent="0.25">
      <c r="A852" s="36"/>
      <c r="B852" s="27"/>
      <c r="C852" s="28"/>
      <c r="D852" s="28"/>
      <c r="E852" s="29"/>
      <c r="F852" s="28"/>
      <c r="G852" s="28"/>
      <c r="H852" s="37"/>
      <c r="I852" s="28"/>
      <c r="J852" s="28"/>
      <c r="K852" s="28"/>
      <c r="L852" s="29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4.25" customHeight="1" x14ac:dyDescent="0.25">
      <c r="A853" s="36"/>
      <c r="B853" s="27"/>
      <c r="C853" s="28"/>
      <c r="D853" s="28"/>
      <c r="E853" s="29"/>
      <c r="F853" s="28"/>
      <c r="G853" s="28"/>
      <c r="H853" s="37"/>
      <c r="I853" s="28"/>
      <c r="J853" s="28"/>
      <c r="K853" s="28"/>
      <c r="L853" s="29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4.25" customHeight="1" x14ac:dyDescent="0.25">
      <c r="A854" s="36"/>
      <c r="B854" s="27"/>
      <c r="C854" s="28"/>
      <c r="D854" s="28"/>
      <c r="E854" s="29"/>
      <c r="F854" s="28"/>
      <c r="G854" s="28"/>
      <c r="H854" s="37"/>
      <c r="I854" s="28"/>
      <c r="J854" s="28"/>
      <c r="K854" s="28"/>
      <c r="L854" s="29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4.25" customHeight="1" x14ac:dyDescent="0.25">
      <c r="A855" s="36"/>
      <c r="B855" s="27"/>
      <c r="C855" s="28"/>
      <c r="D855" s="28"/>
      <c r="E855" s="29"/>
      <c r="F855" s="28"/>
      <c r="G855" s="28"/>
      <c r="H855" s="37"/>
      <c r="I855" s="28"/>
      <c r="J855" s="28"/>
      <c r="K855" s="28"/>
      <c r="L855" s="29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4.25" customHeight="1" x14ac:dyDescent="0.25">
      <c r="A856" s="36"/>
      <c r="B856" s="27"/>
      <c r="C856" s="28"/>
      <c r="D856" s="28"/>
      <c r="E856" s="29"/>
      <c r="F856" s="28"/>
      <c r="G856" s="28"/>
      <c r="H856" s="37"/>
      <c r="I856" s="28"/>
      <c r="J856" s="28"/>
      <c r="K856" s="28"/>
      <c r="L856" s="29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4.25" customHeight="1" x14ac:dyDescent="0.25">
      <c r="A857" s="36"/>
      <c r="B857" s="27"/>
      <c r="C857" s="28"/>
      <c r="D857" s="28"/>
      <c r="E857" s="29"/>
      <c r="F857" s="28"/>
      <c r="G857" s="28"/>
      <c r="H857" s="37"/>
      <c r="I857" s="28"/>
      <c r="J857" s="28"/>
      <c r="K857" s="28"/>
      <c r="L857" s="29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4.25" customHeight="1" x14ac:dyDescent="0.25">
      <c r="A858" s="36"/>
      <c r="B858" s="27"/>
      <c r="C858" s="28"/>
      <c r="D858" s="28"/>
      <c r="E858" s="29"/>
      <c r="F858" s="28"/>
      <c r="G858" s="28"/>
      <c r="H858" s="37"/>
      <c r="I858" s="28"/>
      <c r="J858" s="28"/>
      <c r="K858" s="28"/>
      <c r="L858" s="29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4.25" customHeight="1" x14ac:dyDescent="0.25">
      <c r="A859" s="36"/>
      <c r="B859" s="27"/>
      <c r="C859" s="28"/>
      <c r="D859" s="28"/>
      <c r="E859" s="29"/>
      <c r="F859" s="28"/>
      <c r="G859" s="28"/>
      <c r="H859" s="37"/>
      <c r="I859" s="28"/>
      <c r="J859" s="28"/>
      <c r="K859" s="28"/>
      <c r="L859" s="29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4.25" customHeight="1" x14ac:dyDescent="0.25">
      <c r="A860" s="36"/>
      <c r="B860" s="27"/>
      <c r="C860" s="28"/>
      <c r="D860" s="28"/>
      <c r="E860" s="29"/>
      <c r="F860" s="28"/>
      <c r="G860" s="28"/>
      <c r="H860" s="37"/>
      <c r="I860" s="28"/>
      <c r="J860" s="28"/>
      <c r="K860" s="28"/>
      <c r="L860" s="29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4.25" customHeight="1" x14ac:dyDescent="0.25">
      <c r="A861" s="36"/>
      <c r="B861" s="27"/>
      <c r="C861" s="28"/>
      <c r="D861" s="28"/>
      <c r="E861" s="29"/>
      <c r="F861" s="28"/>
      <c r="G861" s="28"/>
      <c r="H861" s="37"/>
      <c r="I861" s="28"/>
      <c r="J861" s="28"/>
      <c r="K861" s="28"/>
      <c r="L861" s="29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4.25" customHeight="1" x14ac:dyDescent="0.25">
      <c r="A862" s="36"/>
      <c r="B862" s="27"/>
      <c r="C862" s="28"/>
      <c r="D862" s="28"/>
      <c r="E862" s="29"/>
      <c r="F862" s="28"/>
      <c r="G862" s="28"/>
      <c r="H862" s="37"/>
      <c r="I862" s="28"/>
      <c r="J862" s="28"/>
      <c r="K862" s="28"/>
      <c r="L862" s="29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4.25" customHeight="1" x14ac:dyDescent="0.25">
      <c r="A863" s="36"/>
      <c r="B863" s="27"/>
      <c r="C863" s="28"/>
      <c r="D863" s="28"/>
      <c r="E863" s="29"/>
      <c r="F863" s="28"/>
      <c r="G863" s="28"/>
      <c r="H863" s="37"/>
      <c r="I863" s="28"/>
      <c r="J863" s="28"/>
      <c r="K863" s="28"/>
      <c r="L863" s="29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4.25" customHeight="1" x14ac:dyDescent="0.25">
      <c r="A864" s="36"/>
      <c r="B864" s="27"/>
      <c r="C864" s="28"/>
      <c r="D864" s="28"/>
      <c r="E864" s="29"/>
      <c r="F864" s="28"/>
      <c r="G864" s="28"/>
      <c r="H864" s="37"/>
      <c r="I864" s="28"/>
      <c r="J864" s="28"/>
      <c r="K864" s="28"/>
      <c r="L864" s="29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4.25" customHeight="1" x14ac:dyDescent="0.25">
      <c r="A865" s="36"/>
      <c r="B865" s="27"/>
      <c r="C865" s="28"/>
      <c r="D865" s="28"/>
      <c r="E865" s="29"/>
      <c r="F865" s="28"/>
      <c r="G865" s="28"/>
      <c r="H865" s="37"/>
      <c r="I865" s="28"/>
      <c r="J865" s="28"/>
      <c r="K865" s="28"/>
      <c r="L865" s="29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4.25" customHeight="1" x14ac:dyDescent="0.25">
      <c r="A866" s="36"/>
      <c r="B866" s="27"/>
      <c r="C866" s="28"/>
      <c r="D866" s="28"/>
      <c r="E866" s="29"/>
      <c r="F866" s="28"/>
      <c r="G866" s="28"/>
      <c r="H866" s="37"/>
      <c r="I866" s="28"/>
      <c r="J866" s="28"/>
      <c r="K866" s="28"/>
      <c r="L866" s="29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4.25" customHeight="1" x14ac:dyDescent="0.25">
      <c r="A867" s="36"/>
      <c r="B867" s="27"/>
      <c r="C867" s="28"/>
      <c r="D867" s="28"/>
      <c r="E867" s="29"/>
      <c r="F867" s="28"/>
      <c r="G867" s="28"/>
      <c r="H867" s="37"/>
      <c r="I867" s="28"/>
      <c r="J867" s="28"/>
      <c r="K867" s="28"/>
      <c r="L867" s="29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4.25" customHeight="1" x14ac:dyDescent="0.25">
      <c r="A868" s="36"/>
      <c r="B868" s="27"/>
      <c r="C868" s="28"/>
      <c r="D868" s="28"/>
      <c r="E868" s="29"/>
      <c r="F868" s="28"/>
      <c r="G868" s="28"/>
      <c r="H868" s="37"/>
      <c r="I868" s="28"/>
      <c r="J868" s="28"/>
      <c r="K868" s="28"/>
      <c r="L868" s="29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4.25" customHeight="1" x14ac:dyDescent="0.25">
      <c r="A869" s="36"/>
      <c r="B869" s="27"/>
      <c r="C869" s="28"/>
      <c r="D869" s="28"/>
      <c r="E869" s="29"/>
      <c r="F869" s="28"/>
      <c r="G869" s="28"/>
      <c r="H869" s="37"/>
      <c r="I869" s="28"/>
      <c r="J869" s="28"/>
      <c r="K869" s="28"/>
      <c r="L869" s="29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4.25" customHeight="1" x14ac:dyDescent="0.25">
      <c r="A870" s="36"/>
      <c r="B870" s="27"/>
      <c r="C870" s="28"/>
      <c r="D870" s="28"/>
      <c r="E870" s="29"/>
      <c r="F870" s="28"/>
      <c r="G870" s="28"/>
      <c r="H870" s="37"/>
      <c r="I870" s="28"/>
      <c r="J870" s="28"/>
      <c r="K870" s="28"/>
      <c r="L870" s="29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4.25" customHeight="1" x14ac:dyDescent="0.25">
      <c r="A871" s="36"/>
      <c r="B871" s="27"/>
      <c r="C871" s="28"/>
      <c r="D871" s="28"/>
      <c r="E871" s="29"/>
      <c r="F871" s="28"/>
      <c r="G871" s="28"/>
      <c r="H871" s="37"/>
      <c r="I871" s="28"/>
      <c r="J871" s="28"/>
      <c r="K871" s="28"/>
      <c r="L871" s="29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4.25" customHeight="1" x14ac:dyDescent="0.25">
      <c r="A872" s="36"/>
      <c r="B872" s="27"/>
      <c r="C872" s="28"/>
      <c r="D872" s="28"/>
      <c r="E872" s="29"/>
      <c r="F872" s="28"/>
      <c r="G872" s="28"/>
      <c r="H872" s="37"/>
      <c r="I872" s="28"/>
      <c r="J872" s="28"/>
      <c r="K872" s="28"/>
      <c r="L872" s="29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4.25" customHeight="1" x14ac:dyDescent="0.25">
      <c r="A873" s="36"/>
      <c r="B873" s="27"/>
      <c r="C873" s="28"/>
      <c r="D873" s="28"/>
      <c r="E873" s="29"/>
      <c r="F873" s="28"/>
      <c r="G873" s="28"/>
      <c r="H873" s="37"/>
      <c r="I873" s="28"/>
      <c r="J873" s="28"/>
      <c r="K873" s="28"/>
      <c r="L873" s="29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4.25" customHeight="1" x14ac:dyDescent="0.25">
      <c r="A874" s="36"/>
      <c r="B874" s="27"/>
      <c r="C874" s="28"/>
      <c r="D874" s="28"/>
      <c r="E874" s="29"/>
      <c r="F874" s="28"/>
      <c r="G874" s="28"/>
      <c r="H874" s="37"/>
      <c r="I874" s="28"/>
      <c r="J874" s="28"/>
      <c r="K874" s="28"/>
      <c r="L874" s="29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4.25" customHeight="1" x14ac:dyDescent="0.25">
      <c r="A875" s="36"/>
      <c r="B875" s="27"/>
      <c r="C875" s="28"/>
      <c r="D875" s="28"/>
      <c r="E875" s="29"/>
      <c r="F875" s="28"/>
      <c r="G875" s="28"/>
      <c r="H875" s="37"/>
      <c r="I875" s="28"/>
      <c r="J875" s="28"/>
      <c r="K875" s="28"/>
      <c r="L875" s="29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4.25" customHeight="1" x14ac:dyDescent="0.25">
      <c r="A876" s="36"/>
      <c r="B876" s="27"/>
      <c r="C876" s="28"/>
      <c r="D876" s="28"/>
      <c r="E876" s="29"/>
      <c r="F876" s="28"/>
      <c r="G876" s="28"/>
      <c r="H876" s="37"/>
      <c r="I876" s="28"/>
      <c r="J876" s="28"/>
      <c r="K876" s="28"/>
      <c r="L876" s="29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4.25" customHeight="1" x14ac:dyDescent="0.25">
      <c r="A877" s="36"/>
      <c r="B877" s="27"/>
      <c r="C877" s="28"/>
      <c r="D877" s="28"/>
      <c r="E877" s="29"/>
      <c r="F877" s="28"/>
      <c r="G877" s="28"/>
      <c r="H877" s="37"/>
      <c r="I877" s="28"/>
      <c r="J877" s="28"/>
      <c r="K877" s="28"/>
      <c r="L877" s="29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4.25" customHeight="1" x14ac:dyDescent="0.25">
      <c r="A878" s="36"/>
      <c r="B878" s="27"/>
      <c r="C878" s="28"/>
      <c r="D878" s="28"/>
      <c r="E878" s="29"/>
      <c r="F878" s="28"/>
      <c r="G878" s="28"/>
      <c r="H878" s="37"/>
      <c r="I878" s="28"/>
      <c r="J878" s="28"/>
      <c r="K878" s="28"/>
      <c r="L878" s="29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4.25" customHeight="1" x14ac:dyDescent="0.25">
      <c r="A879" s="36"/>
      <c r="B879" s="27"/>
      <c r="C879" s="28"/>
      <c r="D879" s="28"/>
      <c r="E879" s="29"/>
      <c r="F879" s="28"/>
      <c r="G879" s="28"/>
      <c r="H879" s="37"/>
      <c r="I879" s="28"/>
      <c r="J879" s="28"/>
      <c r="K879" s="28"/>
      <c r="L879" s="29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4.25" customHeight="1" x14ac:dyDescent="0.25">
      <c r="A880" s="36"/>
      <c r="B880" s="27"/>
      <c r="C880" s="28"/>
      <c r="D880" s="28"/>
      <c r="E880" s="29"/>
      <c r="F880" s="28"/>
      <c r="G880" s="28"/>
      <c r="H880" s="37"/>
      <c r="I880" s="28"/>
      <c r="J880" s="28"/>
      <c r="K880" s="28"/>
      <c r="L880" s="29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4.25" customHeight="1" x14ac:dyDescent="0.25">
      <c r="A881" s="36"/>
      <c r="B881" s="27"/>
      <c r="C881" s="28"/>
      <c r="D881" s="28"/>
      <c r="E881" s="29"/>
      <c r="F881" s="28"/>
      <c r="G881" s="28"/>
      <c r="H881" s="37"/>
      <c r="I881" s="28"/>
      <c r="J881" s="28"/>
      <c r="K881" s="28"/>
      <c r="L881" s="29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4.25" customHeight="1" x14ac:dyDescent="0.25">
      <c r="A882" s="36"/>
      <c r="B882" s="27"/>
      <c r="C882" s="28"/>
      <c r="D882" s="28"/>
      <c r="E882" s="29"/>
      <c r="F882" s="28"/>
      <c r="G882" s="28"/>
      <c r="H882" s="37"/>
      <c r="I882" s="28"/>
      <c r="J882" s="28"/>
      <c r="K882" s="28"/>
      <c r="L882" s="29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4.25" customHeight="1" x14ac:dyDescent="0.25">
      <c r="A883" s="36"/>
      <c r="B883" s="27"/>
      <c r="C883" s="28"/>
      <c r="D883" s="28"/>
      <c r="E883" s="29"/>
      <c r="F883" s="28"/>
      <c r="G883" s="28"/>
      <c r="H883" s="37"/>
      <c r="I883" s="28"/>
      <c r="J883" s="28"/>
      <c r="K883" s="28"/>
      <c r="L883" s="29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4.25" customHeight="1" x14ac:dyDescent="0.25">
      <c r="A884" s="36"/>
      <c r="B884" s="27"/>
      <c r="C884" s="28"/>
      <c r="D884" s="28"/>
      <c r="E884" s="29"/>
      <c r="F884" s="28"/>
      <c r="G884" s="28"/>
      <c r="H884" s="37"/>
      <c r="I884" s="28"/>
      <c r="J884" s="28"/>
      <c r="K884" s="28"/>
      <c r="L884" s="29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4.25" customHeight="1" x14ac:dyDescent="0.25">
      <c r="A885" s="36"/>
      <c r="B885" s="27"/>
      <c r="C885" s="28"/>
      <c r="D885" s="28"/>
      <c r="E885" s="29"/>
      <c r="F885" s="28"/>
      <c r="G885" s="28"/>
      <c r="H885" s="37"/>
      <c r="I885" s="28"/>
      <c r="J885" s="28"/>
      <c r="K885" s="28"/>
      <c r="L885" s="29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4.25" customHeight="1" x14ac:dyDescent="0.25">
      <c r="A886" s="36"/>
      <c r="B886" s="27"/>
      <c r="C886" s="28"/>
      <c r="D886" s="28"/>
      <c r="E886" s="29"/>
      <c r="F886" s="28"/>
      <c r="G886" s="28"/>
      <c r="H886" s="37"/>
      <c r="I886" s="28"/>
      <c r="J886" s="28"/>
      <c r="K886" s="28"/>
      <c r="L886" s="29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4.25" customHeight="1" x14ac:dyDescent="0.25">
      <c r="A887" s="36"/>
      <c r="B887" s="27"/>
      <c r="C887" s="28"/>
      <c r="D887" s="28"/>
      <c r="E887" s="29"/>
      <c r="F887" s="28"/>
      <c r="G887" s="28"/>
      <c r="H887" s="37"/>
      <c r="I887" s="28"/>
      <c r="J887" s="28"/>
      <c r="K887" s="28"/>
      <c r="L887" s="29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4.25" customHeight="1" x14ac:dyDescent="0.25">
      <c r="A888" s="36"/>
      <c r="B888" s="27"/>
      <c r="C888" s="28"/>
      <c r="D888" s="28"/>
      <c r="E888" s="29"/>
      <c r="F888" s="28"/>
      <c r="G888" s="28"/>
      <c r="H888" s="37"/>
      <c r="I888" s="28"/>
      <c r="J888" s="28"/>
      <c r="K888" s="28"/>
      <c r="L888" s="29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4.25" customHeight="1" x14ac:dyDescent="0.25">
      <c r="A889" s="36"/>
      <c r="B889" s="27"/>
      <c r="C889" s="28"/>
      <c r="D889" s="28"/>
      <c r="E889" s="29"/>
      <c r="F889" s="28"/>
      <c r="G889" s="28"/>
      <c r="H889" s="37"/>
      <c r="I889" s="28"/>
      <c r="J889" s="28"/>
      <c r="K889" s="28"/>
      <c r="L889" s="29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4.25" customHeight="1" x14ac:dyDescent="0.25">
      <c r="A890" s="36"/>
      <c r="B890" s="27"/>
      <c r="C890" s="28"/>
      <c r="D890" s="28"/>
      <c r="E890" s="29"/>
      <c r="F890" s="28"/>
      <c r="G890" s="28"/>
      <c r="H890" s="37"/>
      <c r="I890" s="28"/>
      <c r="J890" s="28"/>
      <c r="K890" s="28"/>
      <c r="L890" s="29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4.25" customHeight="1" x14ac:dyDescent="0.25">
      <c r="A891" s="36"/>
      <c r="B891" s="27"/>
      <c r="C891" s="28"/>
      <c r="D891" s="28"/>
      <c r="E891" s="29"/>
      <c r="F891" s="28"/>
      <c r="G891" s="28"/>
      <c r="H891" s="37"/>
      <c r="I891" s="28"/>
      <c r="J891" s="28"/>
      <c r="K891" s="28"/>
      <c r="L891" s="29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4.25" customHeight="1" x14ac:dyDescent="0.25">
      <c r="A892" s="36"/>
      <c r="B892" s="27"/>
      <c r="C892" s="28"/>
      <c r="D892" s="28"/>
      <c r="E892" s="29"/>
      <c r="F892" s="28"/>
      <c r="G892" s="28"/>
      <c r="H892" s="37"/>
      <c r="I892" s="28"/>
      <c r="J892" s="28"/>
      <c r="K892" s="28"/>
      <c r="L892" s="29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4.25" customHeight="1" x14ac:dyDescent="0.25">
      <c r="A893" s="36"/>
      <c r="B893" s="27"/>
      <c r="C893" s="28"/>
      <c r="D893" s="28"/>
      <c r="E893" s="29"/>
      <c r="F893" s="28"/>
      <c r="G893" s="28"/>
      <c r="H893" s="37"/>
      <c r="I893" s="28"/>
      <c r="J893" s="28"/>
      <c r="K893" s="28"/>
      <c r="L893" s="29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4.25" customHeight="1" x14ac:dyDescent="0.25">
      <c r="A894" s="36"/>
      <c r="B894" s="27"/>
      <c r="C894" s="28"/>
      <c r="D894" s="28"/>
      <c r="E894" s="29"/>
      <c r="F894" s="28"/>
      <c r="G894" s="28"/>
      <c r="H894" s="37"/>
      <c r="I894" s="28"/>
      <c r="J894" s="28"/>
      <c r="K894" s="28"/>
      <c r="L894" s="29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4.25" customHeight="1" x14ac:dyDescent="0.25">
      <c r="A895" s="36"/>
      <c r="B895" s="27"/>
      <c r="C895" s="28"/>
      <c r="D895" s="28"/>
      <c r="E895" s="29"/>
      <c r="F895" s="28"/>
      <c r="G895" s="28"/>
      <c r="H895" s="37"/>
      <c r="I895" s="28"/>
      <c r="J895" s="28"/>
      <c r="K895" s="28"/>
      <c r="L895" s="29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4.25" customHeight="1" x14ac:dyDescent="0.25">
      <c r="A896" s="36"/>
      <c r="B896" s="27"/>
      <c r="C896" s="28"/>
      <c r="D896" s="28"/>
      <c r="E896" s="29"/>
      <c r="F896" s="28"/>
      <c r="G896" s="28"/>
      <c r="H896" s="37"/>
      <c r="I896" s="28"/>
      <c r="J896" s="28"/>
      <c r="K896" s="28"/>
      <c r="L896" s="29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4.25" customHeight="1" x14ac:dyDescent="0.25">
      <c r="A897" s="36"/>
      <c r="B897" s="27"/>
      <c r="C897" s="28"/>
      <c r="D897" s="28"/>
      <c r="E897" s="29"/>
      <c r="F897" s="28"/>
      <c r="G897" s="28"/>
      <c r="H897" s="37"/>
      <c r="I897" s="28"/>
      <c r="J897" s="28"/>
      <c r="K897" s="28"/>
      <c r="L897" s="29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4.25" customHeight="1" x14ac:dyDescent="0.25">
      <c r="A898" s="36"/>
      <c r="B898" s="27"/>
      <c r="C898" s="28"/>
      <c r="D898" s="28"/>
      <c r="E898" s="29"/>
      <c r="F898" s="28"/>
      <c r="G898" s="28"/>
      <c r="H898" s="37"/>
      <c r="I898" s="28"/>
      <c r="J898" s="28"/>
      <c r="K898" s="28"/>
      <c r="L898" s="29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4.25" customHeight="1" x14ac:dyDescent="0.25">
      <c r="A899" s="36"/>
      <c r="B899" s="27"/>
      <c r="C899" s="28"/>
      <c r="D899" s="28"/>
      <c r="E899" s="29"/>
      <c r="F899" s="28"/>
      <c r="G899" s="28"/>
      <c r="H899" s="37"/>
      <c r="I899" s="28"/>
      <c r="J899" s="28"/>
      <c r="K899" s="28"/>
      <c r="L899" s="29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4.25" customHeight="1" x14ac:dyDescent="0.25">
      <c r="A900" s="36"/>
      <c r="B900" s="27"/>
      <c r="C900" s="28"/>
      <c r="D900" s="28"/>
      <c r="E900" s="29"/>
      <c r="F900" s="28"/>
      <c r="G900" s="28"/>
      <c r="H900" s="37"/>
      <c r="I900" s="28"/>
      <c r="J900" s="28"/>
      <c r="K900" s="28"/>
      <c r="L900" s="29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4.25" customHeight="1" x14ac:dyDescent="0.25">
      <c r="A901" s="36"/>
      <c r="B901" s="27"/>
      <c r="C901" s="28"/>
      <c r="D901" s="28"/>
      <c r="E901" s="29"/>
      <c r="F901" s="28"/>
      <c r="G901" s="28"/>
      <c r="H901" s="37"/>
      <c r="I901" s="28"/>
      <c r="J901" s="28"/>
      <c r="K901" s="28"/>
      <c r="L901" s="29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4.25" customHeight="1" x14ac:dyDescent="0.25">
      <c r="A902" s="36"/>
      <c r="B902" s="27"/>
      <c r="C902" s="28"/>
      <c r="D902" s="28"/>
      <c r="E902" s="29"/>
      <c r="F902" s="28"/>
      <c r="G902" s="28"/>
      <c r="H902" s="37"/>
      <c r="I902" s="28"/>
      <c r="J902" s="28"/>
      <c r="K902" s="28"/>
      <c r="L902" s="29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4.25" customHeight="1" x14ac:dyDescent="0.25">
      <c r="A903" s="36"/>
      <c r="B903" s="27"/>
      <c r="C903" s="28"/>
      <c r="D903" s="28"/>
      <c r="E903" s="29"/>
      <c r="F903" s="28"/>
      <c r="G903" s="28"/>
      <c r="H903" s="37"/>
      <c r="I903" s="28"/>
      <c r="J903" s="28"/>
      <c r="K903" s="28"/>
      <c r="L903" s="29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4.25" customHeight="1" x14ac:dyDescent="0.25">
      <c r="A904" s="36"/>
      <c r="B904" s="27"/>
      <c r="C904" s="28"/>
      <c r="D904" s="28"/>
      <c r="E904" s="29"/>
      <c r="F904" s="28"/>
      <c r="G904" s="28"/>
      <c r="H904" s="37"/>
      <c r="I904" s="28"/>
      <c r="J904" s="28"/>
      <c r="K904" s="28"/>
      <c r="L904" s="29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4.25" customHeight="1" x14ac:dyDescent="0.25">
      <c r="A905" s="36"/>
      <c r="B905" s="27"/>
      <c r="C905" s="28"/>
      <c r="D905" s="28"/>
      <c r="E905" s="29"/>
      <c r="F905" s="28"/>
      <c r="G905" s="28"/>
      <c r="H905" s="37"/>
      <c r="I905" s="28"/>
      <c r="J905" s="28"/>
      <c r="K905" s="28"/>
      <c r="L905" s="29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4.25" customHeight="1" x14ac:dyDescent="0.25">
      <c r="A906" s="36"/>
      <c r="B906" s="27"/>
      <c r="C906" s="28"/>
      <c r="D906" s="28"/>
      <c r="E906" s="29"/>
      <c r="F906" s="28"/>
      <c r="G906" s="28"/>
      <c r="H906" s="37"/>
      <c r="I906" s="28"/>
      <c r="J906" s="28"/>
      <c r="K906" s="28"/>
      <c r="L906" s="29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4.25" customHeight="1" x14ac:dyDescent="0.25">
      <c r="A907" s="36"/>
      <c r="B907" s="27"/>
      <c r="C907" s="28"/>
      <c r="D907" s="28"/>
      <c r="E907" s="29"/>
      <c r="F907" s="28"/>
      <c r="G907" s="28"/>
      <c r="H907" s="37"/>
      <c r="I907" s="28"/>
      <c r="J907" s="28"/>
      <c r="K907" s="28"/>
      <c r="L907" s="29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4.25" customHeight="1" x14ac:dyDescent="0.25">
      <c r="A908" s="36"/>
      <c r="B908" s="27"/>
      <c r="C908" s="28"/>
      <c r="D908" s="28"/>
      <c r="E908" s="29"/>
      <c r="F908" s="28"/>
      <c r="G908" s="28"/>
      <c r="H908" s="37"/>
      <c r="I908" s="28"/>
      <c r="J908" s="28"/>
      <c r="K908" s="28"/>
      <c r="L908" s="29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4.25" customHeight="1" x14ac:dyDescent="0.25">
      <c r="A909" s="36"/>
      <c r="B909" s="27"/>
      <c r="C909" s="28"/>
      <c r="D909" s="28"/>
      <c r="E909" s="29"/>
      <c r="F909" s="28"/>
      <c r="G909" s="28"/>
      <c r="H909" s="37"/>
      <c r="I909" s="28"/>
      <c r="J909" s="28"/>
      <c r="K909" s="28"/>
      <c r="L909" s="29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4.25" customHeight="1" x14ac:dyDescent="0.25">
      <c r="A910" s="36"/>
      <c r="B910" s="27"/>
      <c r="C910" s="28"/>
      <c r="D910" s="28"/>
      <c r="E910" s="29"/>
      <c r="F910" s="28"/>
      <c r="G910" s="28"/>
      <c r="H910" s="37"/>
      <c r="I910" s="28"/>
      <c r="J910" s="28"/>
      <c r="K910" s="28"/>
      <c r="L910" s="29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4.25" customHeight="1" x14ac:dyDescent="0.25">
      <c r="A911" s="36"/>
      <c r="B911" s="27"/>
      <c r="C911" s="28"/>
      <c r="D911" s="28"/>
      <c r="E911" s="29"/>
      <c r="F911" s="28"/>
      <c r="G911" s="28"/>
      <c r="H911" s="37"/>
      <c r="I911" s="28"/>
      <c r="J911" s="28"/>
      <c r="K911" s="28"/>
      <c r="L911" s="29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4.25" customHeight="1" x14ac:dyDescent="0.25">
      <c r="A912" s="36"/>
      <c r="B912" s="27"/>
      <c r="C912" s="28"/>
      <c r="D912" s="28"/>
      <c r="E912" s="29"/>
      <c r="F912" s="28"/>
      <c r="G912" s="28"/>
      <c r="H912" s="37"/>
      <c r="I912" s="28"/>
      <c r="J912" s="28"/>
      <c r="K912" s="28"/>
      <c r="L912" s="29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4.25" customHeight="1" x14ac:dyDescent="0.25">
      <c r="A913" s="36"/>
      <c r="B913" s="27"/>
      <c r="C913" s="28"/>
      <c r="D913" s="28"/>
      <c r="E913" s="29"/>
      <c r="F913" s="28"/>
      <c r="G913" s="28"/>
      <c r="H913" s="37"/>
      <c r="I913" s="28"/>
      <c r="J913" s="28"/>
      <c r="K913" s="28"/>
      <c r="L913" s="29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4.25" customHeight="1" x14ac:dyDescent="0.25">
      <c r="A914" s="36"/>
      <c r="B914" s="27"/>
      <c r="C914" s="28"/>
      <c r="D914" s="28"/>
      <c r="E914" s="29"/>
      <c r="F914" s="28"/>
      <c r="G914" s="28"/>
      <c r="H914" s="37"/>
      <c r="I914" s="28"/>
      <c r="J914" s="28"/>
      <c r="K914" s="28"/>
      <c r="L914" s="29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4.25" customHeight="1" x14ac:dyDescent="0.25">
      <c r="A915" s="36"/>
      <c r="B915" s="27"/>
      <c r="C915" s="28"/>
      <c r="D915" s="28"/>
      <c r="E915" s="29"/>
      <c r="F915" s="28"/>
      <c r="G915" s="28"/>
      <c r="H915" s="37"/>
      <c r="I915" s="28"/>
      <c r="J915" s="28"/>
      <c r="K915" s="28"/>
      <c r="L915" s="29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4.25" customHeight="1" x14ac:dyDescent="0.25">
      <c r="A916" s="36"/>
      <c r="B916" s="27"/>
      <c r="C916" s="28"/>
      <c r="D916" s="28"/>
      <c r="E916" s="29"/>
      <c r="F916" s="28"/>
      <c r="G916" s="28"/>
      <c r="H916" s="37"/>
      <c r="I916" s="28"/>
      <c r="J916" s="28"/>
      <c r="K916" s="28"/>
      <c r="L916" s="29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4.25" customHeight="1" x14ac:dyDescent="0.25">
      <c r="A917" s="36"/>
      <c r="B917" s="27"/>
      <c r="C917" s="28"/>
      <c r="D917" s="28"/>
      <c r="E917" s="29"/>
      <c r="F917" s="28"/>
      <c r="G917" s="28"/>
      <c r="H917" s="37"/>
      <c r="I917" s="28"/>
      <c r="J917" s="28"/>
      <c r="K917" s="28"/>
      <c r="L917" s="29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4.25" customHeight="1" x14ac:dyDescent="0.25">
      <c r="A918" s="36"/>
      <c r="B918" s="27"/>
      <c r="C918" s="28"/>
      <c r="D918" s="28"/>
      <c r="E918" s="29"/>
      <c r="F918" s="28"/>
      <c r="G918" s="28"/>
      <c r="H918" s="37"/>
      <c r="I918" s="28"/>
      <c r="J918" s="28"/>
      <c r="K918" s="28"/>
      <c r="L918" s="29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4.25" customHeight="1" x14ac:dyDescent="0.25">
      <c r="A919" s="36"/>
      <c r="B919" s="27"/>
      <c r="C919" s="28"/>
      <c r="D919" s="28"/>
      <c r="E919" s="29"/>
      <c r="F919" s="28"/>
      <c r="G919" s="28"/>
      <c r="H919" s="37"/>
      <c r="I919" s="28"/>
      <c r="J919" s="28"/>
      <c r="K919" s="28"/>
      <c r="L919" s="29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4.25" customHeight="1" x14ac:dyDescent="0.25">
      <c r="A920" s="36"/>
      <c r="B920" s="27"/>
      <c r="C920" s="28"/>
      <c r="D920" s="28"/>
      <c r="E920" s="29"/>
      <c r="F920" s="28"/>
      <c r="G920" s="28"/>
      <c r="H920" s="37"/>
      <c r="I920" s="28"/>
      <c r="J920" s="28"/>
      <c r="K920" s="28"/>
      <c r="L920" s="29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4.25" customHeight="1" x14ac:dyDescent="0.25">
      <c r="A921" s="36"/>
      <c r="B921" s="27"/>
      <c r="C921" s="28"/>
      <c r="D921" s="28"/>
      <c r="E921" s="29"/>
      <c r="F921" s="28"/>
      <c r="G921" s="28"/>
      <c r="H921" s="37"/>
      <c r="I921" s="28"/>
      <c r="J921" s="28"/>
      <c r="K921" s="28"/>
      <c r="L921" s="29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4.25" customHeight="1" x14ac:dyDescent="0.25">
      <c r="A922" s="36"/>
      <c r="B922" s="27"/>
      <c r="C922" s="28"/>
      <c r="D922" s="28"/>
      <c r="E922" s="29"/>
      <c r="F922" s="28"/>
      <c r="G922" s="28"/>
      <c r="H922" s="37"/>
      <c r="I922" s="28"/>
      <c r="J922" s="28"/>
      <c r="K922" s="28"/>
      <c r="L922" s="29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4.25" customHeight="1" x14ac:dyDescent="0.25">
      <c r="A923" s="36"/>
      <c r="B923" s="27"/>
      <c r="C923" s="28"/>
      <c r="D923" s="28"/>
      <c r="E923" s="29"/>
      <c r="F923" s="28"/>
      <c r="G923" s="28"/>
      <c r="H923" s="37"/>
      <c r="I923" s="28"/>
      <c r="J923" s="28"/>
      <c r="K923" s="28"/>
      <c r="L923" s="29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4.25" customHeight="1" x14ac:dyDescent="0.25">
      <c r="A924" s="36"/>
      <c r="B924" s="27"/>
      <c r="C924" s="28"/>
      <c r="D924" s="28"/>
      <c r="E924" s="29"/>
      <c r="F924" s="28"/>
      <c r="G924" s="28"/>
      <c r="H924" s="37"/>
      <c r="I924" s="28"/>
      <c r="J924" s="28"/>
      <c r="K924" s="28"/>
      <c r="L924" s="29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4.25" customHeight="1" x14ac:dyDescent="0.25">
      <c r="A925" s="36"/>
      <c r="B925" s="27"/>
      <c r="C925" s="28"/>
      <c r="D925" s="28"/>
      <c r="E925" s="29"/>
      <c r="F925" s="28"/>
      <c r="G925" s="28"/>
      <c r="H925" s="37"/>
      <c r="I925" s="28"/>
      <c r="J925" s="28"/>
      <c r="K925" s="28"/>
      <c r="L925" s="29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4.25" customHeight="1" x14ac:dyDescent="0.25">
      <c r="A926" s="36"/>
      <c r="B926" s="27"/>
      <c r="C926" s="28"/>
      <c r="D926" s="28"/>
      <c r="E926" s="29"/>
      <c r="F926" s="28"/>
      <c r="G926" s="28"/>
      <c r="H926" s="37"/>
      <c r="I926" s="28"/>
      <c r="J926" s="28"/>
      <c r="K926" s="28"/>
      <c r="L926" s="29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4.25" customHeight="1" x14ac:dyDescent="0.25">
      <c r="A927" s="36"/>
      <c r="B927" s="27"/>
      <c r="C927" s="28"/>
      <c r="D927" s="28"/>
      <c r="E927" s="29"/>
      <c r="F927" s="28"/>
      <c r="G927" s="28"/>
      <c r="H927" s="37"/>
      <c r="I927" s="28"/>
      <c r="J927" s="28"/>
      <c r="K927" s="28"/>
      <c r="L927" s="29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4.25" customHeight="1" x14ac:dyDescent="0.25">
      <c r="A928" s="36"/>
      <c r="B928" s="27"/>
      <c r="C928" s="28"/>
      <c r="D928" s="28"/>
      <c r="E928" s="29"/>
      <c r="F928" s="28"/>
      <c r="G928" s="28"/>
      <c r="H928" s="37"/>
      <c r="I928" s="28"/>
      <c r="J928" s="28"/>
      <c r="K928" s="28"/>
      <c r="L928" s="29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4.25" customHeight="1" x14ac:dyDescent="0.25">
      <c r="A929" s="36"/>
      <c r="B929" s="27"/>
      <c r="C929" s="28"/>
      <c r="D929" s="28"/>
      <c r="E929" s="29"/>
      <c r="F929" s="28"/>
      <c r="G929" s="28"/>
      <c r="H929" s="37"/>
      <c r="I929" s="28"/>
      <c r="J929" s="28"/>
      <c r="K929" s="28"/>
      <c r="L929" s="29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4.25" customHeight="1" x14ac:dyDescent="0.25">
      <c r="A930" s="36"/>
      <c r="B930" s="27"/>
      <c r="C930" s="28"/>
      <c r="D930" s="28"/>
      <c r="E930" s="29"/>
      <c r="F930" s="28"/>
      <c r="G930" s="28"/>
      <c r="H930" s="37"/>
      <c r="I930" s="28"/>
      <c r="J930" s="28"/>
      <c r="K930" s="28"/>
      <c r="L930" s="29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4.25" customHeight="1" x14ac:dyDescent="0.25">
      <c r="A931" s="36"/>
      <c r="B931" s="27"/>
      <c r="C931" s="28"/>
      <c r="D931" s="28"/>
      <c r="E931" s="29"/>
      <c r="F931" s="28"/>
      <c r="G931" s="28"/>
      <c r="H931" s="37"/>
      <c r="I931" s="28"/>
      <c r="J931" s="28"/>
      <c r="K931" s="28"/>
      <c r="L931" s="29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4.25" customHeight="1" x14ac:dyDescent="0.25">
      <c r="A932" s="36"/>
      <c r="B932" s="27"/>
      <c r="C932" s="28"/>
      <c r="D932" s="28"/>
      <c r="E932" s="29"/>
      <c r="F932" s="28"/>
      <c r="G932" s="28"/>
      <c r="H932" s="37"/>
      <c r="I932" s="28"/>
      <c r="J932" s="28"/>
      <c r="K932" s="28"/>
      <c r="L932" s="29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4.25" customHeight="1" x14ac:dyDescent="0.25">
      <c r="A933" s="36"/>
      <c r="B933" s="27"/>
      <c r="C933" s="28"/>
      <c r="D933" s="28"/>
      <c r="E933" s="29"/>
      <c r="F933" s="28"/>
      <c r="G933" s="28"/>
      <c r="H933" s="37"/>
      <c r="I933" s="28"/>
      <c r="J933" s="28"/>
      <c r="K933" s="28"/>
      <c r="L933" s="29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4.25" customHeight="1" x14ac:dyDescent="0.25">
      <c r="A934" s="36"/>
      <c r="B934" s="27"/>
      <c r="C934" s="28"/>
      <c r="D934" s="28"/>
      <c r="E934" s="29"/>
      <c r="F934" s="28"/>
      <c r="G934" s="28"/>
      <c r="H934" s="37"/>
      <c r="I934" s="28"/>
      <c r="J934" s="28"/>
      <c r="K934" s="28"/>
      <c r="L934" s="29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4.25" customHeight="1" x14ac:dyDescent="0.25">
      <c r="A935" s="36"/>
      <c r="B935" s="27"/>
      <c r="C935" s="28"/>
      <c r="D935" s="28"/>
      <c r="E935" s="29"/>
      <c r="F935" s="28"/>
      <c r="G935" s="28"/>
      <c r="H935" s="37"/>
      <c r="I935" s="28"/>
      <c r="J935" s="28"/>
      <c r="K935" s="28"/>
      <c r="L935" s="29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4.25" customHeight="1" x14ac:dyDescent="0.25">
      <c r="A936" s="36"/>
      <c r="B936" s="27"/>
      <c r="C936" s="28"/>
      <c r="D936" s="28"/>
      <c r="E936" s="29"/>
      <c r="F936" s="28"/>
      <c r="G936" s="28"/>
      <c r="H936" s="37"/>
      <c r="I936" s="28"/>
      <c r="J936" s="28"/>
      <c r="K936" s="28"/>
      <c r="L936" s="29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4.25" customHeight="1" x14ac:dyDescent="0.25">
      <c r="A937" s="36"/>
      <c r="B937" s="27"/>
      <c r="C937" s="28"/>
      <c r="D937" s="28"/>
      <c r="E937" s="29"/>
      <c r="F937" s="28"/>
      <c r="G937" s="28"/>
      <c r="H937" s="37"/>
      <c r="I937" s="28"/>
      <c r="J937" s="28"/>
      <c r="K937" s="28"/>
      <c r="L937" s="29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4.25" customHeight="1" x14ac:dyDescent="0.25">
      <c r="A938" s="36"/>
      <c r="B938" s="27"/>
      <c r="C938" s="28"/>
      <c r="D938" s="28"/>
      <c r="E938" s="29"/>
      <c r="F938" s="28"/>
      <c r="G938" s="28"/>
      <c r="H938" s="37"/>
      <c r="I938" s="28"/>
      <c r="J938" s="28"/>
      <c r="K938" s="28"/>
      <c r="L938" s="29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4.25" customHeight="1" x14ac:dyDescent="0.25">
      <c r="A939" s="36"/>
      <c r="B939" s="27"/>
      <c r="C939" s="28"/>
      <c r="D939" s="28"/>
      <c r="E939" s="29"/>
      <c r="F939" s="28"/>
      <c r="G939" s="28"/>
      <c r="H939" s="37"/>
      <c r="I939" s="28"/>
      <c r="J939" s="28"/>
      <c r="K939" s="28"/>
      <c r="L939" s="29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4.25" customHeight="1" x14ac:dyDescent="0.25">
      <c r="A940" s="36"/>
      <c r="B940" s="27"/>
      <c r="C940" s="28"/>
      <c r="D940" s="28"/>
      <c r="E940" s="29"/>
      <c r="F940" s="28"/>
      <c r="G940" s="28"/>
      <c r="H940" s="37"/>
      <c r="I940" s="28"/>
      <c r="J940" s="28"/>
      <c r="K940" s="28"/>
      <c r="L940" s="29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4.25" customHeight="1" x14ac:dyDescent="0.25">
      <c r="A941" s="36"/>
      <c r="B941" s="27"/>
      <c r="C941" s="28"/>
      <c r="D941" s="28"/>
      <c r="E941" s="29"/>
      <c r="F941" s="28"/>
      <c r="G941" s="28"/>
      <c r="H941" s="37"/>
      <c r="I941" s="28"/>
      <c r="J941" s="28"/>
      <c r="K941" s="28"/>
      <c r="L941" s="29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4.25" customHeight="1" x14ac:dyDescent="0.25">
      <c r="A942" s="36"/>
      <c r="B942" s="27"/>
      <c r="C942" s="28"/>
      <c r="D942" s="28"/>
      <c r="E942" s="29"/>
      <c r="F942" s="28"/>
      <c r="G942" s="28"/>
      <c r="H942" s="37"/>
      <c r="I942" s="28"/>
      <c r="J942" s="28"/>
      <c r="K942" s="28"/>
      <c r="L942" s="29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4.25" customHeight="1" x14ac:dyDescent="0.25">
      <c r="A943" s="36"/>
      <c r="B943" s="27"/>
      <c r="C943" s="28"/>
      <c r="D943" s="28"/>
      <c r="E943" s="29"/>
      <c r="F943" s="28"/>
      <c r="G943" s="28"/>
      <c r="H943" s="37"/>
      <c r="I943" s="28"/>
      <c r="J943" s="28"/>
      <c r="K943" s="28"/>
      <c r="L943" s="29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4.25" customHeight="1" x14ac:dyDescent="0.25">
      <c r="A944" s="36"/>
      <c r="B944" s="27"/>
      <c r="C944" s="28"/>
      <c r="D944" s="28"/>
      <c r="E944" s="29"/>
      <c r="F944" s="28"/>
      <c r="G944" s="28"/>
      <c r="H944" s="37"/>
      <c r="I944" s="28"/>
      <c r="J944" s="28"/>
      <c r="K944" s="28"/>
      <c r="L944" s="29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4.25" customHeight="1" x14ac:dyDescent="0.25">
      <c r="A945" s="36"/>
      <c r="B945" s="27"/>
      <c r="C945" s="28"/>
      <c r="D945" s="28"/>
      <c r="E945" s="29"/>
      <c r="F945" s="28"/>
      <c r="G945" s="28"/>
      <c r="H945" s="37"/>
      <c r="I945" s="28"/>
      <c r="J945" s="28"/>
      <c r="K945" s="28"/>
      <c r="L945" s="29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4.25" customHeight="1" x14ac:dyDescent="0.25">
      <c r="A946" s="36"/>
      <c r="B946" s="27"/>
      <c r="C946" s="28"/>
      <c r="D946" s="28"/>
      <c r="E946" s="29"/>
      <c r="F946" s="28"/>
      <c r="G946" s="28"/>
      <c r="H946" s="37"/>
      <c r="I946" s="28"/>
      <c r="J946" s="28"/>
      <c r="K946" s="28"/>
      <c r="L946" s="29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4.25" customHeight="1" x14ac:dyDescent="0.25">
      <c r="A947" s="36"/>
      <c r="B947" s="27"/>
      <c r="C947" s="28"/>
      <c r="D947" s="28"/>
      <c r="E947" s="29"/>
      <c r="F947" s="28"/>
      <c r="G947" s="28"/>
      <c r="H947" s="37"/>
      <c r="I947" s="28"/>
      <c r="J947" s="28"/>
      <c r="K947" s="28"/>
      <c r="L947" s="29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4.25" customHeight="1" x14ac:dyDescent="0.25">
      <c r="A948" s="36"/>
      <c r="B948" s="27"/>
      <c r="C948" s="28"/>
      <c r="D948" s="28"/>
      <c r="E948" s="29"/>
      <c r="F948" s="28"/>
      <c r="G948" s="28"/>
      <c r="H948" s="37"/>
      <c r="I948" s="28"/>
      <c r="J948" s="28"/>
      <c r="K948" s="28"/>
      <c r="L948" s="29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4.25" customHeight="1" x14ac:dyDescent="0.25">
      <c r="A949" s="36"/>
      <c r="B949" s="27"/>
      <c r="C949" s="28"/>
      <c r="D949" s="28"/>
      <c r="E949" s="29"/>
      <c r="F949" s="28"/>
      <c r="G949" s="28"/>
      <c r="H949" s="37"/>
      <c r="I949" s="28"/>
      <c r="J949" s="28"/>
      <c r="K949" s="28"/>
      <c r="L949" s="29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4.25" customHeight="1" x14ac:dyDescent="0.25">
      <c r="A950" s="36"/>
      <c r="B950" s="27"/>
      <c r="C950" s="28"/>
      <c r="D950" s="28"/>
      <c r="E950" s="29"/>
      <c r="F950" s="28"/>
      <c r="G950" s="28"/>
      <c r="H950" s="37"/>
      <c r="I950" s="28"/>
      <c r="J950" s="28"/>
      <c r="K950" s="28"/>
      <c r="L950" s="29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4.25" customHeight="1" x14ac:dyDescent="0.25">
      <c r="A951" s="36"/>
      <c r="B951" s="27"/>
      <c r="C951" s="28"/>
      <c r="D951" s="28"/>
      <c r="E951" s="29"/>
      <c r="F951" s="28"/>
      <c r="G951" s="28"/>
      <c r="H951" s="37"/>
      <c r="I951" s="28"/>
      <c r="J951" s="28"/>
      <c r="K951" s="28"/>
      <c r="L951" s="29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4.25" customHeight="1" x14ac:dyDescent="0.25">
      <c r="A952" s="36"/>
      <c r="B952" s="27"/>
      <c r="C952" s="28"/>
      <c r="D952" s="28"/>
      <c r="E952" s="29"/>
      <c r="F952" s="28"/>
      <c r="G952" s="28"/>
      <c r="H952" s="37"/>
      <c r="I952" s="28"/>
      <c r="J952" s="28"/>
      <c r="K952" s="28"/>
      <c r="L952" s="29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4.25" customHeight="1" x14ac:dyDescent="0.25">
      <c r="A953" s="36"/>
      <c r="B953" s="27"/>
      <c r="C953" s="28"/>
      <c r="D953" s="28"/>
      <c r="E953" s="29"/>
      <c r="F953" s="28"/>
      <c r="G953" s="28"/>
      <c r="H953" s="37"/>
      <c r="I953" s="28"/>
      <c r="J953" s="28"/>
      <c r="K953" s="28"/>
      <c r="L953" s="29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4.25" customHeight="1" x14ac:dyDescent="0.25">
      <c r="A954" s="36"/>
      <c r="B954" s="27"/>
      <c r="C954" s="28"/>
      <c r="D954" s="28"/>
      <c r="E954" s="29"/>
      <c r="F954" s="28"/>
      <c r="G954" s="28"/>
      <c r="H954" s="37"/>
      <c r="I954" s="28"/>
      <c r="J954" s="28"/>
      <c r="K954" s="28"/>
      <c r="L954" s="29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4.25" customHeight="1" x14ac:dyDescent="0.25">
      <c r="A955" s="36"/>
      <c r="B955" s="27"/>
      <c r="C955" s="28"/>
      <c r="D955" s="28"/>
      <c r="E955" s="29"/>
      <c r="F955" s="28"/>
      <c r="G955" s="28"/>
      <c r="H955" s="37"/>
      <c r="I955" s="28"/>
      <c r="J955" s="28"/>
      <c r="K955" s="28"/>
      <c r="L955" s="29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4.25" customHeight="1" x14ac:dyDescent="0.25">
      <c r="A956" s="36"/>
      <c r="B956" s="27"/>
      <c r="C956" s="28"/>
      <c r="D956" s="28"/>
      <c r="E956" s="29"/>
      <c r="F956" s="28"/>
      <c r="G956" s="28"/>
      <c r="H956" s="37"/>
      <c r="I956" s="28"/>
      <c r="J956" s="28"/>
      <c r="K956" s="28"/>
      <c r="L956" s="29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4.25" customHeight="1" x14ac:dyDescent="0.25">
      <c r="A957" s="36"/>
      <c r="B957" s="27"/>
      <c r="C957" s="28"/>
      <c r="D957" s="28"/>
      <c r="E957" s="29"/>
      <c r="F957" s="28"/>
      <c r="G957" s="28"/>
      <c r="H957" s="37"/>
      <c r="I957" s="28"/>
      <c r="J957" s="28"/>
      <c r="K957" s="28"/>
      <c r="L957" s="29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4.25" customHeight="1" x14ac:dyDescent="0.25">
      <c r="A958" s="36"/>
      <c r="B958" s="27"/>
      <c r="C958" s="28"/>
      <c r="D958" s="28"/>
      <c r="E958" s="29"/>
      <c r="F958" s="28"/>
      <c r="G958" s="28"/>
      <c r="H958" s="37"/>
      <c r="I958" s="28"/>
      <c r="J958" s="28"/>
      <c r="K958" s="28"/>
      <c r="L958" s="29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4.25" customHeight="1" x14ac:dyDescent="0.25">
      <c r="A959" s="36"/>
      <c r="B959" s="27"/>
      <c r="C959" s="28"/>
      <c r="D959" s="28"/>
      <c r="E959" s="29"/>
      <c r="F959" s="28"/>
      <c r="G959" s="28"/>
      <c r="H959" s="37"/>
      <c r="I959" s="28"/>
      <c r="J959" s="28"/>
      <c r="K959" s="28"/>
      <c r="L959" s="29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4.25" customHeight="1" x14ac:dyDescent="0.25">
      <c r="A960" s="36"/>
      <c r="B960" s="27"/>
      <c r="C960" s="28"/>
      <c r="D960" s="28"/>
      <c r="E960" s="29"/>
      <c r="F960" s="28"/>
      <c r="G960" s="28"/>
      <c r="H960" s="37"/>
      <c r="I960" s="28"/>
      <c r="J960" s="28"/>
      <c r="K960" s="28"/>
      <c r="L960" s="29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4.25" customHeight="1" x14ac:dyDescent="0.25">
      <c r="A961" s="36"/>
      <c r="B961" s="27"/>
      <c r="C961" s="28"/>
      <c r="D961" s="28"/>
      <c r="E961" s="29"/>
      <c r="F961" s="28"/>
      <c r="G961" s="28"/>
      <c r="H961" s="37"/>
      <c r="I961" s="28"/>
      <c r="J961" s="28"/>
      <c r="K961" s="28"/>
      <c r="L961" s="29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4.25" customHeight="1" x14ac:dyDescent="0.25">
      <c r="A962" s="36"/>
      <c r="B962" s="27"/>
      <c r="C962" s="28"/>
      <c r="D962" s="28"/>
      <c r="E962" s="29"/>
      <c r="F962" s="28"/>
      <c r="G962" s="28"/>
      <c r="H962" s="37"/>
      <c r="I962" s="28"/>
      <c r="J962" s="28"/>
      <c r="K962" s="28"/>
      <c r="L962" s="29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4.25" customHeight="1" x14ac:dyDescent="0.25">
      <c r="A963" s="36"/>
      <c r="B963" s="27"/>
      <c r="C963" s="28"/>
      <c r="D963" s="28"/>
      <c r="E963" s="29"/>
      <c r="F963" s="28"/>
      <c r="G963" s="28"/>
      <c r="H963" s="37"/>
      <c r="I963" s="28"/>
      <c r="J963" s="28"/>
      <c r="K963" s="28"/>
      <c r="L963" s="29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4.25" customHeight="1" x14ac:dyDescent="0.25">
      <c r="A964" s="36"/>
      <c r="B964" s="27"/>
      <c r="C964" s="28"/>
      <c r="D964" s="28"/>
      <c r="E964" s="29"/>
      <c r="F964" s="28"/>
      <c r="G964" s="28"/>
      <c r="H964" s="37"/>
      <c r="I964" s="28"/>
      <c r="J964" s="28"/>
      <c r="K964" s="28"/>
      <c r="L964" s="29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4.25" customHeight="1" x14ac:dyDescent="0.25">
      <c r="A965" s="36"/>
      <c r="B965" s="27"/>
      <c r="C965" s="28"/>
      <c r="D965" s="28"/>
      <c r="E965" s="29"/>
      <c r="F965" s="28"/>
      <c r="G965" s="28"/>
      <c r="H965" s="37"/>
      <c r="I965" s="28"/>
      <c r="J965" s="28"/>
      <c r="K965" s="28"/>
      <c r="L965" s="29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4.25" customHeight="1" x14ac:dyDescent="0.25">
      <c r="A966" s="36"/>
      <c r="B966" s="27"/>
      <c r="C966" s="28"/>
      <c r="D966" s="28"/>
      <c r="E966" s="29"/>
      <c r="F966" s="28"/>
      <c r="G966" s="28"/>
      <c r="H966" s="37"/>
      <c r="I966" s="28"/>
      <c r="J966" s="28"/>
      <c r="K966" s="28"/>
      <c r="L966" s="29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4.25" customHeight="1" x14ac:dyDescent="0.25">
      <c r="A967" s="36"/>
      <c r="B967" s="27"/>
      <c r="C967" s="28"/>
      <c r="D967" s="28"/>
      <c r="E967" s="29"/>
      <c r="F967" s="28"/>
      <c r="G967" s="28"/>
      <c r="H967" s="37"/>
      <c r="I967" s="28"/>
      <c r="J967" s="28"/>
      <c r="K967" s="28"/>
      <c r="L967" s="29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4.25" customHeight="1" x14ac:dyDescent="0.25">
      <c r="A968" s="36"/>
      <c r="B968" s="27"/>
      <c r="C968" s="28"/>
      <c r="D968" s="28"/>
      <c r="E968" s="29"/>
      <c r="F968" s="28"/>
      <c r="G968" s="28"/>
      <c r="H968" s="37"/>
      <c r="I968" s="28"/>
      <c r="J968" s="28"/>
      <c r="K968" s="28"/>
      <c r="L968" s="29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4.25" customHeight="1" x14ac:dyDescent="0.25">
      <c r="A969" s="36"/>
      <c r="B969" s="27"/>
      <c r="C969" s="28"/>
      <c r="D969" s="28"/>
      <c r="E969" s="29"/>
      <c r="F969" s="28"/>
      <c r="G969" s="28"/>
      <c r="H969" s="37"/>
      <c r="I969" s="28"/>
      <c r="J969" s="28"/>
      <c r="K969" s="28"/>
      <c r="L969" s="29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4.25" customHeight="1" x14ac:dyDescent="0.25">
      <c r="A970" s="36"/>
      <c r="B970" s="27"/>
      <c r="C970" s="28"/>
      <c r="D970" s="28"/>
      <c r="E970" s="29"/>
      <c r="F970" s="28"/>
      <c r="G970" s="28"/>
      <c r="H970" s="37"/>
      <c r="I970" s="28"/>
      <c r="J970" s="28"/>
      <c r="K970" s="28"/>
      <c r="L970" s="29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4.25" customHeight="1" x14ac:dyDescent="0.25">
      <c r="A971" s="36"/>
      <c r="B971" s="27"/>
      <c r="C971" s="28"/>
      <c r="D971" s="28"/>
      <c r="E971" s="29"/>
      <c r="F971" s="28"/>
      <c r="G971" s="28"/>
      <c r="H971" s="37"/>
      <c r="I971" s="28"/>
      <c r="J971" s="28"/>
      <c r="K971" s="28"/>
      <c r="L971" s="29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4.25" customHeight="1" x14ac:dyDescent="0.25">
      <c r="A972" s="36"/>
      <c r="B972" s="27"/>
      <c r="C972" s="28"/>
      <c r="D972" s="28"/>
      <c r="E972" s="29"/>
      <c r="F972" s="28"/>
      <c r="G972" s="28"/>
      <c r="H972" s="37"/>
      <c r="I972" s="28"/>
      <c r="J972" s="28"/>
      <c r="K972" s="28"/>
      <c r="L972" s="29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4.25" customHeight="1" x14ac:dyDescent="0.25">
      <c r="A973" s="36"/>
      <c r="B973" s="27"/>
      <c r="C973" s="28"/>
      <c r="D973" s="28"/>
      <c r="E973" s="29"/>
      <c r="F973" s="28"/>
      <c r="G973" s="28"/>
      <c r="H973" s="37"/>
      <c r="I973" s="28"/>
      <c r="J973" s="28"/>
      <c r="K973" s="28"/>
      <c r="L973" s="29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4.25" customHeight="1" x14ac:dyDescent="0.25">
      <c r="A974" s="36"/>
      <c r="B974" s="27"/>
      <c r="C974" s="28"/>
      <c r="D974" s="28"/>
      <c r="E974" s="29"/>
      <c r="F974" s="28"/>
      <c r="G974" s="28"/>
      <c r="H974" s="37"/>
      <c r="I974" s="28"/>
      <c r="J974" s="28"/>
      <c r="K974" s="28"/>
      <c r="L974" s="29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4.25" customHeight="1" x14ac:dyDescent="0.25">
      <c r="A975" s="36"/>
      <c r="B975" s="27"/>
      <c r="C975" s="28"/>
      <c r="D975" s="28"/>
      <c r="E975" s="29"/>
      <c r="F975" s="28"/>
      <c r="G975" s="28"/>
      <c r="H975" s="37"/>
      <c r="I975" s="28"/>
      <c r="J975" s="28"/>
      <c r="K975" s="28"/>
      <c r="L975" s="29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4.25" customHeight="1" x14ac:dyDescent="0.25">
      <c r="A976" s="36"/>
      <c r="B976" s="27"/>
      <c r="C976" s="28"/>
      <c r="D976" s="28"/>
      <c r="E976" s="29"/>
      <c r="F976" s="28"/>
      <c r="G976" s="28"/>
      <c r="H976" s="37"/>
      <c r="I976" s="28"/>
      <c r="J976" s="28"/>
      <c r="K976" s="28"/>
      <c r="L976" s="29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4.25" customHeight="1" x14ac:dyDescent="0.25">
      <c r="A977" s="36"/>
      <c r="B977" s="27"/>
      <c r="C977" s="28"/>
      <c r="D977" s="28"/>
      <c r="E977" s="29"/>
      <c r="F977" s="28"/>
      <c r="G977" s="28"/>
      <c r="H977" s="37"/>
      <c r="I977" s="28"/>
      <c r="J977" s="28"/>
      <c r="K977" s="28"/>
      <c r="L977" s="29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4.25" customHeight="1" x14ac:dyDescent="0.25">
      <c r="A978" s="36"/>
      <c r="B978" s="27"/>
      <c r="C978" s="28"/>
      <c r="D978" s="28"/>
      <c r="E978" s="29"/>
      <c r="F978" s="28"/>
      <c r="G978" s="28"/>
      <c r="H978" s="37"/>
      <c r="I978" s="28"/>
      <c r="J978" s="28"/>
      <c r="K978" s="28"/>
      <c r="L978" s="29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4.25" customHeight="1" x14ac:dyDescent="0.25">
      <c r="A979" s="36"/>
      <c r="B979" s="27"/>
      <c r="C979" s="28"/>
      <c r="D979" s="28"/>
      <c r="E979" s="29"/>
      <c r="F979" s="28"/>
      <c r="G979" s="28"/>
      <c r="H979" s="37"/>
      <c r="I979" s="28"/>
      <c r="J979" s="28"/>
      <c r="K979" s="28"/>
      <c r="L979" s="29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4.25" customHeight="1" x14ac:dyDescent="0.25">
      <c r="A980" s="36"/>
      <c r="B980" s="27"/>
      <c r="C980" s="28"/>
      <c r="D980" s="28"/>
      <c r="E980" s="29"/>
      <c r="F980" s="28"/>
      <c r="G980" s="28"/>
      <c r="H980" s="37"/>
      <c r="I980" s="28"/>
      <c r="J980" s="28"/>
      <c r="K980" s="28"/>
      <c r="L980" s="29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4.25" customHeight="1" x14ac:dyDescent="0.25">
      <c r="A981" s="36"/>
      <c r="B981" s="27"/>
      <c r="C981" s="28"/>
      <c r="D981" s="28"/>
      <c r="E981" s="29"/>
      <c r="F981" s="28"/>
      <c r="G981" s="28"/>
      <c r="H981" s="37"/>
      <c r="I981" s="28"/>
      <c r="J981" s="28"/>
      <c r="K981" s="28"/>
      <c r="L981" s="29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4.25" customHeight="1" x14ac:dyDescent="0.25">
      <c r="A982" s="36"/>
      <c r="B982" s="27"/>
      <c r="C982" s="28"/>
      <c r="D982" s="28"/>
      <c r="E982" s="29"/>
      <c r="F982" s="28"/>
      <c r="G982" s="28"/>
      <c r="H982" s="37"/>
      <c r="I982" s="28"/>
      <c r="J982" s="28"/>
      <c r="K982" s="28"/>
      <c r="L982" s="29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4.25" customHeight="1" x14ac:dyDescent="0.25">
      <c r="A983" s="36"/>
      <c r="B983" s="27"/>
      <c r="C983" s="28"/>
      <c r="D983" s="28"/>
      <c r="E983" s="29"/>
      <c r="F983" s="28"/>
      <c r="G983" s="28"/>
      <c r="H983" s="37"/>
      <c r="I983" s="28"/>
      <c r="J983" s="28"/>
      <c r="K983" s="28"/>
      <c r="L983" s="29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4.25" customHeight="1" x14ac:dyDescent="0.25">
      <c r="A984" s="36"/>
      <c r="B984" s="27"/>
      <c r="C984" s="28"/>
      <c r="D984" s="28"/>
      <c r="E984" s="29"/>
      <c r="F984" s="28"/>
      <c r="G984" s="28"/>
      <c r="H984" s="37"/>
      <c r="I984" s="28"/>
      <c r="J984" s="28"/>
      <c r="K984" s="28"/>
      <c r="L984" s="29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4.25" customHeight="1" x14ac:dyDescent="0.25">
      <c r="A985" s="36"/>
      <c r="B985" s="27"/>
      <c r="C985" s="28"/>
      <c r="D985" s="28"/>
      <c r="E985" s="29"/>
      <c r="F985" s="28"/>
      <c r="G985" s="28"/>
      <c r="H985" s="37"/>
      <c r="I985" s="28"/>
      <c r="J985" s="28"/>
      <c r="K985" s="28"/>
      <c r="L985" s="29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4.25" customHeight="1" x14ac:dyDescent="0.25">
      <c r="A986" s="36"/>
      <c r="B986" s="27"/>
      <c r="C986" s="28"/>
      <c r="D986" s="28"/>
      <c r="E986" s="29"/>
      <c r="F986" s="28"/>
      <c r="G986" s="28"/>
      <c r="H986" s="37"/>
      <c r="I986" s="28"/>
      <c r="J986" s="28"/>
      <c r="K986" s="28"/>
      <c r="L986" s="29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4.25" customHeight="1" x14ac:dyDescent="0.25">
      <c r="A987" s="36"/>
      <c r="B987" s="27"/>
      <c r="C987" s="28"/>
      <c r="D987" s="28"/>
      <c r="E987" s="29"/>
      <c r="F987" s="28"/>
      <c r="G987" s="28"/>
      <c r="H987" s="37"/>
      <c r="I987" s="28"/>
      <c r="J987" s="28"/>
      <c r="K987" s="28"/>
      <c r="L987" s="29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4.25" customHeight="1" x14ac:dyDescent="0.25">
      <c r="A988" s="36"/>
      <c r="B988" s="27"/>
      <c r="C988" s="28"/>
      <c r="D988" s="28"/>
      <c r="E988" s="29"/>
      <c r="F988" s="28"/>
      <c r="G988" s="28"/>
      <c r="H988" s="37"/>
      <c r="I988" s="28"/>
      <c r="J988" s="28"/>
      <c r="K988" s="28"/>
      <c r="L988" s="29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4.25" customHeight="1" x14ac:dyDescent="0.25">
      <c r="A989" s="36"/>
      <c r="B989" s="27"/>
      <c r="C989" s="28"/>
      <c r="D989" s="28"/>
      <c r="E989" s="29"/>
      <c r="F989" s="28"/>
      <c r="G989" s="28"/>
      <c r="H989" s="37"/>
      <c r="I989" s="28"/>
      <c r="J989" s="28"/>
      <c r="K989" s="28"/>
      <c r="L989" s="29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4.25" customHeight="1" x14ac:dyDescent="0.25">
      <c r="A990" s="36"/>
      <c r="B990" s="27"/>
      <c r="C990" s="28"/>
      <c r="D990" s="28"/>
      <c r="E990" s="29"/>
      <c r="F990" s="28"/>
      <c r="G990" s="28"/>
      <c r="H990" s="37"/>
      <c r="I990" s="28"/>
      <c r="J990" s="28"/>
      <c r="K990" s="28"/>
      <c r="L990" s="29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4.25" customHeight="1" x14ac:dyDescent="0.25">
      <c r="A991" s="36"/>
      <c r="B991" s="27"/>
      <c r="C991" s="28"/>
      <c r="D991" s="28"/>
      <c r="E991" s="29"/>
      <c r="F991" s="28"/>
      <c r="G991" s="28"/>
      <c r="H991" s="37"/>
      <c r="I991" s="28"/>
      <c r="J991" s="28"/>
      <c r="K991" s="28"/>
      <c r="L991" s="29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4.25" customHeight="1" x14ac:dyDescent="0.25">
      <c r="A992" s="36"/>
      <c r="B992" s="27"/>
      <c r="C992" s="28"/>
      <c r="D992" s="28"/>
      <c r="E992" s="29"/>
      <c r="F992" s="28"/>
      <c r="G992" s="28"/>
      <c r="H992" s="37"/>
      <c r="I992" s="28"/>
      <c r="J992" s="28"/>
      <c r="K992" s="28"/>
      <c r="L992" s="29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4.25" customHeight="1" x14ac:dyDescent="0.25">
      <c r="A993" s="36"/>
      <c r="B993" s="27"/>
      <c r="C993" s="28"/>
      <c r="D993" s="28"/>
      <c r="E993" s="29"/>
      <c r="F993" s="28"/>
      <c r="G993" s="28"/>
      <c r="H993" s="37"/>
      <c r="I993" s="28"/>
      <c r="J993" s="28"/>
      <c r="K993" s="28"/>
      <c r="L993" s="29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4.25" customHeight="1" x14ac:dyDescent="0.25">
      <c r="A994" s="36"/>
      <c r="B994" s="27"/>
      <c r="C994" s="28"/>
      <c r="D994" s="28"/>
      <c r="E994" s="29"/>
      <c r="F994" s="28"/>
      <c r="G994" s="28"/>
      <c r="H994" s="37"/>
      <c r="I994" s="28"/>
      <c r="J994" s="28"/>
      <c r="K994" s="28"/>
      <c r="L994" s="29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4.25" customHeight="1" x14ac:dyDescent="0.25">
      <c r="A995" s="36"/>
      <c r="B995" s="27"/>
      <c r="C995" s="28"/>
      <c r="D995" s="28"/>
      <c r="E995" s="29"/>
      <c r="F995" s="28"/>
      <c r="G995" s="28"/>
      <c r="H995" s="37"/>
      <c r="I995" s="28"/>
      <c r="J995" s="28"/>
      <c r="K995" s="28"/>
      <c r="L995" s="29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4.25" customHeight="1" x14ac:dyDescent="0.25">
      <c r="A996" s="36"/>
      <c r="B996" s="27"/>
      <c r="C996" s="28"/>
      <c r="D996" s="28"/>
      <c r="E996" s="29"/>
      <c r="F996" s="28"/>
      <c r="G996" s="28"/>
      <c r="H996" s="37"/>
      <c r="I996" s="28"/>
      <c r="J996" s="28"/>
      <c r="K996" s="28"/>
      <c r="L996" s="29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4.25" customHeight="1" x14ac:dyDescent="0.25">
      <c r="A997" s="36"/>
      <c r="B997" s="27"/>
      <c r="C997" s="28"/>
      <c r="D997" s="28"/>
      <c r="E997" s="29"/>
      <c r="F997" s="28"/>
      <c r="G997" s="28"/>
      <c r="H997" s="37"/>
      <c r="I997" s="28"/>
      <c r="J997" s="28"/>
      <c r="K997" s="28"/>
      <c r="L997" s="29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4.25" customHeight="1" x14ac:dyDescent="0.25">
      <c r="A998" s="36"/>
      <c r="B998" s="27"/>
      <c r="C998" s="28"/>
      <c r="D998" s="28"/>
      <c r="E998" s="29"/>
      <c r="F998" s="28"/>
      <c r="G998" s="28"/>
      <c r="H998" s="37"/>
      <c r="I998" s="28"/>
      <c r="J998" s="28"/>
      <c r="K998" s="28"/>
      <c r="L998" s="29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4.25" customHeight="1" x14ac:dyDescent="0.25">
      <c r="A999" s="36"/>
      <c r="B999" s="27"/>
      <c r="C999" s="28"/>
      <c r="D999" s="28"/>
      <c r="E999" s="29"/>
      <c r="F999" s="28"/>
      <c r="G999" s="28"/>
      <c r="H999" s="37"/>
      <c r="I999" s="28"/>
      <c r="J999" s="28"/>
      <c r="K999" s="28"/>
      <c r="L999" s="29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4.25" customHeight="1" x14ac:dyDescent="0.25">
      <c r="A1000" s="36"/>
      <c r="B1000" s="27"/>
      <c r="C1000" s="28"/>
      <c r="D1000" s="28"/>
      <c r="E1000" s="29"/>
      <c r="F1000" s="28"/>
      <c r="G1000" s="28"/>
      <c r="H1000" s="37"/>
      <c r="I1000" s="28"/>
      <c r="J1000" s="28"/>
      <c r="K1000" s="28"/>
      <c r="L1000" s="29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dataValidations count="1">
    <dataValidation type="list" allowBlank="1" showErrorMessage="1" sqref="B2:B130 E2:E130">
      <formula1>#REF!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4.42578125" defaultRowHeight="15" customHeight="1" x14ac:dyDescent="0.25"/>
  <cols>
    <col min="1" max="1" width="29" customWidth="1"/>
    <col min="2" max="2" width="14.5703125" customWidth="1"/>
    <col min="3" max="3" width="18.28515625" customWidth="1"/>
    <col min="4" max="4" width="28" customWidth="1"/>
    <col min="5" max="5" width="71" customWidth="1"/>
    <col min="6" max="6" width="11.85546875" customWidth="1"/>
    <col min="7" max="26" width="8.7109375" customWidth="1"/>
  </cols>
  <sheetData>
    <row r="1" spans="1:7" ht="14.25" customHeight="1" x14ac:dyDescent="0.25">
      <c r="A1" s="38" t="s">
        <v>0</v>
      </c>
      <c r="B1" s="38" t="s">
        <v>3</v>
      </c>
      <c r="C1" s="28" t="s">
        <v>5</v>
      </c>
      <c r="D1" s="28" t="s">
        <v>138</v>
      </c>
      <c r="E1" s="28" t="s">
        <v>139</v>
      </c>
      <c r="F1" s="28" t="s">
        <v>140</v>
      </c>
    </row>
    <row r="2" spans="1:7" ht="14.25" customHeight="1" x14ac:dyDescent="0.25">
      <c r="A2" s="38">
        <v>45701</v>
      </c>
      <c r="B2" s="38" t="s">
        <v>14</v>
      </c>
      <c r="C2" s="28" t="s">
        <v>16</v>
      </c>
      <c r="D2" s="28" t="s">
        <v>49</v>
      </c>
      <c r="E2" s="25" t="s">
        <v>141</v>
      </c>
      <c r="F2" s="28">
        <v>5</v>
      </c>
    </row>
    <row r="3" spans="1:7" ht="14.25" customHeight="1" x14ac:dyDescent="0.25">
      <c r="A3" s="38">
        <v>45702</v>
      </c>
      <c r="B3" s="38" t="s">
        <v>14</v>
      </c>
      <c r="C3" s="16" t="s">
        <v>16</v>
      </c>
      <c r="D3" s="16" t="s">
        <v>18</v>
      </c>
      <c r="E3" s="16" t="s">
        <v>142</v>
      </c>
      <c r="F3" s="16">
        <v>5</v>
      </c>
    </row>
    <row r="4" spans="1:7" ht="14.25" customHeight="1" x14ac:dyDescent="0.25">
      <c r="A4" s="38">
        <v>45703</v>
      </c>
      <c r="B4" s="38" t="s">
        <v>14</v>
      </c>
      <c r="C4" s="16" t="s">
        <v>28</v>
      </c>
      <c r="D4" s="16" t="s">
        <v>29</v>
      </c>
      <c r="E4" s="16" t="s">
        <v>143</v>
      </c>
      <c r="F4" s="16">
        <v>4</v>
      </c>
    </row>
    <row r="5" spans="1:7" ht="14.25" customHeight="1" x14ac:dyDescent="0.25">
      <c r="A5" s="38">
        <v>45704</v>
      </c>
      <c r="B5" s="38" t="s">
        <v>14</v>
      </c>
      <c r="C5" s="16" t="s">
        <v>32</v>
      </c>
      <c r="D5" s="16" t="s">
        <v>33</v>
      </c>
      <c r="E5" s="16" t="s">
        <v>144</v>
      </c>
      <c r="F5" s="16">
        <v>5</v>
      </c>
    </row>
    <row r="6" spans="1:7" ht="14.25" customHeight="1" x14ac:dyDescent="0.25">
      <c r="A6" s="38">
        <v>45705</v>
      </c>
      <c r="B6" s="38" t="s">
        <v>14</v>
      </c>
      <c r="C6" s="16" t="s">
        <v>24</v>
      </c>
      <c r="D6" s="16" t="s">
        <v>25</v>
      </c>
      <c r="E6" s="16" t="s">
        <v>145</v>
      </c>
      <c r="F6" s="16">
        <v>4</v>
      </c>
    </row>
    <row r="7" spans="1:7" ht="14.25" customHeight="1" x14ac:dyDescent="0.25">
      <c r="A7" s="38">
        <v>45706</v>
      </c>
      <c r="B7" s="38" t="s">
        <v>14</v>
      </c>
      <c r="C7" s="16" t="s">
        <v>35</v>
      </c>
      <c r="D7" s="16" t="s">
        <v>36</v>
      </c>
      <c r="E7" s="16" t="s">
        <v>146</v>
      </c>
      <c r="F7" s="16">
        <v>5</v>
      </c>
    </row>
    <row r="8" spans="1:7" ht="14.25" customHeight="1" x14ac:dyDescent="0.25">
      <c r="A8" s="38">
        <v>45707</v>
      </c>
      <c r="B8" s="38" t="s">
        <v>14</v>
      </c>
      <c r="C8" s="16" t="s">
        <v>147</v>
      </c>
      <c r="D8" s="16" t="s">
        <v>38</v>
      </c>
      <c r="E8" s="16" t="s">
        <v>148</v>
      </c>
      <c r="F8" s="16">
        <v>4</v>
      </c>
    </row>
    <row r="9" spans="1:7" ht="14.25" customHeight="1" x14ac:dyDescent="0.25">
      <c r="A9" s="38">
        <v>45708</v>
      </c>
      <c r="B9" s="38" t="s">
        <v>14</v>
      </c>
      <c r="C9" s="16" t="s">
        <v>39</v>
      </c>
      <c r="D9" s="16" t="s">
        <v>40</v>
      </c>
      <c r="E9" s="16" t="s">
        <v>149</v>
      </c>
      <c r="F9" s="16">
        <v>5</v>
      </c>
      <c r="G9" s="25" t="s">
        <v>150</v>
      </c>
    </row>
    <row r="10" spans="1:7" ht="14.25" customHeight="1" x14ac:dyDescent="0.25">
      <c r="A10" s="38">
        <v>45709</v>
      </c>
      <c r="B10" s="38" t="s">
        <v>14</v>
      </c>
      <c r="C10" s="16" t="s">
        <v>151</v>
      </c>
      <c r="D10" s="16"/>
      <c r="E10" s="16" t="s">
        <v>152</v>
      </c>
      <c r="F10" s="16">
        <v>4</v>
      </c>
    </row>
    <row r="11" spans="1:7" ht="14.25" customHeight="1" x14ac:dyDescent="0.25">
      <c r="A11" s="38"/>
      <c r="B11" s="38"/>
      <c r="C11" s="28"/>
      <c r="D11" s="28"/>
      <c r="E11" s="28"/>
      <c r="F11" s="28"/>
    </row>
    <row r="12" spans="1:7" ht="14.25" customHeight="1" x14ac:dyDescent="0.25">
      <c r="A12" s="38"/>
      <c r="B12" s="38"/>
      <c r="C12" s="28"/>
      <c r="D12" s="28"/>
      <c r="E12" s="28"/>
      <c r="F12" s="28"/>
    </row>
    <row r="13" spans="1:7" ht="14.25" customHeight="1" x14ac:dyDescent="0.25">
      <c r="A13" s="38"/>
      <c r="B13" s="38"/>
      <c r="C13" s="28"/>
      <c r="D13" s="28"/>
      <c r="E13" s="28"/>
      <c r="F13" s="28"/>
    </row>
    <row r="14" spans="1:7" ht="14.25" customHeight="1" x14ac:dyDescent="0.25">
      <c r="A14" s="38"/>
      <c r="B14" s="38"/>
      <c r="C14" s="28"/>
      <c r="D14" s="28"/>
      <c r="E14" s="28"/>
      <c r="F14" s="28"/>
    </row>
    <row r="15" spans="1:7" ht="14.25" customHeight="1" x14ac:dyDescent="0.25">
      <c r="A15" s="38"/>
      <c r="B15" s="38"/>
      <c r="C15" s="28"/>
      <c r="D15" s="28"/>
      <c r="E15" s="28"/>
      <c r="F15" s="28"/>
    </row>
    <row r="16" spans="1:7" ht="14.25" customHeight="1" x14ac:dyDescent="0.25">
      <c r="A16" s="38"/>
      <c r="B16" s="38"/>
      <c r="C16" s="28"/>
      <c r="D16" s="28"/>
      <c r="E16" s="28"/>
      <c r="F16" s="28"/>
    </row>
    <row r="17" spans="1:6" ht="14.25" customHeight="1" x14ac:dyDescent="0.25">
      <c r="A17" s="38"/>
      <c r="B17" s="38"/>
      <c r="C17" s="28"/>
      <c r="D17" s="28"/>
      <c r="E17" s="28"/>
      <c r="F17" s="28"/>
    </row>
    <row r="18" spans="1:6" ht="14.25" customHeight="1" x14ac:dyDescent="0.25">
      <c r="A18" s="38"/>
      <c r="B18" s="38"/>
      <c r="C18" s="28"/>
      <c r="D18" s="28"/>
      <c r="E18" s="28"/>
      <c r="F18" s="28"/>
    </row>
    <row r="19" spans="1:6" ht="14.25" customHeight="1" x14ac:dyDescent="0.25">
      <c r="A19" s="38"/>
      <c r="B19" s="38"/>
      <c r="C19" s="28"/>
      <c r="D19" s="28"/>
      <c r="E19" s="28"/>
      <c r="F19" s="28"/>
    </row>
    <row r="20" spans="1:6" ht="14.25" customHeight="1" x14ac:dyDescent="0.25">
      <c r="A20" s="38"/>
      <c r="B20" s="38"/>
      <c r="C20" s="28"/>
      <c r="D20" s="28"/>
      <c r="E20" s="28"/>
      <c r="F20" s="28"/>
    </row>
    <row r="21" spans="1:6" ht="14.25" customHeight="1" x14ac:dyDescent="0.25">
      <c r="A21" s="38"/>
      <c r="B21" s="38"/>
      <c r="C21" s="28"/>
      <c r="D21" s="28"/>
      <c r="E21" s="28"/>
      <c r="F21" s="28"/>
    </row>
    <row r="22" spans="1:6" ht="14.25" customHeight="1" x14ac:dyDescent="0.25">
      <c r="A22" s="38"/>
      <c r="B22" s="38"/>
      <c r="C22" s="28"/>
      <c r="D22" s="28"/>
      <c r="E22" s="28"/>
      <c r="F22" s="28"/>
    </row>
    <row r="23" spans="1:6" ht="14.25" customHeight="1" x14ac:dyDescent="0.25">
      <c r="A23" s="38"/>
      <c r="B23" s="38"/>
      <c r="C23" s="28"/>
      <c r="D23" s="28"/>
      <c r="E23" s="28"/>
      <c r="F23" s="28"/>
    </row>
    <row r="24" spans="1:6" ht="14.25" customHeight="1" x14ac:dyDescent="0.25">
      <c r="A24" s="38"/>
      <c r="B24" s="38"/>
      <c r="C24" s="28"/>
      <c r="D24" s="28"/>
      <c r="E24" s="28"/>
      <c r="F24" s="28"/>
    </row>
    <row r="25" spans="1:6" ht="14.25" customHeight="1" x14ac:dyDescent="0.25">
      <c r="A25" s="38"/>
      <c r="B25" s="38"/>
      <c r="C25" s="28"/>
      <c r="D25" s="28"/>
      <c r="E25" s="28"/>
      <c r="F25" s="28"/>
    </row>
    <row r="26" spans="1:6" ht="14.25" customHeight="1" x14ac:dyDescent="0.25">
      <c r="A26" s="38"/>
      <c r="B26" s="38"/>
      <c r="C26" s="28"/>
      <c r="D26" s="28"/>
      <c r="E26" s="28"/>
      <c r="F26" s="28"/>
    </row>
    <row r="27" spans="1:6" ht="14.25" customHeight="1" x14ac:dyDescent="0.25">
      <c r="A27" s="38"/>
      <c r="B27" s="38"/>
      <c r="C27" s="28"/>
      <c r="D27" s="28"/>
      <c r="E27" s="28"/>
      <c r="F27" s="28"/>
    </row>
    <row r="28" spans="1:6" ht="14.25" customHeight="1" x14ac:dyDescent="0.25">
      <c r="A28" s="38"/>
      <c r="B28" s="38"/>
      <c r="C28" s="28"/>
      <c r="D28" s="28"/>
      <c r="E28" s="28"/>
      <c r="F28" s="28"/>
    </row>
    <row r="29" spans="1:6" ht="14.25" customHeight="1" x14ac:dyDescent="0.25">
      <c r="A29" s="38"/>
      <c r="B29" s="38"/>
      <c r="C29" s="28"/>
      <c r="D29" s="28"/>
      <c r="E29" s="28"/>
      <c r="F29" s="28"/>
    </row>
    <row r="30" spans="1:6" ht="14.25" customHeight="1" x14ac:dyDescent="0.25">
      <c r="A30" s="38"/>
      <c r="B30" s="38"/>
      <c r="C30" s="28"/>
      <c r="D30" s="28"/>
      <c r="E30" s="28"/>
      <c r="F30" s="28"/>
    </row>
    <row r="31" spans="1:6" ht="14.25" customHeight="1" x14ac:dyDescent="0.25">
      <c r="A31" s="38"/>
      <c r="B31" s="38"/>
      <c r="C31" s="28"/>
      <c r="D31" s="28"/>
      <c r="E31" s="28"/>
      <c r="F31" s="28"/>
    </row>
    <row r="32" spans="1:6" ht="14.25" customHeight="1" x14ac:dyDescent="0.25">
      <c r="A32" s="38"/>
      <c r="B32" s="38"/>
      <c r="C32" s="28"/>
      <c r="D32" s="28"/>
      <c r="E32" s="28"/>
      <c r="F32" s="28"/>
    </row>
    <row r="33" spans="1:6" ht="14.25" customHeight="1" x14ac:dyDescent="0.25">
      <c r="A33" s="38"/>
      <c r="B33" s="38"/>
      <c r="C33" s="28"/>
      <c r="D33" s="28"/>
      <c r="E33" s="28"/>
      <c r="F33" s="28"/>
    </row>
    <row r="34" spans="1:6" ht="14.25" customHeight="1" x14ac:dyDescent="0.25">
      <c r="A34" s="38"/>
      <c r="B34" s="38"/>
      <c r="C34" s="28"/>
      <c r="D34" s="28"/>
      <c r="E34" s="28"/>
      <c r="F34" s="28"/>
    </row>
    <row r="35" spans="1:6" ht="14.25" customHeight="1" x14ac:dyDescent="0.25">
      <c r="A35" s="38"/>
      <c r="B35" s="38"/>
      <c r="C35" s="28"/>
      <c r="D35" s="28"/>
      <c r="E35" s="28"/>
      <c r="F35" s="28"/>
    </row>
    <row r="36" spans="1:6" ht="14.25" customHeight="1" x14ac:dyDescent="0.25">
      <c r="A36" s="38"/>
      <c r="B36" s="38"/>
      <c r="C36" s="28"/>
      <c r="D36" s="28"/>
      <c r="E36" s="28"/>
      <c r="F36" s="28"/>
    </row>
    <row r="37" spans="1:6" ht="14.25" customHeight="1" x14ac:dyDescent="0.25">
      <c r="A37" s="38"/>
      <c r="B37" s="38"/>
      <c r="C37" s="28"/>
      <c r="D37" s="28"/>
      <c r="E37" s="28"/>
      <c r="F37" s="28"/>
    </row>
    <row r="38" spans="1:6" ht="14.25" customHeight="1" x14ac:dyDescent="0.25">
      <c r="A38" s="38"/>
      <c r="B38" s="38"/>
      <c r="C38" s="28"/>
      <c r="D38" s="28"/>
      <c r="E38" s="28"/>
      <c r="F38" s="28"/>
    </row>
    <row r="39" spans="1:6" ht="14.25" customHeight="1" x14ac:dyDescent="0.25">
      <c r="A39" s="38"/>
      <c r="B39" s="38"/>
      <c r="C39" s="28"/>
      <c r="D39" s="28"/>
      <c r="E39" s="28"/>
      <c r="F39" s="28"/>
    </row>
    <row r="40" spans="1:6" ht="14.25" customHeight="1" x14ac:dyDescent="0.25">
      <c r="A40" s="38"/>
      <c r="B40" s="38"/>
      <c r="C40" s="28"/>
      <c r="D40" s="28"/>
      <c r="E40" s="28"/>
      <c r="F40" s="28"/>
    </row>
    <row r="41" spans="1:6" ht="14.25" customHeight="1" x14ac:dyDescent="0.25">
      <c r="A41" s="38"/>
      <c r="B41" s="38"/>
      <c r="C41" s="28"/>
      <c r="D41" s="28"/>
      <c r="E41" s="28"/>
      <c r="F41" s="28"/>
    </row>
    <row r="42" spans="1:6" ht="14.25" customHeight="1" x14ac:dyDescent="0.25">
      <c r="A42" s="38"/>
      <c r="B42" s="38"/>
      <c r="C42" s="28"/>
      <c r="D42" s="28"/>
      <c r="E42" s="28"/>
      <c r="F42" s="28"/>
    </row>
    <row r="43" spans="1:6" ht="14.25" customHeight="1" x14ac:dyDescent="0.25">
      <c r="A43" s="38"/>
      <c r="B43" s="38"/>
      <c r="C43" s="28"/>
      <c r="D43" s="28"/>
      <c r="E43" s="28"/>
      <c r="F43" s="28"/>
    </row>
    <row r="44" spans="1:6" ht="14.25" customHeight="1" x14ac:dyDescent="0.25">
      <c r="A44" s="38"/>
      <c r="B44" s="38"/>
      <c r="C44" s="28"/>
      <c r="D44" s="28"/>
      <c r="E44" s="28"/>
      <c r="F44" s="28"/>
    </row>
    <row r="45" spans="1:6" ht="14.25" customHeight="1" x14ac:dyDescent="0.25">
      <c r="A45" s="38"/>
      <c r="B45" s="38"/>
      <c r="C45" s="28"/>
      <c r="D45" s="28"/>
      <c r="E45" s="28"/>
      <c r="F45" s="28"/>
    </row>
    <row r="46" spans="1:6" ht="14.25" customHeight="1" x14ac:dyDescent="0.25">
      <c r="A46" s="38"/>
      <c r="B46" s="38"/>
      <c r="C46" s="28"/>
      <c r="D46" s="28"/>
      <c r="E46" s="28"/>
      <c r="F46" s="28"/>
    </row>
    <row r="47" spans="1:6" ht="14.25" customHeight="1" x14ac:dyDescent="0.25">
      <c r="A47" s="38"/>
      <c r="B47" s="38"/>
      <c r="C47" s="28"/>
      <c r="D47" s="28"/>
      <c r="E47" s="28"/>
      <c r="F47" s="28"/>
    </row>
    <row r="48" spans="1:6" ht="14.25" customHeight="1" x14ac:dyDescent="0.25">
      <c r="A48" s="38"/>
      <c r="B48" s="38"/>
      <c r="C48" s="28"/>
      <c r="D48" s="28"/>
      <c r="E48" s="28"/>
      <c r="F48" s="28"/>
    </row>
    <row r="49" spans="1:6" ht="14.25" customHeight="1" x14ac:dyDescent="0.25">
      <c r="A49" s="38"/>
      <c r="B49" s="38"/>
      <c r="C49" s="28"/>
      <c r="D49" s="28"/>
      <c r="E49" s="28"/>
      <c r="F49" s="28"/>
    </row>
    <row r="50" spans="1:6" ht="14.25" customHeight="1" x14ac:dyDescent="0.25">
      <c r="A50" s="38"/>
      <c r="B50" s="38"/>
      <c r="C50" s="28"/>
      <c r="D50" s="28"/>
      <c r="E50" s="28"/>
      <c r="F50" s="28"/>
    </row>
    <row r="51" spans="1:6" ht="14.25" customHeight="1" x14ac:dyDescent="0.25">
      <c r="A51" s="38"/>
      <c r="B51" s="38"/>
      <c r="C51" s="28"/>
      <c r="D51" s="28"/>
      <c r="E51" s="28"/>
      <c r="F51" s="28"/>
    </row>
    <row r="52" spans="1:6" ht="14.25" customHeight="1" x14ac:dyDescent="0.25">
      <c r="A52" s="38"/>
      <c r="B52" s="38"/>
      <c r="C52" s="28"/>
      <c r="D52" s="28"/>
      <c r="E52" s="28"/>
      <c r="F52" s="28"/>
    </row>
    <row r="53" spans="1:6" ht="14.25" customHeight="1" x14ac:dyDescent="0.25">
      <c r="A53" s="38"/>
      <c r="B53" s="38"/>
      <c r="C53" s="28"/>
      <c r="D53" s="28"/>
      <c r="E53" s="28"/>
      <c r="F53" s="28"/>
    </row>
    <row r="54" spans="1:6" ht="14.25" customHeight="1" x14ac:dyDescent="0.25">
      <c r="A54" s="38"/>
      <c r="B54" s="38"/>
      <c r="C54" s="28"/>
      <c r="D54" s="28"/>
      <c r="E54" s="28"/>
      <c r="F54" s="28"/>
    </row>
    <row r="55" spans="1:6" ht="14.25" customHeight="1" x14ac:dyDescent="0.25">
      <c r="A55" s="38"/>
      <c r="B55" s="38"/>
      <c r="C55" s="28"/>
      <c r="D55" s="28"/>
      <c r="E55" s="28"/>
      <c r="F55" s="28"/>
    </row>
    <row r="56" spans="1:6" ht="14.25" customHeight="1" x14ac:dyDescent="0.25">
      <c r="A56" s="38"/>
      <c r="B56" s="38"/>
      <c r="C56" s="28"/>
      <c r="D56" s="28"/>
      <c r="E56" s="28"/>
      <c r="F56" s="28"/>
    </row>
    <row r="57" spans="1:6" ht="14.25" customHeight="1" x14ac:dyDescent="0.25">
      <c r="A57" s="38"/>
      <c r="B57" s="28"/>
      <c r="C57" s="28"/>
      <c r="D57" s="28"/>
      <c r="E57" s="28"/>
    </row>
    <row r="58" spans="1:6" ht="14.25" customHeight="1" x14ac:dyDescent="0.25">
      <c r="A58" s="38"/>
      <c r="B58" s="28"/>
      <c r="C58" s="28"/>
      <c r="D58" s="28"/>
      <c r="E58" s="28"/>
    </row>
    <row r="59" spans="1:6" ht="14.25" customHeight="1" x14ac:dyDescent="0.25">
      <c r="A59" s="38"/>
      <c r="B59" s="28"/>
      <c r="C59" s="28"/>
      <c r="D59" s="28"/>
      <c r="E59" s="28"/>
    </row>
    <row r="60" spans="1:6" ht="14.25" customHeight="1" x14ac:dyDescent="0.25">
      <c r="A60" s="38"/>
      <c r="B60" s="28"/>
      <c r="C60" s="28"/>
      <c r="D60" s="28"/>
      <c r="E60" s="28"/>
    </row>
    <row r="61" spans="1:6" ht="14.25" customHeight="1" x14ac:dyDescent="0.25">
      <c r="A61" s="38"/>
      <c r="B61" s="28"/>
      <c r="C61" s="28"/>
      <c r="D61" s="28"/>
      <c r="E61" s="28"/>
    </row>
    <row r="62" spans="1:6" ht="14.25" customHeight="1" x14ac:dyDescent="0.25">
      <c r="A62" s="38"/>
      <c r="B62" s="28"/>
      <c r="C62" s="28"/>
      <c r="D62" s="28"/>
      <c r="E62" s="28"/>
    </row>
    <row r="63" spans="1:6" ht="14.25" customHeight="1" x14ac:dyDescent="0.25">
      <c r="A63" s="38"/>
      <c r="B63" s="28"/>
      <c r="C63" s="28"/>
      <c r="D63" s="28"/>
      <c r="E63" s="28"/>
    </row>
    <row r="64" spans="1:6" ht="14.25" customHeight="1" x14ac:dyDescent="0.25">
      <c r="A64" s="38"/>
      <c r="B64" s="28"/>
      <c r="C64" s="28"/>
      <c r="D64" s="28"/>
      <c r="E64" s="28"/>
    </row>
    <row r="65" spans="1:5" ht="14.25" customHeight="1" x14ac:dyDescent="0.25">
      <c r="A65" s="38"/>
      <c r="B65" s="28"/>
      <c r="C65" s="28"/>
      <c r="D65" s="28"/>
      <c r="E65" s="28"/>
    </row>
    <row r="66" spans="1:5" ht="14.25" customHeight="1" x14ac:dyDescent="0.25">
      <c r="A66" s="38"/>
      <c r="B66" s="28"/>
      <c r="C66" s="28"/>
      <c r="D66" s="28"/>
      <c r="E66" s="28"/>
    </row>
    <row r="67" spans="1:5" ht="14.25" customHeight="1" x14ac:dyDescent="0.25">
      <c r="A67" s="38"/>
      <c r="B67" s="28"/>
      <c r="C67" s="28"/>
      <c r="D67" s="28"/>
      <c r="E67" s="28"/>
    </row>
    <row r="68" spans="1:5" ht="14.25" customHeight="1" x14ac:dyDescent="0.25">
      <c r="A68" s="38"/>
      <c r="B68" s="28"/>
      <c r="C68" s="28"/>
      <c r="D68" s="28"/>
      <c r="E68" s="28"/>
    </row>
    <row r="69" spans="1:5" ht="14.25" customHeight="1" x14ac:dyDescent="0.25">
      <c r="A69" s="38"/>
      <c r="B69" s="28"/>
      <c r="C69" s="28"/>
      <c r="D69" s="28"/>
      <c r="E69" s="28"/>
    </row>
    <row r="70" spans="1:5" ht="14.25" customHeight="1" x14ac:dyDescent="0.25">
      <c r="A70" s="38"/>
      <c r="B70" s="28"/>
      <c r="C70" s="28"/>
      <c r="D70" s="28"/>
      <c r="E70" s="28"/>
    </row>
    <row r="71" spans="1:5" ht="14.25" customHeight="1" x14ac:dyDescent="0.25">
      <c r="A71" s="38"/>
      <c r="B71" s="28"/>
      <c r="C71" s="28"/>
      <c r="D71" s="28"/>
      <c r="E71" s="28"/>
    </row>
    <row r="72" spans="1:5" ht="14.25" customHeight="1" x14ac:dyDescent="0.25">
      <c r="A72" s="38"/>
      <c r="B72" s="28"/>
      <c r="C72" s="28"/>
      <c r="D72" s="28"/>
      <c r="E72" s="28"/>
    </row>
    <row r="73" spans="1:5" ht="14.25" customHeight="1" x14ac:dyDescent="0.25">
      <c r="A73" s="38"/>
      <c r="B73" s="28"/>
      <c r="C73" s="28"/>
      <c r="D73" s="28"/>
      <c r="E73" s="28"/>
    </row>
    <row r="74" spans="1:5" ht="14.25" customHeight="1" x14ac:dyDescent="0.25">
      <c r="A74" s="38"/>
      <c r="B74" s="28"/>
      <c r="C74" s="28"/>
      <c r="D74" s="28"/>
      <c r="E74" s="28"/>
    </row>
    <row r="75" spans="1:5" ht="14.25" customHeight="1" x14ac:dyDescent="0.25">
      <c r="A75" s="38"/>
      <c r="B75" s="28"/>
      <c r="C75" s="28"/>
      <c r="D75" s="28"/>
      <c r="E75" s="28"/>
    </row>
    <row r="76" spans="1:5" ht="14.25" customHeight="1" x14ac:dyDescent="0.25">
      <c r="A76" s="38"/>
      <c r="B76" s="28"/>
      <c r="C76" s="28"/>
      <c r="D76" s="28"/>
      <c r="E76" s="28"/>
    </row>
    <row r="77" spans="1:5" ht="14.25" customHeight="1" x14ac:dyDescent="0.25">
      <c r="A77" s="38"/>
      <c r="B77" s="28"/>
      <c r="C77" s="28"/>
      <c r="D77" s="28"/>
      <c r="E77" s="28"/>
    </row>
    <row r="78" spans="1:5" ht="14.25" customHeight="1" x14ac:dyDescent="0.25">
      <c r="A78" s="38"/>
      <c r="B78" s="28"/>
      <c r="C78" s="28"/>
      <c r="D78" s="28"/>
      <c r="E78" s="28"/>
    </row>
    <row r="79" spans="1:5" ht="14.25" customHeight="1" x14ac:dyDescent="0.25">
      <c r="A79" s="38"/>
      <c r="B79" s="28"/>
      <c r="C79" s="28"/>
      <c r="D79" s="28"/>
      <c r="E79" s="28"/>
    </row>
    <row r="80" spans="1:5" ht="14.25" customHeight="1" x14ac:dyDescent="0.25">
      <c r="A80" s="38"/>
      <c r="B80" s="28"/>
      <c r="C80" s="28"/>
      <c r="D80" s="28"/>
      <c r="E80" s="28"/>
    </row>
    <row r="81" spans="1:5" ht="14.25" customHeight="1" x14ac:dyDescent="0.25">
      <c r="A81" s="38"/>
      <c r="B81" s="28"/>
      <c r="C81" s="28"/>
      <c r="D81" s="28"/>
      <c r="E81" s="28"/>
    </row>
    <row r="82" spans="1:5" ht="14.25" customHeight="1" x14ac:dyDescent="0.25">
      <c r="A82" s="38"/>
      <c r="B82" s="28"/>
      <c r="C82" s="28"/>
      <c r="D82" s="28"/>
      <c r="E82" s="28"/>
    </row>
    <row r="83" spans="1:5" ht="14.25" customHeight="1" x14ac:dyDescent="0.25">
      <c r="A83" s="38"/>
      <c r="B83" s="28"/>
      <c r="C83" s="28"/>
      <c r="D83" s="28"/>
      <c r="E83" s="28"/>
    </row>
    <row r="84" spans="1:5" ht="14.25" customHeight="1" x14ac:dyDescent="0.25">
      <c r="A84" s="38"/>
      <c r="B84" s="28"/>
      <c r="C84" s="28"/>
      <c r="D84" s="28"/>
      <c r="E84" s="28"/>
    </row>
    <row r="85" spans="1:5" ht="14.25" customHeight="1" x14ac:dyDescent="0.25">
      <c r="A85" s="38"/>
      <c r="B85" s="28"/>
      <c r="C85" s="28"/>
      <c r="D85" s="28"/>
      <c r="E85" s="28"/>
    </row>
    <row r="86" spans="1:5" ht="14.25" customHeight="1" x14ac:dyDescent="0.25">
      <c r="A86" s="38"/>
      <c r="B86" s="28"/>
      <c r="C86" s="28"/>
      <c r="D86" s="28"/>
      <c r="E86" s="28"/>
    </row>
    <row r="87" spans="1:5" ht="14.25" customHeight="1" x14ac:dyDescent="0.25">
      <c r="A87" s="38"/>
      <c r="B87" s="28"/>
      <c r="C87" s="28"/>
      <c r="D87" s="28"/>
      <c r="E87" s="28"/>
    </row>
    <row r="88" spans="1:5" ht="14.25" customHeight="1" x14ac:dyDescent="0.25">
      <c r="A88" s="38"/>
      <c r="B88" s="28"/>
      <c r="C88" s="28"/>
      <c r="D88" s="28"/>
      <c r="E88" s="28"/>
    </row>
    <row r="89" spans="1:5" ht="14.25" customHeight="1" x14ac:dyDescent="0.25">
      <c r="A89" s="38"/>
      <c r="B89" s="28"/>
      <c r="C89" s="28"/>
      <c r="D89" s="28"/>
      <c r="E89" s="28"/>
    </row>
    <row r="90" spans="1:5" ht="14.25" customHeight="1" x14ac:dyDescent="0.25">
      <c r="A90" s="38"/>
      <c r="B90" s="28"/>
      <c r="C90" s="28"/>
      <c r="D90" s="28"/>
      <c r="E90" s="28"/>
    </row>
    <row r="91" spans="1:5" ht="14.25" customHeight="1" x14ac:dyDescent="0.25">
      <c r="A91" s="38"/>
      <c r="B91" s="28"/>
      <c r="C91" s="28"/>
      <c r="D91" s="28"/>
      <c r="E91" s="28"/>
    </row>
    <row r="92" spans="1:5" ht="14.25" customHeight="1" x14ac:dyDescent="0.25">
      <c r="A92" s="38"/>
      <c r="B92" s="28"/>
      <c r="C92" s="28"/>
      <c r="D92" s="28"/>
      <c r="E92" s="28"/>
    </row>
    <row r="93" spans="1:5" ht="14.25" customHeight="1" x14ac:dyDescent="0.25">
      <c r="A93" s="38"/>
      <c r="B93" s="28"/>
      <c r="C93" s="28"/>
      <c r="D93" s="28"/>
      <c r="E93" s="28"/>
    </row>
    <row r="94" spans="1:5" ht="14.25" customHeight="1" x14ac:dyDescent="0.25">
      <c r="A94" s="38"/>
      <c r="B94" s="28"/>
      <c r="C94" s="28"/>
      <c r="D94" s="28"/>
      <c r="E94" s="28"/>
    </row>
    <row r="95" spans="1:5" ht="14.25" customHeight="1" x14ac:dyDescent="0.25">
      <c r="A95" s="38"/>
      <c r="B95" s="28"/>
      <c r="C95" s="28"/>
      <c r="D95" s="28"/>
      <c r="E95" s="28"/>
    </row>
    <row r="96" spans="1:5" ht="14.25" customHeight="1" x14ac:dyDescent="0.25">
      <c r="A96" s="38"/>
      <c r="B96" s="28"/>
      <c r="C96" s="28"/>
      <c r="D96" s="28"/>
      <c r="E96" s="28"/>
    </row>
    <row r="97" spans="1:5" ht="14.25" customHeight="1" x14ac:dyDescent="0.25">
      <c r="A97" s="38"/>
      <c r="B97" s="28"/>
      <c r="C97" s="28"/>
      <c r="D97" s="28"/>
      <c r="E97" s="28"/>
    </row>
    <row r="98" spans="1:5" ht="14.25" customHeight="1" x14ac:dyDescent="0.25">
      <c r="A98" s="38"/>
      <c r="B98" s="28"/>
      <c r="C98" s="28"/>
      <c r="D98" s="28"/>
      <c r="E98" s="28"/>
    </row>
    <row r="99" spans="1:5" ht="14.25" customHeight="1" x14ac:dyDescent="0.25">
      <c r="A99" s="38"/>
      <c r="B99" s="28"/>
      <c r="C99" s="28"/>
      <c r="D99" s="28"/>
      <c r="E99" s="28"/>
    </row>
    <row r="100" spans="1:5" ht="14.25" customHeight="1" x14ac:dyDescent="0.25">
      <c r="A100" s="38"/>
      <c r="B100" s="28"/>
      <c r="C100" s="28"/>
      <c r="D100" s="28"/>
      <c r="E100" s="28"/>
    </row>
    <row r="101" spans="1:5" ht="14.25" customHeight="1" x14ac:dyDescent="0.25">
      <c r="A101" s="38"/>
      <c r="B101" s="28"/>
      <c r="C101" s="28"/>
      <c r="D101" s="28"/>
      <c r="E101" s="28"/>
    </row>
    <row r="102" spans="1:5" ht="14.25" customHeight="1" x14ac:dyDescent="0.25">
      <c r="A102" s="38"/>
      <c r="B102" s="28"/>
      <c r="C102" s="28"/>
      <c r="D102" s="28"/>
      <c r="E102" s="28"/>
    </row>
    <row r="103" spans="1:5" ht="14.25" customHeight="1" x14ac:dyDescent="0.25">
      <c r="A103" s="38"/>
      <c r="B103" s="28"/>
      <c r="C103" s="28"/>
      <c r="D103" s="28"/>
      <c r="E103" s="28"/>
    </row>
    <row r="104" spans="1:5" ht="14.25" customHeight="1" x14ac:dyDescent="0.25">
      <c r="A104" s="38"/>
      <c r="B104" s="28"/>
      <c r="C104" s="28"/>
      <c r="D104" s="28"/>
      <c r="E104" s="28"/>
    </row>
    <row r="105" spans="1:5" ht="14.25" customHeight="1" x14ac:dyDescent="0.25">
      <c r="A105" s="38"/>
      <c r="B105" s="28"/>
      <c r="C105" s="28"/>
      <c r="D105" s="28"/>
      <c r="E105" s="28"/>
    </row>
    <row r="106" spans="1:5" ht="14.25" customHeight="1" x14ac:dyDescent="0.25">
      <c r="A106" s="38"/>
      <c r="B106" s="28"/>
      <c r="C106" s="28"/>
      <c r="D106" s="28"/>
      <c r="E106" s="28"/>
    </row>
    <row r="107" spans="1:5" ht="14.25" customHeight="1" x14ac:dyDescent="0.25">
      <c r="A107" s="38"/>
      <c r="B107" s="28"/>
      <c r="C107" s="28"/>
      <c r="D107" s="28"/>
      <c r="E107" s="28"/>
    </row>
    <row r="108" spans="1:5" ht="14.25" customHeight="1" x14ac:dyDescent="0.25">
      <c r="A108" s="38"/>
      <c r="B108" s="28"/>
      <c r="C108" s="28"/>
      <c r="D108" s="28"/>
      <c r="E108" s="28"/>
    </row>
    <row r="109" spans="1:5" ht="14.25" customHeight="1" x14ac:dyDescent="0.25">
      <c r="A109" s="38"/>
      <c r="B109" s="28"/>
      <c r="C109" s="28"/>
      <c r="D109" s="28"/>
      <c r="E109" s="28"/>
    </row>
    <row r="110" spans="1:5" ht="14.25" customHeight="1" x14ac:dyDescent="0.25">
      <c r="A110" s="38"/>
      <c r="B110" s="28"/>
      <c r="C110" s="28"/>
      <c r="D110" s="28"/>
      <c r="E110" s="28"/>
    </row>
    <row r="111" spans="1:5" ht="14.25" customHeight="1" x14ac:dyDescent="0.25">
      <c r="A111" s="38"/>
      <c r="B111" s="28"/>
      <c r="C111" s="28"/>
      <c r="D111" s="28"/>
      <c r="E111" s="28"/>
    </row>
    <row r="112" spans="1:5" ht="14.25" customHeight="1" x14ac:dyDescent="0.25">
      <c r="A112" s="38"/>
      <c r="B112" s="28"/>
      <c r="C112" s="28"/>
      <c r="D112" s="28"/>
      <c r="E112" s="28"/>
    </row>
    <row r="113" spans="1:5" ht="14.25" customHeight="1" x14ac:dyDescent="0.25">
      <c r="A113" s="38"/>
      <c r="B113" s="28"/>
      <c r="C113" s="28"/>
      <c r="D113" s="28"/>
      <c r="E113" s="28"/>
    </row>
    <row r="114" spans="1:5" ht="14.25" customHeight="1" x14ac:dyDescent="0.25">
      <c r="A114" s="38"/>
      <c r="B114" s="28"/>
      <c r="C114" s="28"/>
      <c r="D114" s="28"/>
      <c r="E114" s="28"/>
    </row>
    <row r="115" spans="1:5" ht="14.25" customHeight="1" x14ac:dyDescent="0.25">
      <c r="A115" s="38"/>
      <c r="B115" s="28"/>
      <c r="C115" s="28"/>
      <c r="D115" s="28"/>
      <c r="E115" s="28"/>
    </row>
    <row r="116" spans="1:5" ht="14.25" customHeight="1" x14ac:dyDescent="0.25">
      <c r="A116" s="38"/>
      <c r="B116" s="28"/>
      <c r="C116" s="28"/>
      <c r="D116" s="28"/>
      <c r="E116" s="28"/>
    </row>
    <row r="117" spans="1:5" ht="14.25" customHeight="1" x14ac:dyDescent="0.25">
      <c r="A117" s="38"/>
      <c r="B117" s="28"/>
      <c r="C117" s="28"/>
      <c r="D117" s="28"/>
      <c r="E117" s="28"/>
    </row>
    <row r="118" spans="1:5" ht="14.25" customHeight="1" x14ac:dyDescent="0.25">
      <c r="A118" s="38"/>
      <c r="B118" s="28"/>
      <c r="C118" s="28"/>
      <c r="D118" s="28"/>
      <c r="E118" s="28"/>
    </row>
    <row r="119" spans="1:5" ht="14.25" customHeight="1" x14ac:dyDescent="0.25">
      <c r="A119" s="38"/>
      <c r="B119" s="28"/>
      <c r="C119" s="28"/>
      <c r="D119" s="28"/>
      <c r="E119" s="28"/>
    </row>
    <row r="120" spans="1:5" ht="14.25" customHeight="1" x14ac:dyDescent="0.25">
      <c r="A120" s="38"/>
      <c r="B120" s="28"/>
      <c r="C120" s="28"/>
      <c r="D120" s="28"/>
      <c r="E120" s="28"/>
    </row>
    <row r="121" spans="1:5" ht="14.25" customHeight="1" x14ac:dyDescent="0.25">
      <c r="A121" s="38"/>
      <c r="B121" s="28"/>
      <c r="C121" s="28"/>
      <c r="D121" s="28"/>
      <c r="E121" s="28"/>
    </row>
    <row r="122" spans="1:5" ht="14.25" customHeight="1" x14ac:dyDescent="0.25">
      <c r="A122" s="38"/>
      <c r="B122" s="28"/>
      <c r="C122" s="28"/>
      <c r="D122" s="28"/>
      <c r="E122" s="28"/>
    </row>
    <row r="123" spans="1:5" ht="14.25" customHeight="1" x14ac:dyDescent="0.25">
      <c r="A123" s="38"/>
      <c r="B123" s="28"/>
      <c r="C123" s="28"/>
      <c r="D123" s="28"/>
      <c r="E123" s="28"/>
    </row>
    <row r="124" spans="1:5" ht="14.25" customHeight="1" x14ac:dyDescent="0.25">
      <c r="A124" s="38"/>
      <c r="B124" s="28"/>
      <c r="C124" s="28"/>
      <c r="D124" s="28"/>
      <c r="E124" s="28"/>
    </row>
    <row r="125" spans="1:5" ht="14.25" customHeight="1" x14ac:dyDescent="0.25">
      <c r="A125" s="38"/>
      <c r="B125" s="28"/>
      <c r="C125" s="28"/>
      <c r="D125" s="28"/>
      <c r="E125" s="28"/>
    </row>
    <row r="126" spans="1:5" ht="14.25" customHeight="1" x14ac:dyDescent="0.25">
      <c r="A126" s="38"/>
      <c r="B126" s="28"/>
      <c r="C126" s="28"/>
      <c r="D126" s="28"/>
      <c r="E126" s="28"/>
    </row>
    <row r="127" spans="1:5" ht="14.25" customHeight="1" x14ac:dyDescent="0.25">
      <c r="A127" s="38"/>
      <c r="B127" s="28"/>
      <c r="C127" s="28"/>
      <c r="D127" s="28"/>
      <c r="E127" s="28"/>
    </row>
    <row r="128" spans="1:5" ht="14.25" customHeight="1" x14ac:dyDescent="0.25">
      <c r="A128" s="38"/>
      <c r="B128" s="28"/>
      <c r="C128" s="28"/>
      <c r="D128" s="28"/>
      <c r="E128" s="28"/>
    </row>
    <row r="129" spans="1:5" ht="14.25" customHeight="1" x14ac:dyDescent="0.25">
      <c r="A129" s="38"/>
      <c r="B129" s="28"/>
      <c r="C129" s="28"/>
      <c r="D129" s="28"/>
      <c r="E129" s="28"/>
    </row>
    <row r="130" spans="1:5" ht="14.25" customHeight="1" x14ac:dyDescent="0.25">
      <c r="A130" s="38"/>
      <c r="B130" s="28"/>
      <c r="C130" s="28"/>
      <c r="D130" s="28"/>
      <c r="E130" s="28"/>
    </row>
    <row r="131" spans="1:5" ht="14.25" customHeight="1" x14ac:dyDescent="0.25">
      <c r="A131" s="38"/>
      <c r="B131" s="28"/>
      <c r="C131" s="28"/>
      <c r="D131" s="28"/>
      <c r="E131" s="28"/>
    </row>
    <row r="132" spans="1:5" ht="14.25" customHeight="1" x14ac:dyDescent="0.25">
      <c r="A132" s="38"/>
      <c r="B132" s="28"/>
      <c r="C132" s="28"/>
      <c r="D132" s="28"/>
      <c r="E132" s="28"/>
    </row>
    <row r="133" spans="1:5" ht="14.25" customHeight="1" x14ac:dyDescent="0.25">
      <c r="A133" s="38"/>
      <c r="B133" s="28"/>
      <c r="C133" s="28"/>
      <c r="D133" s="28"/>
      <c r="E133" s="28"/>
    </row>
    <row r="134" spans="1:5" ht="14.25" customHeight="1" x14ac:dyDescent="0.25">
      <c r="A134" s="38"/>
      <c r="B134" s="28"/>
      <c r="C134" s="28"/>
      <c r="D134" s="28"/>
      <c r="E134" s="28"/>
    </row>
    <row r="135" spans="1:5" ht="14.25" customHeight="1" x14ac:dyDescent="0.25">
      <c r="A135" s="38"/>
      <c r="B135" s="28"/>
      <c r="C135" s="28"/>
      <c r="D135" s="28"/>
      <c r="E135" s="28"/>
    </row>
    <row r="136" spans="1:5" ht="14.25" customHeight="1" x14ac:dyDescent="0.25">
      <c r="A136" s="38"/>
      <c r="B136" s="28"/>
      <c r="C136" s="28"/>
      <c r="D136" s="28"/>
      <c r="E136" s="28"/>
    </row>
    <row r="137" spans="1:5" ht="14.25" customHeight="1" x14ac:dyDescent="0.25">
      <c r="A137" s="38"/>
      <c r="B137" s="28"/>
      <c r="C137" s="28"/>
      <c r="D137" s="28"/>
      <c r="E137" s="28"/>
    </row>
    <row r="138" spans="1:5" ht="14.25" customHeight="1" x14ac:dyDescent="0.25">
      <c r="A138" s="38"/>
      <c r="B138" s="28"/>
      <c r="C138" s="28"/>
      <c r="D138" s="28"/>
      <c r="E138" s="28"/>
    </row>
    <row r="139" spans="1:5" ht="14.25" customHeight="1" x14ac:dyDescent="0.25">
      <c r="A139" s="38"/>
      <c r="B139" s="28"/>
      <c r="C139" s="28"/>
      <c r="D139" s="28"/>
      <c r="E139" s="28"/>
    </row>
    <row r="140" spans="1:5" ht="14.25" customHeight="1" x14ac:dyDescent="0.25">
      <c r="A140" s="38"/>
      <c r="B140" s="28"/>
      <c r="C140" s="28"/>
      <c r="D140" s="28"/>
      <c r="E140" s="28"/>
    </row>
    <row r="141" spans="1:5" ht="14.25" customHeight="1" x14ac:dyDescent="0.25">
      <c r="A141" s="38"/>
      <c r="B141" s="28"/>
      <c r="C141" s="28"/>
      <c r="D141" s="28"/>
      <c r="E141" s="28"/>
    </row>
    <row r="142" spans="1:5" ht="14.25" customHeight="1" x14ac:dyDescent="0.25">
      <c r="A142" s="38"/>
      <c r="B142" s="28"/>
      <c r="C142" s="28"/>
      <c r="D142" s="28"/>
      <c r="E142" s="28"/>
    </row>
    <row r="143" spans="1:5" ht="14.25" customHeight="1" x14ac:dyDescent="0.25">
      <c r="A143" s="38"/>
      <c r="B143" s="28"/>
      <c r="C143" s="28"/>
      <c r="D143" s="28"/>
      <c r="E143" s="28"/>
    </row>
    <row r="144" spans="1:5" ht="14.25" customHeight="1" x14ac:dyDescent="0.25">
      <c r="A144" s="38"/>
      <c r="B144" s="28"/>
      <c r="C144" s="28"/>
      <c r="D144" s="28"/>
      <c r="E144" s="28"/>
    </row>
    <row r="145" spans="1:5" ht="14.25" customHeight="1" x14ac:dyDescent="0.25">
      <c r="A145" s="38"/>
      <c r="B145" s="28"/>
      <c r="C145" s="28"/>
      <c r="D145" s="28"/>
      <c r="E145" s="28"/>
    </row>
    <row r="146" spans="1:5" ht="14.25" customHeight="1" x14ac:dyDescent="0.25">
      <c r="A146" s="38"/>
      <c r="B146" s="28"/>
      <c r="C146" s="28"/>
      <c r="D146" s="28"/>
      <c r="E146" s="28"/>
    </row>
    <row r="147" spans="1:5" ht="14.25" customHeight="1" x14ac:dyDescent="0.25">
      <c r="A147" s="38"/>
      <c r="B147" s="28"/>
      <c r="C147" s="28"/>
      <c r="D147" s="28"/>
      <c r="E147" s="28"/>
    </row>
    <row r="148" spans="1:5" ht="14.25" customHeight="1" x14ac:dyDescent="0.25">
      <c r="A148" s="38"/>
      <c r="B148" s="28"/>
      <c r="C148" s="28"/>
      <c r="D148" s="28"/>
      <c r="E148" s="28"/>
    </row>
    <row r="149" spans="1:5" ht="14.25" customHeight="1" x14ac:dyDescent="0.25">
      <c r="A149" s="38"/>
      <c r="B149" s="28"/>
      <c r="C149" s="28"/>
      <c r="D149" s="28"/>
      <c r="E149" s="28"/>
    </row>
    <row r="150" spans="1:5" ht="14.25" customHeight="1" x14ac:dyDescent="0.25">
      <c r="A150" s="38"/>
      <c r="B150" s="28"/>
      <c r="C150" s="28"/>
      <c r="D150" s="28"/>
      <c r="E150" s="28"/>
    </row>
    <row r="151" spans="1:5" ht="14.25" customHeight="1" x14ac:dyDescent="0.25">
      <c r="A151" s="38"/>
      <c r="B151" s="28"/>
      <c r="C151" s="28"/>
      <c r="D151" s="28"/>
      <c r="E151" s="28"/>
    </row>
    <row r="152" spans="1:5" ht="14.25" customHeight="1" x14ac:dyDescent="0.25">
      <c r="A152" s="38"/>
      <c r="B152" s="28"/>
      <c r="C152" s="28"/>
      <c r="D152" s="28"/>
      <c r="E152" s="28"/>
    </row>
    <row r="153" spans="1:5" ht="14.25" customHeight="1" x14ac:dyDescent="0.25">
      <c r="A153" s="38"/>
      <c r="B153" s="28"/>
      <c r="C153" s="28"/>
      <c r="D153" s="28"/>
      <c r="E153" s="28"/>
    </row>
    <row r="154" spans="1:5" ht="14.25" customHeight="1" x14ac:dyDescent="0.25">
      <c r="A154" s="38"/>
      <c r="B154" s="28"/>
      <c r="C154" s="28"/>
      <c r="D154" s="28"/>
      <c r="E154" s="28"/>
    </row>
    <row r="155" spans="1:5" ht="14.25" customHeight="1" x14ac:dyDescent="0.25">
      <c r="A155" s="38"/>
      <c r="B155" s="28"/>
      <c r="C155" s="28"/>
      <c r="D155" s="28"/>
      <c r="E155" s="28"/>
    </row>
    <row r="156" spans="1:5" ht="14.25" customHeight="1" x14ac:dyDescent="0.25">
      <c r="A156" s="38"/>
      <c r="B156" s="28"/>
      <c r="C156" s="28"/>
      <c r="D156" s="28"/>
      <c r="E156" s="28"/>
    </row>
    <row r="157" spans="1:5" ht="14.25" customHeight="1" x14ac:dyDescent="0.25">
      <c r="A157" s="38"/>
      <c r="B157" s="28"/>
      <c r="C157" s="28"/>
      <c r="D157" s="28"/>
      <c r="E157" s="28"/>
    </row>
    <row r="158" spans="1:5" ht="14.25" customHeight="1" x14ac:dyDescent="0.25">
      <c r="A158" s="38"/>
      <c r="B158" s="28"/>
      <c r="C158" s="28"/>
      <c r="D158" s="28"/>
      <c r="E158" s="28"/>
    </row>
    <row r="159" spans="1:5" ht="14.25" customHeight="1" x14ac:dyDescent="0.25">
      <c r="A159" s="38"/>
      <c r="B159" s="28"/>
      <c r="C159" s="28"/>
      <c r="D159" s="28"/>
      <c r="E159" s="28"/>
    </row>
    <row r="160" spans="1:5" ht="14.25" customHeight="1" x14ac:dyDescent="0.25">
      <c r="A160" s="38"/>
      <c r="B160" s="28"/>
      <c r="C160" s="28"/>
      <c r="D160" s="28"/>
      <c r="E160" s="28"/>
    </row>
    <row r="161" spans="1:5" ht="14.25" customHeight="1" x14ac:dyDescent="0.25">
      <c r="A161" s="38"/>
      <c r="B161" s="28"/>
      <c r="C161" s="28"/>
      <c r="D161" s="28"/>
      <c r="E161" s="28"/>
    </row>
    <row r="162" spans="1:5" ht="14.25" customHeight="1" x14ac:dyDescent="0.25">
      <c r="A162" s="38"/>
      <c r="B162" s="28"/>
      <c r="C162" s="28"/>
      <c r="D162" s="28"/>
      <c r="E162" s="28"/>
    </row>
    <row r="163" spans="1:5" ht="14.25" customHeight="1" x14ac:dyDescent="0.25">
      <c r="A163" s="38"/>
      <c r="B163" s="28"/>
      <c r="C163" s="28"/>
      <c r="D163" s="28"/>
      <c r="E163" s="28"/>
    </row>
    <row r="164" spans="1:5" ht="14.25" customHeight="1" x14ac:dyDescent="0.25">
      <c r="A164" s="38"/>
      <c r="B164" s="28"/>
      <c r="C164" s="28"/>
      <c r="D164" s="28"/>
      <c r="E164" s="28"/>
    </row>
    <row r="165" spans="1:5" ht="14.25" customHeight="1" x14ac:dyDescent="0.25">
      <c r="A165" s="38"/>
      <c r="B165" s="28"/>
      <c r="C165" s="28"/>
      <c r="D165" s="28"/>
      <c r="E165" s="28"/>
    </row>
    <row r="166" spans="1:5" ht="14.25" customHeight="1" x14ac:dyDescent="0.25">
      <c r="A166" s="38"/>
      <c r="B166" s="28"/>
      <c r="C166" s="28"/>
      <c r="D166" s="28"/>
      <c r="E166" s="28"/>
    </row>
    <row r="167" spans="1:5" ht="14.25" customHeight="1" x14ac:dyDescent="0.25">
      <c r="A167" s="38"/>
      <c r="B167" s="28"/>
      <c r="C167" s="28"/>
      <c r="D167" s="28"/>
      <c r="E167" s="28"/>
    </row>
    <row r="168" spans="1:5" ht="14.25" customHeight="1" x14ac:dyDescent="0.25">
      <c r="A168" s="38"/>
      <c r="B168" s="28"/>
      <c r="C168" s="28"/>
      <c r="D168" s="28"/>
      <c r="E168" s="28"/>
    </row>
    <row r="169" spans="1:5" ht="14.25" customHeight="1" x14ac:dyDescent="0.25">
      <c r="A169" s="38"/>
      <c r="B169" s="28"/>
      <c r="C169" s="28"/>
      <c r="D169" s="28"/>
      <c r="E169" s="28"/>
    </row>
    <row r="170" spans="1:5" ht="14.25" customHeight="1" x14ac:dyDescent="0.25">
      <c r="A170" s="38"/>
      <c r="B170" s="28"/>
      <c r="C170" s="28"/>
      <c r="D170" s="28"/>
      <c r="E170" s="28"/>
    </row>
    <row r="171" spans="1:5" ht="14.25" customHeight="1" x14ac:dyDescent="0.25">
      <c r="A171" s="38"/>
      <c r="B171" s="28"/>
      <c r="C171" s="28"/>
      <c r="D171" s="28"/>
      <c r="E171" s="28"/>
    </row>
    <row r="172" spans="1:5" ht="14.25" customHeight="1" x14ac:dyDescent="0.25">
      <c r="A172" s="38"/>
      <c r="B172" s="28"/>
      <c r="C172" s="28"/>
      <c r="D172" s="28"/>
      <c r="E172" s="28"/>
    </row>
    <row r="173" spans="1:5" ht="14.25" customHeight="1" x14ac:dyDescent="0.25">
      <c r="A173" s="38"/>
      <c r="B173" s="28"/>
      <c r="C173" s="28"/>
      <c r="D173" s="28"/>
      <c r="E173" s="28"/>
    </row>
    <row r="174" spans="1:5" ht="14.25" customHeight="1" x14ac:dyDescent="0.25">
      <c r="A174" s="38"/>
      <c r="B174" s="28"/>
      <c r="C174" s="28"/>
      <c r="D174" s="28"/>
      <c r="E174" s="28"/>
    </row>
    <row r="175" spans="1:5" ht="14.25" customHeight="1" x14ac:dyDescent="0.25">
      <c r="A175" s="38"/>
      <c r="B175" s="28"/>
      <c r="C175" s="28"/>
      <c r="D175" s="28"/>
      <c r="E175" s="28"/>
    </row>
    <row r="176" spans="1:5" ht="14.25" customHeight="1" x14ac:dyDescent="0.25">
      <c r="A176" s="38"/>
      <c r="B176" s="28"/>
      <c r="C176" s="28"/>
      <c r="D176" s="28"/>
      <c r="E176" s="28"/>
    </row>
    <row r="177" spans="1:5" ht="14.25" customHeight="1" x14ac:dyDescent="0.25">
      <c r="A177" s="38"/>
      <c r="B177" s="28"/>
      <c r="C177" s="28"/>
      <c r="D177" s="28"/>
      <c r="E177" s="28"/>
    </row>
    <row r="178" spans="1:5" ht="14.25" customHeight="1" x14ac:dyDescent="0.25">
      <c r="A178" s="38"/>
      <c r="B178" s="28"/>
      <c r="C178" s="28"/>
      <c r="D178" s="28"/>
      <c r="E178" s="28"/>
    </row>
    <row r="179" spans="1:5" ht="14.25" customHeight="1" x14ac:dyDescent="0.25">
      <c r="A179" s="38"/>
      <c r="B179" s="28"/>
      <c r="C179" s="28"/>
      <c r="D179" s="28"/>
      <c r="E179" s="28"/>
    </row>
    <row r="180" spans="1:5" ht="14.25" customHeight="1" x14ac:dyDescent="0.25">
      <c r="A180" s="38"/>
      <c r="B180" s="28"/>
      <c r="C180" s="28"/>
      <c r="D180" s="28"/>
      <c r="E180" s="28"/>
    </row>
    <row r="181" spans="1:5" ht="14.25" customHeight="1" x14ac:dyDescent="0.25">
      <c r="A181" s="38"/>
      <c r="B181" s="28"/>
      <c r="C181" s="28"/>
      <c r="D181" s="28"/>
      <c r="E181" s="28"/>
    </row>
    <row r="182" spans="1:5" ht="14.25" customHeight="1" x14ac:dyDescent="0.25">
      <c r="A182" s="38"/>
      <c r="B182" s="28"/>
      <c r="C182" s="28"/>
      <c r="D182" s="28"/>
      <c r="E182" s="28"/>
    </row>
    <row r="183" spans="1:5" ht="14.25" customHeight="1" x14ac:dyDescent="0.25">
      <c r="A183" s="38"/>
      <c r="B183" s="28"/>
      <c r="C183" s="28"/>
      <c r="D183" s="28"/>
      <c r="E183" s="28"/>
    </row>
    <row r="184" spans="1:5" ht="14.25" customHeight="1" x14ac:dyDescent="0.25">
      <c r="A184" s="38"/>
      <c r="B184" s="28"/>
      <c r="C184" s="28"/>
      <c r="D184" s="28"/>
      <c r="E184" s="28"/>
    </row>
    <row r="185" spans="1:5" ht="14.25" customHeight="1" x14ac:dyDescent="0.25">
      <c r="A185" s="38"/>
      <c r="B185" s="28"/>
      <c r="C185" s="28"/>
      <c r="D185" s="28"/>
      <c r="E185" s="28"/>
    </row>
    <row r="186" spans="1:5" ht="14.25" customHeight="1" x14ac:dyDescent="0.25">
      <c r="A186" s="38"/>
      <c r="B186" s="28"/>
      <c r="C186" s="28"/>
      <c r="D186" s="28"/>
      <c r="E186" s="28"/>
    </row>
    <row r="187" spans="1:5" ht="14.25" customHeight="1" x14ac:dyDescent="0.25">
      <c r="A187" s="38"/>
      <c r="B187" s="28"/>
      <c r="C187" s="28"/>
      <c r="D187" s="28"/>
      <c r="E187" s="28"/>
    </row>
    <row r="188" spans="1:5" ht="14.25" customHeight="1" x14ac:dyDescent="0.25">
      <c r="A188" s="38"/>
      <c r="B188" s="28"/>
      <c r="C188" s="28"/>
      <c r="D188" s="28"/>
      <c r="E188" s="28"/>
    </row>
    <row r="189" spans="1:5" ht="14.25" customHeight="1" x14ac:dyDescent="0.25">
      <c r="A189" s="38"/>
      <c r="B189" s="28"/>
      <c r="C189" s="28"/>
      <c r="D189" s="28"/>
      <c r="E189" s="28"/>
    </row>
    <row r="190" spans="1:5" ht="14.25" customHeight="1" x14ac:dyDescent="0.25">
      <c r="A190" s="38"/>
      <c r="B190" s="28"/>
      <c r="C190" s="28"/>
      <c r="D190" s="28"/>
      <c r="E190" s="28"/>
    </row>
    <row r="191" spans="1:5" ht="14.25" customHeight="1" x14ac:dyDescent="0.25">
      <c r="A191" s="38"/>
      <c r="B191" s="28"/>
      <c r="C191" s="28"/>
      <c r="D191" s="28"/>
      <c r="E191" s="28"/>
    </row>
    <row r="192" spans="1:5" ht="14.25" customHeight="1" x14ac:dyDescent="0.25">
      <c r="A192" s="38"/>
      <c r="B192" s="28"/>
      <c r="C192" s="28"/>
      <c r="D192" s="28"/>
      <c r="E192" s="28"/>
    </row>
    <row r="193" spans="1:5" ht="14.25" customHeight="1" x14ac:dyDescent="0.25">
      <c r="A193" s="38"/>
      <c r="B193" s="28"/>
      <c r="C193" s="28"/>
      <c r="D193" s="28"/>
      <c r="E193" s="28"/>
    </row>
    <row r="194" spans="1:5" ht="14.25" customHeight="1" x14ac:dyDescent="0.25">
      <c r="A194" s="38"/>
      <c r="B194" s="28"/>
      <c r="C194" s="28"/>
      <c r="D194" s="28"/>
      <c r="E194" s="28"/>
    </row>
    <row r="195" spans="1:5" ht="14.25" customHeight="1" x14ac:dyDescent="0.25">
      <c r="A195" s="38"/>
      <c r="B195" s="28"/>
      <c r="C195" s="28"/>
      <c r="D195" s="28"/>
      <c r="E195" s="28"/>
    </row>
    <row r="196" spans="1:5" ht="14.25" customHeight="1" x14ac:dyDescent="0.25">
      <c r="A196" s="38"/>
      <c r="B196" s="28"/>
      <c r="C196" s="28"/>
      <c r="D196" s="28"/>
      <c r="E196" s="28"/>
    </row>
    <row r="197" spans="1:5" ht="14.25" customHeight="1" x14ac:dyDescent="0.25">
      <c r="A197" s="38"/>
      <c r="B197" s="28"/>
      <c r="C197" s="28"/>
      <c r="D197" s="28"/>
      <c r="E197" s="28"/>
    </row>
    <row r="198" spans="1:5" ht="14.25" customHeight="1" x14ac:dyDescent="0.25">
      <c r="A198" s="38"/>
      <c r="B198" s="28"/>
      <c r="C198" s="28"/>
      <c r="D198" s="28"/>
      <c r="E198" s="28"/>
    </row>
    <row r="199" spans="1:5" ht="14.25" customHeight="1" x14ac:dyDescent="0.25">
      <c r="A199" s="38"/>
      <c r="B199" s="28"/>
      <c r="C199" s="28"/>
      <c r="D199" s="28"/>
      <c r="E199" s="28"/>
    </row>
    <row r="200" spans="1:5" ht="14.25" customHeight="1" x14ac:dyDescent="0.25">
      <c r="A200" s="38"/>
      <c r="B200" s="28"/>
      <c r="C200" s="28"/>
      <c r="D200" s="28"/>
      <c r="E200" s="28"/>
    </row>
    <row r="201" spans="1:5" ht="14.25" customHeight="1" x14ac:dyDescent="0.25">
      <c r="A201" s="38"/>
      <c r="B201" s="28"/>
      <c r="C201" s="28"/>
      <c r="D201" s="28"/>
      <c r="E201" s="28"/>
    </row>
    <row r="202" spans="1:5" ht="14.25" customHeight="1" x14ac:dyDescent="0.25">
      <c r="A202" s="38"/>
      <c r="B202" s="28"/>
      <c r="C202" s="28"/>
      <c r="D202" s="28"/>
      <c r="E202" s="28"/>
    </row>
    <row r="203" spans="1:5" ht="14.25" customHeight="1" x14ac:dyDescent="0.25">
      <c r="A203" s="38"/>
      <c r="B203" s="28"/>
      <c r="C203" s="28"/>
      <c r="D203" s="28"/>
      <c r="E203" s="28"/>
    </row>
    <row r="204" spans="1:5" ht="14.25" customHeight="1" x14ac:dyDescent="0.25">
      <c r="A204" s="38"/>
      <c r="B204" s="28"/>
      <c r="C204" s="28"/>
      <c r="D204" s="28"/>
      <c r="E204" s="28"/>
    </row>
    <row r="205" spans="1:5" ht="14.25" customHeight="1" x14ac:dyDescent="0.25">
      <c r="A205" s="38"/>
      <c r="B205" s="28"/>
      <c r="C205" s="28"/>
      <c r="D205" s="28"/>
      <c r="E205" s="28"/>
    </row>
    <row r="206" spans="1:5" ht="14.25" customHeight="1" x14ac:dyDescent="0.25">
      <c r="A206" s="38"/>
      <c r="B206" s="28"/>
      <c r="C206" s="28"/>
      <c r="D206" s="28"/>
      <c r="E206" s="28"/>
    </row>
    <row r="207" spans="1:5" ht="14.25" customHeight="1" x14ac:dyDescent="0.25">
      <c r="A207" s="38"/>
      <c r="B207" s="28"/>
      <c r="C207" s="28"/>
      <c r="D207" s="28"/>
      <c r="E207" s="28"/>
    </row>
    <row r="208" spans="1:5" ht="14.25" customHeight="1" x14ac:dyDescent="0.25">
      <c r="A208" s="38"/>
      <c r="B208" s="28"/>
      <c r="C208" s="28"/>
      <c r="D208" s="28"/>
      <c r="E208" s="28"/>
    </row>
    <row r="209" spans="1:5" ht="14.25" customHeight="1" x14ac:dyDescent="0.25">
      <c r="A209" s="38"/>
      <c r="B209" s="28"/>
      <c r="C209" s="28"/>
      <c r="D209" s="28"/>
      <c r="E209" s="28"/>
    </row>
    <row r="210" spans="1:5" ht="14.25" customHeight="1" x14ac:dyDescent="0.25">
      <c r="A210" s="38"/>
      <c r="B210" s="28"/>
      <c r="C210" s="28"/>
      <c r="D210" s="28"/>
      <c r="E210" s="28"/>
    </row>
    <row r="211" spans="1:5" ht="14.25" customHeight="1" x14ac:dyDescent="0.25">
      <c r="A211" s="38"/>
      <c r="B211" s="28"/>
      <c r="C211" s="28"/>
      <c r="D211" s="28"/>
      <c r="E211" s="28"/>
    </row>
    <row r="212" spans="1:5" ht="14.25" customHeight="1" x14ac:dyDescent="0.25">
      <c r="A212" s="38"/>
      <c r="B212" s="28"/>
      <c r="C212" s="28"/>
      <c r="D212" s="28"/>
      <c r="E212" s="28"/>
    </row>
    <row r="213" spans="1:5" ht="14.25" customHeight="1" x14ac:dyDescent="0.25">
      <c r="A213" s="38"/>
      <c r="B213" s="28"/>
      <c r="C213" s="28"/>
      <c r="D213" s="28"/>
      <c r="E213" s="28"/>
    </row>
    <row r="214" spans="1:5" ht="14.25" customHeight="1" x14ac:dyDescent="0.25">
      <c r="A214" s="38"/>
      <c r="B214" s="28"/>
      <c r="C214" s="28"/>
      <c r="D214" s="28"/>
      <c r="E214" s="28"/>
    </row>
    <row r="215" spans="1:5" ht="14.25" customHeight="1" x14ac:dyDescent="0.25">
      <c r="A215" s="38"/>
      <c r="B215" s="28"/>
      <c r="C215" s="28"/>
      <c r="D215" s="28"/>
      <c r="E215" s="28"/>
    </row>
    <row r="216" spans="1:5" ht="14.25" customHeight="1" x14ac:dyDescent="0.25">
      <c r="A216" s="38"/>
      <c r="B216" s="28"/>
      <c r="C216" s="28"/>
      <c r="D216" s="28"/>
      <c r="E216" s="28"/>
    </row>
    <row r="217" spans="1:5" ht="14.25" customHeight="1" x14ac:dyDescent="0.25">
      <c r="A217" s="38"/>
      <c r="B217" s="28"/>
      <c r="C217" s="28"/>
      <c r="D217" s="28"/>
      <c r="E217" s="28"/>
    </row>
    <row r="218" spans="1:5" ht="14.25" customHeight="1" x14ac:dyDescent="0.25">
      <c r="A218" s="38"/>
      <c r="B218" s="28"/>
      <c r="C218" s="28"/>
      <c r="D218" s="28"/>
      <c r="E218" s="28"/>
    </row>
    <row r="219" spans="1:5" ht="14.25" customHeight="1" x14ac:dyDescent="0.25">
      <c r="A219" s="38"/>
      <c r="B219" s="28"/>
      <c r="C219" s="28"/>
      <c r="D219" s="28"/>
      <c r="E219" s="28"/>
    </row>
    <row r="220" spans="1:5" ht="14.25" customHeight="1" x14ac:dyDescent="0.25">
      <c r="A220" s="38"/>
      <c r="B220" s="28"/>
      <c r="C220" s="28"/>
      <c r="D220" s="28"/>
      <c r="E220" s="28"/>
    </row>
    <row r="221" spans="1:5" ht="14.25" customHeight="1" x14ac:dyDescent="0.25">
      <c r="A221" s="38"/>
      <c r="B221" s="28"/>
      <c r="C221" s="28"/>
      <c r="D221" s="28"/>
      <c r="E221" s="28"/>
    </row>
    <row r="222" spans="1:5" ht="14.25" customHeight="1" x14ac:dyDescent="0.25">
      <c r="A222" s="38"/>
      <c r="B222" s="28"/>
      <c r="C222" s="28"/>
      <c r="D222" s="28"/>
      <c r="E222" s="28"/>
    </row>
    <row r="223" spans="1:5" ht="14.25" customHeight="1" x14ac:dyDescent="0.25">
      <c r="A223" s="38"/>
      <c r="B223" s="28"/>
      <c r="C223" s="28"/>
      <c r="D223" s="28"/>
      <c r="E223" s="28"/>
    </row>
    <row r="224" spans="1:5" ht="14.25" customHeight="1" x14ac:dyDescent="0.25">
      <c r="A224" s="38"/>
      <c r="B224" s="28"/>
      <c r="C224" s="28"/>
      <c r="D224" s="28"/>
      <c r="E224" s="28"/>
    </row>
    <row r="225" spans="1:5" ht="14.25" customHeight="1" x14ac:dyDescent="0.25">
      <c r="A225" s="38"/>
      <c r="B225" s="28"/>
      <c r="C225" s="28"/>
      <c r="D225" s="28"/>
      <c r="E225" s="28"/>
    </row>
    <row r="226" spans="1:5" ht="14.25" customHeight="1" x14ac:dyDescent="0.25">
      <c r="A226" s="38"/>
      <c r="B226" s="28"/>
      <c r="C226" s="28"/>
      <c r="D226" s="28"/>
      <c r="E226" s="28"/>
    </row>
    <row r="227" spans="1:5" ht="14.25" customHeight="1" x14ac:dyDescent="0.25">
      <c r="A227" s="38"/>
      <c r="B227" s="28"/>
      <c r="C227" s="28"/>
      <c r="D227" s="28"/>
      <c r="E227" s="28"/>
    </row>
    <row r="228" spans="1:5" ht="14.25" customHeight="1" x14ac:dyDescent="0.25">
      <c r="A228" s="38"/>
      <c r="B228" s="28"/>
      <c r="C228" s="28"/>
      <c r="D228" s="28"/>
      <c r="E228" s="28"/>
    </row>
    <row r="229" spans="1:5" ht="14.25" customHeight="1" x14ac:dyDescent="0.25">
      <c r="A229" s="38"/>
      <c r="B229" s="28"/>
      <c r="C229" s="28"/>
      <c r="D229" s="28"/>
      <c r="E229" s="28"/>
    </row>
    <row r="230" spans="1:5" ht="14.25" customHeight="1" x14ac:dyDescent="0.25">
      <c r="A230" s="38"/>
      <c r="B230" s="28"/>
      <c r="C230" s="28"/>
      <c r="D230" s="28"/>
      <c r="E230" s="28"/>
    </row>
    <row r="231" spans="1:5" ht="14.25" customHeight="1" x14ac:dyDescent="0.25">
      <c r="A231" s="38"/>
      <c r="B231" s="28"/>
      <c r="C231" s="28"/>
      <c r="D231" s="28"/>
      <c r="E231" s="28"/>
    </row>
    <row r="232" spans="1:5" ht="14.25" customHeight="1" x14ac:dyDescent="0.25">
      <c r="A232" s="38"/>
      <c r="B232" s="28"/>
      <c r="C232" s="28"/>
      <c r="D232" s="28"/>
      <c r="E232" s="28"/>
    </row>
    <row r="233" spans="1:5" ht="14.25" customHeight="1" x14ac:dyDescent="0.25">
      <c r="A233" s="38"/>
      <c r="B233" s="28"/>
      <c r="C233" s="28"/>
      <c r="D233" s="28"/>
      <c r="E233" s="28"/>
    </row>
    <row r="234" spans="1:5" ht="14.25" customHeight="1" x14ac:dyDescent="0.25">
      <c r="A234" s="38"/>
      <c r="B234" s="28"/>
      <c r="C234" s="28"/>
      <c r="D234" s="28"/>
      <c r="E234" s="28"/>
    </row>
    <row r="235" spans="1:5" ht="14.25" customHeight="1" x14ac:dyDescent="0.25">
      <c r="A235" s="38"/>
      <c r="B235" s="28"/>
      <c r="C235" s="28"/>
      <c r="D235" s="28"/>
      <c r="E235" s="28"/>
    </row>
    <row r="236" spans="1:5" ht="14.25" customHeight="1" x14ac:dyDescent="0.25">
      <c r="A236" s="38"/>
      <c r="B236" s="28"/>
      <c r="C236" s="28"/>
      <c r="D236" s="28"/>
      <c r="E236" s="28"/>
    </row>
    <row r="237" spans="1:5" ht="14.25" customHeight="1" x14ac:dyDescent="0.25">
      <c r="A237" s="38"/>
      <c r="B237" s="28"/>
      <c r="C237" s="28"/>
      <c r="D237" s="28"/>
      <c r="E237" s="28"/>
    </row>
    <row r="238" spans="1:5" ht="14.25" customHeight="1" x14ac:dyDescent="0.25">
      <c r="A238" s="38"/>
      <c r="B238" s="28"/>
      <c r="C238" s="28"/>
      <c r="D238" s="28"/>
      <c r="E238" s="28"/>
    </row>
    <row r="239" spans="1:5" ht="14.25" customHeight="1" x14ac:dyDescent="0.25">
      <c r="A239" s="38"/>
      <c r="B239" s="28"/>
      <c r="C239" s="28"/>
      <c r="D239" s="28"/>
      <c r="E239" s="28"/>
    </row>
    <row r="240" spans="1:5" ht="14.25" customHeight="1" x14ac:dyDescent="0.25">
      <c r="A240" s="38"/>
      <c r="B240" s="28"/>
      <c r="C240" s="28"/>
      <c r="D240" s="28"/>
      <c r="E240" s="28"/>
    </row>
    <row r="241" spans="1:5" ht="14.25" customHeight="1" x14ac:dyDescent="0.25">
      <c r="A241" s="38"/>
      <c r="B241" s="28"/>
      <c r="C241" s="28"/>
      <c r="D241" s="28"/>
      <c r="E241" s="28"/>
    </row>
    <row r="242" spans="1:5" ht="14.25" customHeight="1" x14ac:dyDescent="0.25">
      <c r="A242" s="38"/>
      <c r="B242" s="28"/>
      <c r="C242" s="28"/>
      <c r="D242" s="28"/>
      <c r="E242" s="28"/>
    </row>
    <row r="243" spans="1:5" ht="14.25" customHeight="1" x14ac:dyDescent="0.25">
      <c r="A243" s="38"/>
      <c r="B243" s="28"/>
      <c r="C243" s="28"/>
      <c r="D243" s="28"/>
      <c r="E243" s="28"/>
    </row>
    <row r="244" spans="1:5" ht="14.25" customHeight="1" x14ac:dyDescent="0.25">
      <c r="A244" s="38"/>
      <c r="B244" s="28"/>
      <c r="C244" s="28"/>
      <c r="D244" s="28"/>
      <c r="E244" s="28"/>
    </row>
    <row r="245" spans="1:5" ht="14.25" customHeight="1" x14ac:dyDescent="0.25">
      <c r="A245" s="38"/>
      <c r="B245" s="28"/>
      <c r="C245" s="28"/>
      <c r="D245" s="28"/>
      <c r="E245" s="28"/>
    </row>
    <row r="246" spans="1:5" ht="14.25" customHeight="1" x14ac:dyDescent="0.25">
      <c r="A246" s="38"/>
      <c r="B246" s="28"/>
      <c r="C246" s="28"/>
      <c r="D246" s="28"/>
      <c r="E246" s="28"/>
    </row>
    <row r="247" spans="1:5" ht="14.25" customHeight="1" x14ac:dyDescent="0.25">
      <c r="A247" s="38"/>
      <c r="B247" s="28"/>
      <c r="C247" s="28"/>
      <c r="D247" s="28"/>
      <c r="E247" s="28"/>
    </row>
    <row r="248" spans="1:5" ht="14.25" customHeight="1" x14ac:dyDescent="0.25">
      <c r="A248" s="38"/>
      <c r="B248" s="28"/>
      <c r="C248" s="28"/>
      <c r="D248" s="28"/>
      <c r="E248" s="28"/>
    </row>
    <row r="249" spans="1:5" ht="14.25" customHeight="1" x14ac:dyDescent="0.25">
      <c r="A249" s="38"/>
      <c r="B249" s="28"/>
      <c r="C249" s="28"/>
      <c r="D249" s="28"/>
      <c r="E249" s="28"/>
    </row>
    <row r="250" spans="1:5" ht="14.25" customHeight="1" x14ac:dyDescent="0.25">
      <c r="A250" s="38"/>
      <c r="B250" s="28"/>
      <c r="C250" s="28"/>
      <c r="D250" s="28"/>
      <c r="E250" s="28"/>
    </row>
    <row r="251" spans="1:5" ht="14.25" customHeight="1" x14ac:dyDescent="0.25">
      <c r="A251" s="38"/>
      <c r="B251" s="28"/>
      <c r="C251" s="28"/>
      <c r="D251" s="28"/>
      <c r="E251" s="28"/>
    </row>
    <row r="252" spans="1:5" ht="14.25" customHeight="1" x14ac:dyDescent="0.25">
      <c r="A252" s="38"/>
      <c r="B252" s="28"/>
      <c r="C252" s="28"/>
      <c r="D252" s="28"/>
      <c r="E252" s="28"/>
    </row>
    <row r="253" spans="1:5" ht="14.25" customHeight="1" x14ac:dyDescent="0.25">
      <c r="A253" s="38"/>
      <c r="B253" s="28"/>
      <c r="C253" s="28"/>
      <c r="D253" s="28"/>
      <c r="E253" s="28"/>
    </row>
    <row r="254" spans="1:5" ht="14.25" customHeight="1" x14ac:dyDescent="0.25">
      <c r="A254" s="38"/>
      <c r="B254" s="28"/>
      <c r="C254" s="28"/>
      <c r="D254" s="28"/>
      <c r="E254" s="28"/>
    </row>
    <row r="255" spans="1:5" ht="14.25" customHeight="1" x14ac:dyDescent="0.25">
      <c r="A255" s="38"/>
      <c r="B255" s="28"/>
      <c r="C255" s="28"/>
      <c r="D255" s="28"/>
      <c r="E255" s="28"/>
    </row>
    <row r="256" spans="1:5" ht="14.25" customHeight="1" x14ac:dyDescent="0.25">
      <c r="A256" s="38"/>
      <c r="B256" s="28"/>
      <c r="C256" s="28"/>
      <c r="D256" s="28"/>
      <c r="E256" s="28"/>
    </row>
    <row r="257" spans="1:5" ht="14.25" customHeight="1" x14ac:dyDescent="0.25">
      <c r="A257" s="38"/>
      <c r="B257" s="28"/>
      <c r="C257" s="28"/>
      <c r="D257" s="28"/>
      <c r="E257" s="28"/>
    </row>
    <row r="258" spans="1:5" ht="14.25" customHeight="1" x14ac:dyDescent="0.25">
      <c r="A258" s="38"/>
      <c r="B258" s="28"/>
      <c r="C258" s="28"/>
      <c r="D258" s="28"/>
      <c r="E258" s="28"/>
    </row>
    <row r="259" spans="1:5" ht="14.25" customHeight="1" x14ac:dyDescent="0.25">
      <c r="A259" s="38"/>
      <c r="B259" s="28"/>
      <c r="C259" s="28"/>
      <c r="D259" s="28"/>
      <c r="E259" s="28"/>
    </row>
    <row r="260" spans="1:5" ht="14.25" customHeight="1" x14ac:dyDescent="0.25">
      <c r="A260" s="38"/>
      <c r="B260" s="28"/>
      <c r="C260" s="28"/>
      <c r="D260" s="28"/>
      <c r="E260" s="28"/>
    </row>
    <row r="261" spans="1:5" ht="14.25" customHeight="1" x14ac:dyDescent="0.25">
      <c r="A261" s="38"/>
      <c r="B261" s="28"/>
      <c r="C261" s="28"/>
      <c r="D261" s="28"/>
      <c r="E261" s="28"/>
    </row>
    <row r="262" spans="1:5" ht="14.25" customHeight="1" x14ac:dyDescent="0.25">
      <c r="A262" s="38"/>
      <c r="B262" s="28"/>
      <c r="C262" s="28"/>
      <c r="D262" s="28"/>
      <c r="E262" s="28"/>
    </row>
    <row r="263" spans="1:5" ht="14.25" customHeight="1" x14ac:dyDescent="0.25">
      <c r="A263" s="38"/>
      <c r="B263" s="28"/>
      <c r="C263" s="28"/>
      <c r="D263" s="28"/>
      <c r="E263" s="28"/>
    </row>
    <row r="264" spans="1:5" ht="14.25" customHeight="1" x14ac:dyDescent="0.25">
      <c r="A264" s="38"/>
      <c r="B264" s="28"/>
      <c r="C264" s="28"/>
      <c r="D264" s="28"/>
      <c r="E264" s="28"/>
    </row>
    <row r="265" spans="1:5" ht="14.25" customHeight="1" x14ac:dyDescent="0.25">
      <c r="A265" s="38"/>
      <c r="B265" s="28"/>
      <c r="C265" s="28"/>
      <c r="D265" s="28"/>
      <c r="E265" s="28"/>
    </row>
    <row r="266" spans="1:5" ht="14.25" customHeight="1" x14ac:dyDescent="0.25">
      <c r="A266" s="38"/>
      <c r="B266" s="28"/>
      <c r="C266" s="28"/>
      <c r="D266" s="28"/>
      <c r="E266" s="28"/>
    </row>
    <row r="267" spans="1:5" ht="14.25" customHeight="1" x14ac:dyDescent="0.25">
      <c r="A267" s="38"/>
      <c r="B267" s="28"/>
      <c r="C267" s="28"/>
      <c r="D267" s="28"/>
      <c r="E267" s="28"/>
    </row>
    <row r="268" spans="1:5" ht="14.25" customHeight="1" x14ac:dyDescent="0.25">
      <c r="A268" s="38"/>
      <c r="B268" s="28"/>
      <c r="C268" s="28"/>
      <c r="D268" s="28"/>
      <c r="E268" s="28"/>
    </row>
    <row r="269" spans="1:5" ht="14.25" customHeight="1" x14ac:dyDescent="0.25">
      <c r="A269" s="38"/>
      <c r="B269" s="28"/>
      <c r="C269" s="28"/>
      <c r="D269" s="28"/>
      <c r="E269" s="28"/>
    </row>
    <row r="270" spans="1:5" ht="14.25" customHeight="1" x14ac:dyDescent="0.25">
      <c r="A270" s="38"/>
      <c r="B270" s="28"/>
      <c r="C270" s="28"/>
      <c r="D270" s="28"/>
      <c r="E270" s="28"/>
    </row>
    <row r="271" spans="1:5" ht="14.25" customHeight="1" x14ac:dyDescent="0.25">
      <c r="A271" s="38"/>
      <c r="B271" s="28"/>
      <c r="C271" s="28"/>
      <c r="D271" s="28"/>
      <c r="E271" s="28"/>
    </row>
    <row r="272" spans="1:5" ht="14.25" customHeight="1" x14ac:dyDescent="0.25">
      <c r="A272" s="38"/>
      <c r="B272" s="28"/>
      <c r="C272" s="28"/>
      <c r="D272" s="28"/>
      <c r="E272" s="28"/>
    </row>
    <row r="273" spans="1:5" ht="14.25" customHeight="1" x14ac:dyDescent="0.25">
      <c r="A273" s="38"/>
      <c r="B273" s="28"/>
      <c r="C273" s="28"/>
      <c r="D273" s="28"/>
      <c r="E273" s="28"/>
    </row>
    <row r="274" spans="1:5" ht="14.25" customHeight="1" x14ac:dyDescent="0.25">
      <c r="A274" s="38"/>
      <c r="B274" s="28"/>
      <c r="C274" s="28"/>
      <c r="D274" s="28"/>
      <c r="E274" s="28"/>
    </row>
    <row r="275" spans="1:5" ht="14.25" customHeight="1" x14ac:dyDescent="0.25">
      <c r="A275" s="38"/>
      <c r="B275" s="28"/>
      <c r="C275" s="28"/>
      <c r="D275" s="28"/>
      <c r="E275" s="28"/>
    </row>
    <row r="276" spans="1:5" ht="14.25" customHeight="1" x14ac:dyDescent="0.25">
      <c r="A276" s="38"/>
      <c r="B276" s="28"/>
      <c r="C276" s="28"/>
      <c r="D276" s="28"/>
      <c r="E276" s="28"/>
    </row>
    <row r="277" spans="1:5" ht="14.25" customHeight="1" x14ac:dyDescent="0.25">
      <c r="A277" s="38"/>
      <c r="B277" s="28"/>
      <c r="C277" s="28"/>
      <c r="D277" s="28"/>
      <c r="E277" s="28"/>
    </row>
    <row r="278" spans="1:5" ht="14.25" customHeight="1" x14ac:dyDescent="0.25">
      <c r="A278" s="38"/>
      <c r="B278" s="28"/>
      <c r="C278" s="28"/>
      <c r="D278" s="28"/>
      <c r="E278" s="28"/>
    </row>
    <row r="279" spans="1:5" ht="14.25" customHeight="1" x14ac:dyDescent="0.25">
      <c r="A279" s="38"/>
      <c r="B279" s="28"/>
      <c r="C279" s="28"/>
      <c r="D279" s="28"/>
      <c r="E279" s="28"/>
    </row>
    <row r="280" spans="1:5" ht="14.25" customHeight="1" x14ac:dyDescent="0.25">
      <c r="A280" s="38"/>
      <c r="B280" s="28"/>
      <c r="C280" s="28"/>
      <c r="D280" s="28"/>
      <c r="E280" s="28"/>
    </row>
    <row r="281" spans="1:5" ht="14.25" customHeight="1" x14ac:dyDescent="0.25">
      <c r="A281" s="38"/>
      <c r="B281" s="28"/>
      <c r="C281" s="28"/>
      <c r="D281" s="28"/>
      <c r="E281" s="28"/>
    </row>
    <row r="282" spans="1:5" ht="14.25" customHeight="1" x14ac:dyDescent="0.25">
      <c r="A282" s="38"/>
      <c r="B282" s="28"/>
      <c r="C282" s="28"/>
      <c r="D282" s="28"/>
      <c r="E282" s="28"/>
    </row>
    <row r="283" spans="1:5" ht="14.25" customHeight="1" x14ac:dyDescent="0.25">
      <c r="A283" s="38"/>
      <c r="B283" s="28"/>
      <c r="C283" s="28"/>
      <c r="D283" s="28"/>
      <c r="E283" s="28"/>
    </row>
    <row r="284" spans="1:5" ht="14.25" customHeight="1" x14ac:dyDescent="0.25">
      <c r="A284" s="38"/>
      <c r="B284" s="28"/>
      <c r="C284" s="28"/>
      <c r="D284" s="28"/>
      <c r="E284" s="28"/>
    </row>
    <row r="285" spans="1:5" ht="14.25" customHeight="1" x14ac:dyDescent="0.25">
      <c r="A285" s="38"/>
      <c r="B285" s="28"/>
      <c r="C285" s="28"/>
      <c r="D285" s="28"/>
      <c r="E285" s="28"/>
    </row>
    <row r="286" spans="1:5" ht="14.25" customHeight="1" x14ac:dyDescent="0.25">
      <c r="A286" s="38"/>
      <c r="B286" s="28"/>
      <c r="C286" s="28"/>
      <c r="D286" s="28"/>
      <c r="E286" s="28"/>
    </row>
    <row r="287" spans="1:5" ht="14.25" customHeight="1" x14ac:dyDescent="0.25">
      <c r="A287" s="38"/>
      <c r="B287" s="28"/>
      <c r="C287" s="28"/>
      <c r="D287" s="28"/>
      <c r="E287" s="28"/>
    </row>
    <row r="288" spans="1:5" ht="14.25" customHeight="1" x14ac:dyDescent="0.25">
      <c r="A288" s="38"/>
      <c r="B288" s="28"/>
      <c r="C288" s="28"/>
      <c r="D288" s="28"/>
      <c r="E288" s="28"/>
    </row>
    <row r="289" spans="1:5" ht="14.25" customHeight="1" x14ac:dyDescent="0.25">
      <c r="A289" s="38"/>
      <c r="B289" s="28"/>
      <c r="C289" s="28"/>
      <c r="D289" s="28"/>
      <c r="E289" s="28"/>
    </row>
    <row r="290" spans="1:5" ht="14.25" customHeight="1" x14ac:dyDescent="0.25">
      <c r="A290" s="38"/>
      <c r="B290" s="28"/>
      <c r="C290" s="28"/>
      <c r="D290" s="28"/>
      <c r="E290" s="28"/>
    </row>
    <row r="291" spans="1:5" ht="14.25" customHeight="1" x14ac:dyDescent="0.25">
      <c r="A291" s="38"/>
      <c r="B291" s="28"/>
      <c r="C291" s="28"/>
      <c r="D291" s="28"/>
      <c r="E291" s="28"/>
    </row>
    <row r="292" spans="1:5" ht="14.25" customHeight="1" x14ac:dyDescent="0.25">
      <c r="A292" s="38"/>
      <c r="B292" s="28"/>
      <c r="C292" s="28"/>
      <c r="D292" s="28"/>
      <c r="E292" s="28"/>
    </row>
    <row r="293" spans="1:5" ht="14.25" customHeight="1" x14ac:dyDescent="0.25">
      <c r="A293" s="38"/>
      <c r="B293" s="28"/>
      <c r="C293" s="28"/>
      <c r="D293" s="28"/>
      <c r="E293" s="28"/>
    </row>
    <row r="294" spans="1:5" ht="14.25" customHeight="1" x14ac:dyDescent="0.25">
      <c r="A294" s="38"/>
      <c r="B294" s="28"/>
      <c r="C294" s="28"/>
      <c r="D294" s="28"/>
      <c r="E294" s="28"/>
    </row>
    <row r="295" spans="1:5" ht="14.25" customHeight="1" x14ac:dyDescent="0.25">
      <c r="A295" s="38"/>
      <c r="B295" s="28"/>
      <c r="C295" s="28"/>
      <c r="D295" s="28"/>
      <c r="E295" s="28"/>
    </row>
    <row r="296" spans="1:5" ht="14.25" customHeight="1" x14ac:dyDescent="0.25">
      <c r="A296" s="38"/>
      <c r="B296" s="28"/>
      <c r="C296" s="28"/>
      <c r="D296" s="28"/>
      <c r="E296" s="28"/>
    </row>
    <row r="297" spans="1:5" ht="14.25" customHeight="1" x14ac:dyDescent="0.25">
      <c r="A297" s="38"/>
      <c r="B297" s="28"/>
      <c r="C297" s="28"/>
      <c r="D297" s="28"/>
      <c r="E297" s="28"/>
    </row>
    <row r="298" spans="1:5" ht="14.25" customHeight="1" x14ac:dyDescent="0.25">
      <c r="A298" s="38"/>
      <c r="B298" s="28"/>
      <c r="C298" s="28"/>
      <c r="D298" s="28"/>
      <c r="E298" s="28"/>
    </row>
    <row r="299" spans="1:5" ht="14.25" customHeight="1" x14ac:dyDescent="0.25">
      <c r="A299" s="38"/>
      <c r="B299" s="28"/>
      <c r="C299" s="28"/>
      <c r="D299" s="28"/>
      <c r="E299" s="28"/>
    </row>
    <row r="300" spans="1:5" ht="14.25" customHeight="1" x14ac:dyDescent="0.25">
      <c r="A300" s="38"/>
      <c r="B300" s="28"/>
      <c r="C300" s="28"/>
      <c r="D300" s="28"/>
      <c r="E300" s="28"/>
    </row>
    <row r="301" spans="1:5" ht="14.25" customHeight="1" x14ac:dyDescent="0.25">
      <c r="A301" s="38"/>
      <c r="B301" s="28"/>
      <c r="C301" s="28"/>
      <c r="D301" s="28"/>
      <c r="E301" s="28"/>
    </row>
    <row r="302" spans="1:5" ht="14.25" customHeight="1" x14ac:dyDescent="0.25">
      <c r="A302" s="38"/>
      <c r="B302" s="28"/>
      <c r="C302" s="28"/>
      <c r="D302" s="28"/>
      <c r="E302" s="28"/>
    </row>
    <row r="303" spans="1:5" ht="14.25" customHeight="1" x14ac:dyDescent="0.25">
      <c r="A303" s="38"/>
      <c r="B303" s="28"/>
      <c r="C303" s="28"/>
      <c r="D303" s="28"/>
      <c r="E303" s="28"/>
    </row>
    <row r="304" spans="1:5" ht="14.25" customHeight="1" x14ac:dyDescent="0.25">
      <c r="A304" s="38"/>
      <c r="B304" s="28"/>
      <c r="C304" s="28"/>
      <c r="D304" s="28"/>
      <c r="E304" s="28"/>
    </row>
    <row r="305" spans="1:5" ht="14.25" customHeight="1" x14ac:dyDescent="0.25">
      <c r="A305" s="38"/>
      <c r="B305" s="28"/>
      <c r="C305" s="28"/>
      <c r="D305" s="28"/>
      <c r="E305" s="28"/>
    </row>
    <row r="306" spans="1:5" ht="14.25" customHeight="1" x14ac:dyDescent="0.25">
      <c r="A306" s="38"/>
      <c r="B306" s="28"/>
      <c r="C306" s="28"/>
      <c r="D306" s="28"/>
      <c r="E306" s="28"/>
    </row>
    <row r="307" spans="1:5" ht="14.25" customHeight="1" x14ac:dyDescent="0.25">
      <c r="A307" s="38"/>
      <c r="B307" s="28"/>
      <c r="C307" s="28"/>
      <c r="D307" s="28"/>
      <c r="E307" s="28"/>
    </row>
    <row r="308" spans="1:5" ht="14.25" customHeight="1" x14ac:dyDescent="0.25">
      <c r="A308" s="38"/>
      <c r="B308" s="28"/>
      <c r="C308" s="28"/>
      <c r="D308" s="28"/>
      <c r="E308" s="28"/>
    </row>
    <row r="309" spans="1:5" ht="14.25" customHeight="1" x14ac:dyDescent="0.25">
      <c r="A309" s="38"/>
      <c r="B309" s="28"/>
      <c r="C309" s="28"/>
      <c r="D309" s="28"/>
      <c r="E309" s="28"/>
    </row>
    <row r="310" spans="1:5" ht="14.25" customHeight="1" x14ac:dyDescent="0.25">
      <c r="A310" s="38"/>
      <c r="B310" s="28"/>
      <c r="C310" s="28"/>
      <c r="D310" s="28"/>
      <c r="E310" s="28"/>
    </row>
    <row r="311" spans="1:5" ht="14.25" customHeight="1" x14ac:dyDescent="0.25">
      <c r="A311" s="38"/>
      <c r="B311" s="28"/>
      <c r="C311" s="28"/>
      <c r="D311" s="28"/>
      <c r="E311" s="28"/>
    </row>
    <row r="312" spans="1:5" ht="14.25" customHeight="1" x14ac:dyDescent="0.25">
      <c r="A312" s="38"/>
      <c r="B312" s="28"/>
      <c r="C312" s="28"/>
      <c r="D312" s="28"/>
      <c r="E312" s="28"/>
    </row>
    <row r="313" spans="1:5" ht="14.25" customHeight="1" x14ac:dyDescent="0.25">
      <c r="A313" s="38"/>
      <c r="B313" s="28"/>
      <c r="C313" s="28"/>
      <c r="D313" s="28"/>
      <c r="E313" s="28"/>
    </row>
    <row r="314" spans="1:5" ht="14.25" customHeight="1" x14ac:dyDescent="0.25">
      <c r="A314" s="38"/>
      <c r="B314" s="28"/>
      <c r="C314" s="28"/>
      <c r="D314" s="28"/>
      <c r="E314" s="28"/>
    </row>
    <row r="315" spans="1:5" ht="14.25" customHeight="1" x14ac:dyDescent="0.25">
      <c r="A315" s="38"/>
      <c r="B315" s="28"/>
      <c r="C315" s="28"/>
      <c r="D315" s="28"/>
      <c r="E315" s="28"/>
    </row>
    <row r="316" spans="1:5" ht="14.25" customHeight="1" x14ac:dyDescent="0.25">
      <c r="A316" s="38"/>
      <c r="B316" s="28"/>
      <c r="C316" s="28"/>
      <c r="D316" s="28"/>
      <c r="E316" s="28"/>
    </row>
    <row r="317" spans="1:5" ht="14.25" customHeight="1" x14ac:dyDescent="0.25">
      <c r="A317" s="38"/>
      <c r="B317" s="28"/>
      <c r="C317" s="28"/>
      <c r="D317" s="28"/>
      <c r="E317" s="28"/>
    </row>
    <row r="318" spans="1:5" ht="14.25" customHeight="1" x14ac:dyDescent="0.25">
      <c r="A318" s="38"/>
      <c r="B318" s="28"/>
      <c r="C318" s="28"/>
      <c r="D318" s="28"/>
      <c r="E318" s="28"/>
    </row>
    <row r="319" spans="1:5" ht="14.25" customHeight="1" x14ac:dyDescent="0.25">
      <c r="A319" s="38"/>
      <c r="B319" s="28"/>
      <c r="C319" s="28"/>
      <c r="D319" s="28"/>
      <c r="E319" s="28"/>
    </row>
    <row r="320" spans="1:5" ht="14.25" customHeight="1" x14ac:dyDescent="0.25">
      <c r="A320" s="38"/>
      <c r="B320" s="28"/>
      <c r="C320" s="28"/>
      <c r="D320" s="28"/>
      <c r="E320" s="28"/>
    </row>
    <row r="321" spans="1:5" ht="14.25" customHeight="1" x14ac:dyDescent="0.25">
      <c r="A321" s="38"/>
      <c r="B321" s="28"/>
      <c r="C321" s="28"/>
      <c r="D321" s="28"/>
      <c r="E321" s="28"/>
    </row>
    <row r="322" spans="1:5" ht="14.25" customHeight="1" x14ac:dyDescent="0.25">
      <c r="A322" s="38"/>
      <c r="B322" s="28"/>
      <c r="C322" s="28"/>
      <c r="D322" s="28"/>
      <c r="E322" s="28"/>
    </row>
    <row r="323" spans="1:5" ht="14.25" customHeight="1" x14ac:dyDescent="0.25">
      <c r="A323" s="38"/>
      <c r="B323" s="28"/>
      <c r="C323" s="28"/>
      <c r="D323" s="28"/>
      <c r="E323" s="28"/>
    </row>
    <row r="324" spans="1:5" ht="14.25" customHeight="1" x14ac:dyDescent="0.25">
      <c r="A324" s="38"/>
      <c r="B324" s="28"/>
      <c r="C324" s="28"/>
      <c r="D324" s="28"/>
      <c r="E324" s="28"/>
    </row>
    <row r="325" spans="1:5" ht="14.25" customHeight="1" x14ac:dyDescent="0.25">
      <c r="A325" s="38"/>
      <c r="B325" s="28"/>
      <c r="C325" s="28"/>
      <c r="D325" s="28"/>
      <c r="E325" s="28"/>
    </row>
    <row r="326" spans="1:5" ht="14.25" customHeight="1" x14ac:dyDescent="0.25">
      <c r="A326" s="38"/>
      <c r="B326" s="28"/>
      <c r="C326" s="28"/>
      <c r="D326" s="28"/>
      <c r="E326" s="28"/>
    </row>
    <row r="327" spans="1:5" ht="14.25" customHeight="1" x14ac:dyDescent="0.25">
      <c r="A327" s="38"/>
      <c r="B327" s="28"/>
      <c r="C327" s="28"/>
      <c r="D327" s="28"/>
      <c r="E327" s="28"/>
    </row>
    <row r="328" spans="1:5" ht="14.25" customHeight="1" x14ac:dyDescent="0.25">
      <c r="A328" s="38"/>
      <c r="B328" s="28"/>
      <c r="C328" s="28"/>
      <c r="D328" s="28"/>
      <c r="E328" s="28"/>
    </row>
    <row r="329" spans="1:5" ht="14.25" customHeight="1" x14ac:dyDescent="0.25">
      <c r="A329" s="38"/>
      <c r="B329" s="28"/>
      <c r="C329" s="28"/>
      <c r="D329" s="28"/>
      <c r="E329" s="28"/>
    </row>
    <row r="330" spans="1:5" ht="14.25" customHeight="1" x14ac:dyDescent="0.25">
      <c r="A330" s="38"/>
      <c r="B330" s="28"/>
      <c r="C330" s="28"/>
      <c r="D330" s="28"/>
      <c r="E330" s="28"/>
    </row>
    <row r="331" spans="1:5" ht="14.25" customHeight="1" x14ac:dyDescent="0.25">
      <c r="A331" s="38"/>
      <c r="B331" s="28"/>
      <c r="C331" s="28"/>
      <c r="D331" s="28"/>
      <c r="E331" s="28"/>
    </row>
    <row r="332" spans="1:5" ht="14.25" customHeight="1" x14ac:dyDescent="0.25">
      <c r="A332" s="38"/>
      <c r="B332" s="28"/>
      <c r="C332" s="28"/>
      <c r="D332" s="28"/>
      <c r="E332" s="28"/>
    </row>
    <row r="333" spans="1:5" ht="14.25" customHeight="1" x14ac:dyDescent="0.25">
      <c r="A333" s="38"/>
      <c r="B333" s="28"/>
      <c r="C333" s="28"/>
      <c r="D333" s="28"/>
      <c r="E333" s="28"/>
    </row>
    <row r="334" spans="1:5" ht="14.25" customHeight="1" x14ac:dyDescent="0.25">
      <c r="A334" s="38"/>
      <c r="B334" s="28"/>
      <c r="C334" s="28"/>
      <c r="D334" s="28"/>
      <c r="E334" s="28"/>
    </row>
    <row r="335" spans="1:5" ht="14.25" customHeight="1" x14ac:dyDescent="0.25">
      <c r="A335" s="38"/>
      <c r="B335" s="28"/>
      <c r="C335" s="28"/>
      <c r="D335" s="28"/>
      <c r="E335" s="28"/>
    </row>
    <row r="336" spans="1:5" ht="14.25" customHeight="1" x14ac:dyDescent="0.25">
      <c r="A336" s="38"/>
      <c r="B336" s="28"/>
      <c r="C336" s="28"/>
      <c r="D336" s="28"/>
      <c r="E336" s="28"/>
    </row>
    <row r="337" spans="1:5" ht="14.25" customHeight="1" x14ac:dyDescent="0.25">
      <c r="A337" s="38"/>
      <c r="B337" s="28"/>
      <c r="C337" s="28"/>
      <c r="D337" s="28"/>
      <c r="E337" s="28"/>
    </row>
    <row r="338" spans="1:5" ht="14.25" customHeight="1" x14ac:dyDescent="0.25">
      <c r="A338" s="38"/>
      <c r="B338" s="28"/>
      <c r="C338" s="28"/>
      <c r="D338" s="28"/>
      <c r="E338" s="28"/>
    </row>
    <row r="339" spans="1:5" ht="14.25" customHeight="1" x14ac:dyDescent="0.25">
      <c r="A339" s="38"/>
      <c r="B339" s="28"/>
      <c r="C339" s="28"/>
      <c r="D339" s="28"/>
      <c r="E339" s="28"/>
    </row>
    <row r="340" spans="1:5" ht="14.25" customHeight="1" x14ac:dyDescent="0.25">
      <c r="A340" s="38"/>
      <c r="B340" s="28"/>
      <c r="C340" s="28"/>
      <c r="D340" s="28"/>
      <c r="E340" s="28"/>
    </row>
    <row r="341" spans="1:5" ht="14.25" customHeight="1" x14ac:dyDescent="0.25">
      <c r="A341" s="38"/>
      <c r="B341" s="28"/>
      <c r="C341" s="28"/>
      <c r="D341" s="28"/>
      <c r="E341" s="28"/>
    </row>
    <row r="342" spans="1:5" ht="14.25" customHeight="1" x14ac:dyDescent="0.25">
      <c r="A342" s="38"/>
      <c r="B342" s="28"/>
      <c r="C342" s="28"/>
      <c r="D342" s="28"/>
      <c r="E342" s="28"/>
    </row>
    <row r="343" spans="1:5" ht="14.25" customHeight="1" x14ac:dyDescent="0.25">
      <c r="A343" s="38"/>
      <c r="B343" s="28"/>
      <c r="C343" s="28"/>
      <c r="D343" s="28"/>
      <c r="E343" s="28"/>
    </row>
    <row r="344" spans="1:5" ht="14.25" customHeight="1" x14ac:dyDescent="0.25">
      <c r="A344" s="38"/>
      <c r="B344" s="28"/>
      <c r="C344" s="28"/>
      <c r="D344" s="28"/>
      <c r="E344" s="28"/>
    </row>
    <row r="345" spans="1:5" ht="14.25" customHeight="1" x14ac:dyDescent="0.25">
      <c r="A345" s="38"/>
      <c r="B345" s="28"/>
      <c r="C345" s="28"/>
      <c r="D345" s="28"/>
      <c r="E345" s="28"/>
    </row>
    <row r="346" spans="1:5" ht="14.25" customHeight="1" x14ac:dyDescent="0.25">
      <c r="A346" s="38"/>
      <c r="B346" s="28"/>
      <c r="C346" s="28"/>
      <c r="D346" s="28"/>
      <c r="E346" s="28"/>
    </row>
    <row r="347" spans="1:5" ht="14.25" customHeight="1" x14ac:dyDescent="0.25">
      <c r="A347" s="38"/>
      <c r="B347" s="28"/>
      <c r="C347" s="28"/>
      <c r="D347" s="28"/>
      <c r="E347" s="28"/>
    </row>
    <row r="348" spans="1:5" ht="14.25" customHeight="1" x14ac:dyDescent="0.25">
      <c r="A348" s="38"/>
      <c r="B348" s="28"/>
      <c r="C348" s="28"/>
      <c r="D348" s="28"/>
      <c r="E348" s="28"/>
    </row>
    <row r="349" spans="1:5" ht="14.25" customHeight="1" x14ac:dyDescent="0.25">
      <c r="A349" s="38"/>
      <c r="B349" s="28"/>
      <c r="C349" s="28"/>
      <c r="D349" s="28"/>
      <c r="E349" s="28"/>
    </row>
    <row r="350" spans="1:5" ht="14.25" customHeight="1" x14ac:dyDescent="0.25">
      <c r="A350" s="38"/>
      <c r="B350" s="28"/>
      <c r="C350" s="28"/>
      <c r="D350" s="28"/>
      <c r="E350" s="28"/>
    </row>
    <row r="351" spans="1:5" ht="14.25" customHeight="1" x14ac:dyDescent="0.25">
      <c r="A351" s="38"/>
      <c r="B351" s="28"/>
      <c r="C351" s="28"/>
      <c r="D351" s="28"/>
      <c r="E351" s="28"/>
    </row>
    <row r="352" spans="1:5" ht="14.25" customHeight="1" x14ac:dyDescent="0.25">
      <c r="A352" s="38"/>
      <c r="B352" s="28"/>
      <c r="C352" s="28"/>
      <c r="D352" s="28"/>
      <c r="E352" s="28"/>
    </row>
    <row r="353" spans="1:5" ht="14.25" customHeight="1" x14ac:dyDescent="0.25">
      <c r="A353" s="38"/>
      <c r="B353" s="28"/>
      <c r="C353" s="28"/>
      <c r="D353" s="28"/>
      <c r="E353" s="28"/>
    </row>
    <row r="354" spans="1:5" ht="14.25" customHeight="1" x14ac:dyDescent="0.25">
      <c r="A354" s="38"/>
      <c r="B354" s="28"/>
      <c r="C354" s="28"/>
      <c r="D354" s="28"/>
      <c r="E354" s="28"/>
    </row>
    <row r="355" spans="1:5" ht="14.25" customHeight="1" x14ac:dyDescent="0.25">
      <c r="A355" s="38"/>
      <c r="B355" s="28"/>
      <c r="C355" s="28"/>
      <c r="D355" s="28"/>
      <c r="E355" s="28"/>
    </row>
    <row r="356" spans="1:5" ht="14.25" customHeight="1" x14ac:dyDescent="0.25">
      <c r="A356" s="38"/>
      <c r="B356" s="28"/>
      <c r="C356" s="28"/>
      <c r="D356" s="28"/>
      <c r="E356" s="28"/>
    </row>
    <row r="357" spans="1:5" ht="14.25" customHeight="1" x14ac:dyDescent="0.25">
      <c r="A357" s="38"/>
      <c r="B357" s="28"/>
      <c r="C357" s="28"/>
      <c r="D357" s="28"/>
      <c r="E357" s="28"/>
    </row>
    <row r="358" spans="1:5" ht="14.25" customHeight="1" x14ac:dyDescent="0.25">
      <c r="A358" s="38"/>
      <c r="B358" s="28"/>
      <c r="C358" s="28"/>
      <c r="D358" s="28"/>
      <c r="E358" s="28"/>
    </row>
    <row r="359" spans="1:5" ht="14.25" customHeight="1" x14ac:dyDescent="0.25">
      <c r="A359" s="38"/>
      <c r="B359" s="28"/>
      <c r="C359" s="28"/>
      <c r="D359" s="28"/>
      <c r="E359" s="28"/>
    </row>
    <row r="360" spans="1:5" ht="14.25" customHeight="1" x14ac:dyDescent="0.25">
      <c r="A360" s="38"/>
      <c r="B360" s="28"/>
      <c r="C360" s="28"/>
      <c r="D360" s="28"/>
      <c r="E360" s="28"/>
    </row>
    <row r="361" spans="1:5" ht="14.25" customHeight="1" x14ac:dyDescent="0.25">
      <c r="A361" s="38"/>
      <c r="B361" s="28"/>
      <c r="C361" s="28"/>
      <c r="D361" s="28"/>
      <c r="E361" s="28"/>
    </row>
    <row r="362" spans="1:5" ht="14.25" customHeight="1" x14ac:dyDescent="0.25">
      <c r="A362" s="38"/>
      <c r="B362" s="28"/>
      <c r="C362" s="28"/>
      <c r="D362" s="28"/>
      <c r="E362" s="28"/>
    </row>
    <row r="363" spans="1:5" ht="14.25" customHeight="1" x14ac:dyDescent="0.25">
      <c r="A363" s="38"/>
      <c r="B363" s="28"/>
      <c r="C363" s="28"/>
      <c r="D363" s="28"/>
      <c r="E363" s="28"/>
    </row>
    <row r="364" spans="1:5" ht="14.25" customHeight="1" x14ac:dyDescent="0.25">
      <c r="A364" s="38"/>
      <c r="B364" s="28"/>
      <c r="C364" s="28"/>
      <c r="D364" s="28"/>
      <c r="E364" s="28"/>
    </row>
    <row r="365" spans="1:5" ht="14.25" customHeight="1" x14ac:dyDescent="0.25">
      <c r="A365" s="38"/>
      <c r="B365" s="28"/>
      <c r="C365" s="28"/>
      <c r="D365" s="28"/>
      <c r="E365" s="28"/>
    </row>
    <row r="366" spans="1:5" ht="14.25" customHeight="1" x14ac:dyDescent="0.25">
      <c r="A366" s="38"/>
      <c r="B366" s="28"/>
      <c r="C366" s="28"/>
      <c r="D366" s="28"/>
      <c r="E366" s="28"/>
    </row>
    <row r="367" spans="1:5" ht="14.25" customHeight="1" x14ac:dyDescent="0.25">
      <c r="A367" s="38"/>
      <c r="B367" s="28"/>
      <c r="C367" s="28"/>
      <c r="D367" s="28"/>
      <c r="E367" s="28"/>
    </row>
    <row r="368" spans="1:5" ht="14.25" customHeight="1" x14ac:dyDescent="0.25">
      <c r="A368" s="38"/>
      <c r="B368" s="28"/>
      <c r="C368" s="28"/>
      <c r="D368" s="28"/>
      <c r="E368" s="28"/>
    </row>
    <row r="369" spans="1:5" ht="14.25" customHeight="1" x14ac:dyDescent="0.25">
      <c r="A369" s="38"/>
      <c r="B369" s="28"/>
      <c r="C369" s="28"/>
      <c r="D369" s="28"/>
      <c r="E369" s="28"/>
    </row>
    <row r="370" spans="1:5" ht="14.25" customHeight="1" x14ac:dyDescent="0.25">
      <c r="A370" s="38"/>
      <c r="B370" s="28"/>
      <c r="C370" s="28"/>
      <c r="D370" s="28"/>
      <c r="E370" s="28"/>
    </row>
    <row r="371" spans="1:5" ht="14.25" customHeight="1" x14ac:dyDescent="0.25">
      <c r="A371" s="38"/>
      <c r="B371" s="28"/>
      <c r="C371" s="28"/>
      <c r="D371" s="28"/>
      <c r="E371" s="28"/>
    </row>
    <row r="372" spans="1:5" ht="14.25" customHeight="1" x14ac:dyDescent="0.25">
      <c r="A372" s="38"/>
      <c r="B372" s="28"/>
      <c r="C372" s="28"/>
      <c r="D372" s="28"/>
      <c r="E372" s="28"/>
    </row>
    <row r="373" spans="1:5" ht="14.25" customHeight="1" x14ac:dyDescent="0.25">
      <c r="A373" s="38"/>
      <c r="B373" s="28"/>
      <c r="C373" s="28"/>
      <c r="D373" s="28"/>
      <c r="E373" s="28"/>
    </row>
    <row r="374" spans="1:5" ht="14.25" customHeight="1" x14ac:dyDescent="0.25">
      <c r="A374" s="38"/>
      <c r="B374" s="28"/>
      <c r="C374" s="28"/>
      <c r="D374" s="28"/>
      <c r="E374" s="28"/>
    </row>
    <row r="375" spans="1:5" ht="14.25" customHeight="1" x14ac:dyDescent="0.25">
      <c r="A375" s="38"/>
      <c r="B375" s="28"/>
      <c r="C375" s="28"/>
      <c r="D375" s="28"/>
      <c r="E375" s="28"/>
    </row>
    <row r="376" spans="1:5" ht="14.25" customHeight="1" x14ac:dyDescent="0.25">
      <c r="A376" s="38"/>
      <c r="B376" s="28"/>
      <c r="C376" s="28"/>
      <c r="D376" s="28"/>
      <c r="E376" s="28"/>
    </row>
    <row r="377" spans="1:5" ht="14.25" customHeight="1" x14ac:dyDescent="0.25">
      <c r="A377" s="38"/>
      <c r="B377" s="28"/>
      <c r="C377" s="28"/>
      <c r="D377" s="28"/>
      <c r="E377" s="28"/>
    </row>
    <row r="378" spans="1:5" ht="14.25" customHeight="1" x14ac:dyDescent="0.25">
      <c r="A378" s="38"/>
      <c r="B378" s="28"/>
      <c r="C378" s="28"/>
      <c r="D378" s="28"/>
      <c r="E378" s="28"/>
    </row>
    <row r="379" spans="1:5" ht="14.25" customHeight="1" x14ac:dyDescent="0.25">
      <c r="A379" s="38"/>
      <c r="B379" s="28"/>
      <c r="C379" s="28"/>
      <c r="D379" s="28"/>
      <c r="E379" s="28"/>
    </row>
    <row r="380" spans="1:5" ht="14.25" customHeight="1" x14ac:dyDescent="0.25">
      <c r="A380" s="38"/>
      <c r="B380" s="28"/>
      <c r="C380" s="28"/>
      <c r="D380" s="28"/>
      <c r="E380" s="28"/>
    </row>
    <row r="381" spans="1:5" ht="14.25" customHeight="1" x14ac:dyDescent="0.25">
      <c r="A381" s="38"/>
      <c r="B381" s="28"/>
      <c r="C381" s="28"/>
      <c r="D381" s="28"/>
      <c r="E381" s="28"/>
    </row>
    <row r="382" spans="1:5" ht="14.25" customHeight="1" x14ac:dyDescent="0.25">
      <c r="A382" s="38"/>
      <c r="B382" s="28"/>
      <c r="C382" s="28"/>
      <c r="D382" s="28"/>
      <c r="E382" s="28"/>
    </row>
    <row r="383" spans="1:5" ht="14.25" customHeight="1" x14ac:dyDescent="0.25">
      <c r="A383" s="38"/>
      <c r="B383" s="28"/>
      <c r="C383" s="28"/>
      <c r="D383" s="28"/>
      <c r="E383" s="28"/>
    </row>
    <row r="384" spans="1:5" ht="14.25" customHeight="1" x14ac:dyDescent="0.25">
      <c r="A384" s="38"/>
      <c r="B384" s="28"/>
      <c r="C384" s="28"/>
      <c r="D384" s="28"/>
      <c r="E384" s="28"/>
    </row>
    <row r="385" spans="1:5" ht="14.25" customHeight="1" x14ac:dyDescent="0.25">
      <c r="A385" s="38"/>
      <c r="B385" s="28"/>
      <c r="C385" s="28"/>
      <c r="D385" s="28"/>
      <c r="E385" s="28"/>
    </row>
    <row r="386" spans="1:5" ht="14.25" customHeight="1" x14ac:dyDescent="0.25">
      <c r="A386" s="38"/>
      <c r="B386" s="28"/>
      <c r="C386" s="28"/>
      <c r="D386" s="28"/>
      <c r="E386" s="28"/>
    </row>
    <row r="387" spans="1:5" ht="14.25" customHeight="1" x14ac:dyDescent="0.25">
      <c r="A387" s="38"/>
      <c r="B387" s="28"/>
      <c r="C387" s="28"/>
      <c r="D387" s="28"/>
      <c r="E387" s="28"/>
    </row>
    <row r="388" spans="1:5" ht="14.25" customHeight="1" x14ac:dyDescent="0.25">
      <c r="A388" s="38"/>
      <c r="B388" s="28"/>
      <c r="C388" s="28"/>
      <c r="D388" s="28"/>
      <c r="E388" s="28"/>
    </row>
    <row r="389" spans="1:5" ht="14.25" customHeight="1" x14ac:dyDescent="0.25">
      <c r="A389" s="38"/>
      <c r="B389" s="28"/>
      <c r="C389" s="28"/>
      <c r="D389" s="28"/>
      <c r="E389" s="28"/>
    </row>
    <row r="390" spans="1:5" ht="14.25" customHeight="1" x14ac:dyDescent="0.25">
      <c r="A390" s="38"/>
      <c r="B390" s="28"/>
      <c r="C390" s="28"/>
      <c r="D390" s="28"/>
      <c r="E390" s="28"/>
    </row>
    <row r="391" spans="1:5" ht="14.25" customHeight="1" x14ac:dyDescent="0.25">
      <c r="A391" s="38"/>
      <c r="B391" s="28"/>
      <c r="C391" s="28"/>
      <c r="D391" s="28"/>
      <c r="E391" s="28"/>
    </row>
    <row r="392" spans="1:5" ht="14.25" customHeight="1" x14ac:dyDescent="0.25">
      <c r="A392" s="38"/>
      <c r="B392" s="28"/>
      <c r="C392" s="28"/>
      <c r="D392" s="28"/>
      <c r="E392" s="28"/>
    </row>
    <row r="393" spans="1:5" ht="14.25" customHeight="1" x14ac:dyDescent="0.25">
      <c r="A393" s="38"/>
      <c r="B393" s="28"/>
      <c r="C393" s="28"/>
      <c r="D393" s="28"/>
      <c r="E393" s="28"/>
    </row>
    <row r="394" spans="1:5" ht="14.25" customHeight="1" x14ac:dyDescent="0.25">
      <c r="A394" s="38"/>
      <c r="B394" s="28"/>
      <c r="C394" s="28"/>
      <c r="D394" s="28"/>
      <c r="E394" s="28"/>
    </row>
    <row r="395" spans="1:5" ht="14.25" customHeight="1" x14ac:dyDescent="0.25">
      <c r="A395" s="38"/>
      <c r="B395" s="28"/>
      <c r="C395" s="28"/>
      <c r="D395" s="28"/>
      <c r="E395" s="28"/>
    </row>
    <row r="396" spans="1:5" ht="14.25" customHeight="1" x14ac:dyDescent="0.25">
      <c r="A396" s="38"/>
      <c r="B396" s="28"/>
      <c r="C396" s="28"/>
      <c r="D396" s="28"/>
      <c r="E396" s="28"/>
    </row>
    <row r="397" spans="1:5" ht="14.25" customHeight="1" x14ac:dyDescent="0.25">
      <c r="A397" s="38"/>
      <c r="B397" s="28"/>
      <c r="C397" s="28"/>
      <c r="D397" s="28"/>
      <c r="E397" s="28"/>
    </row>
    <row r="398" spans="1:5" ht="14.25" customHeight="1" x14ac:dyDescent="0.25">
      <c r="A398" s="38"/>
      <c r="B398" s="28"/>
      <c r="C398" s="28"/>
      <c r="D398" s="28"/>
      <c r="E398" s="28"/>
    </row>
    <row r="399" spans="1:5" ht="14.25" customHeight="1" x14ac:dyDescent="0.25">
      <c r="A399" s="38"/>
      <c r="B399" s="28"/>
      <c r="C399" s="28"/>
      <c r="D399" s="28"/>
      <c r="E399" s="28"/>
    </row>
    <row r="400" spans="1:5" ht="14.25" customHeight="1" x14ac:dyDescent="0.25">
      <c r="A400" s="38"/>
      <c r="B400" s="28"/>
      <c r="C400" s="28"/>
      <c r="D400" s="28"/>
      <c r="E400" s="28"/>
    </row>
    <row r="401" spans="1:5" ht="14.25" customHeight="1" x14ac:dyDescent="0.25">
      <c r="A401" s="38"/>
      <c r="B401" s="28"/>
      <c r="C401" s="28"/>
      <c r="D401" s="28"/>
      <c r="E401" s="28"/>
    </row>
    <row r="402" spans="1:5" ht="14.25" customHeight="1" x14ac:dyDescent="0.25">
      <c r="A402" s="38"/>
      <c r="B402" s="28"/>
      <c r="C402" s="28"/>
      <c r="D402" s="28"/>
      <c r="E402" s="28"/>
    </row>
    <row r="403" spans="1:5" ht="14.25" customHeight="1" x14ac:dyDescent="0.25">
      <c r="A403" s="38"/>
      <c r="B403" s="28"/>
      <c r="C403" s="28"/>
      <c r="D403" s="28"/>
      <c r="E403" s="28"/>
    </row>
    <row r="404" spans="1:5" ht="14.25" customHeight="1" x14ac:dyDescent="0.25">
      <c r="A404" s="38"/>
      <c r="B404" s="28"/>
      <c r="C404" s="28"/>
      <c r="D404" s="28"/>
      <c r="E404" s="28"/>
    </row>
    <row r="405" spans="1:5" ht="14.25" customHeight="1" x14ac:dyDescent="0.25">
      <c r="A405" s="38"/>
      <c r="B405" s="28"/>
      <c r="C405" s="28"/>
      <c r="D405" s="28"/>
      <c r="E405" s="28"/>
    </row>
    <row r="406" spans="1:5" ht="14.25" customHeight="1" x14ac:dyDescent="0.25">
      <c r="A406" s="38"/>
      <c r="B406" s="28"/>
      <c r="C406" s="28"/>
      <c r="D406" s="28"/>
      <c r="E406" s="28"/>
    </row>
    <row r="407" spans="1:5" ht="14.25" customHeight="1" x14ac:dyDescent="0.25">
      <c r="A407" s="38"/>
      <c r="B407" s="28"/>
      <c r="C407" s="28"/>
      <c r="D407" s="28"/>
      <c r="E407" s="28"/>
    </row>
    <row r="408" spans="1:5" ht="14.25" customHeight="1" x14ac:dyDescent="0.25">
      <c r="A408" s="38"/>
      <c r="B408" s="28"/>
      <c r="C408" s="28"/>
      <c r="D408" s="28"/>
      <c r="E408" s="28"/>
    </row>
    <row r="409" spans="1:5" ht="14.25" customHeight="1" x14ac:dyDescent="0.25">
      <c r="A409" s="38"/>
      <c r="B409" s="28"/>
      <c r="C409" s="28"/>
      <c r="D409" s="28"/>
      <c r="E409" s="28"/>
    </row>
    <row r="410" spans="1:5" ht="14.25" customHeight="1" x14ac:dyDescent="0.25">
      <c r="A410" s="38"/>
      <c r="B410" s="28"/>
      <c r="C410" s="28"/>
      <c r="D410" s="28"/>
      <c r="E410" s="28"/>
    </row>
    <row r="411" spans="1:5" ht="14.25" customHeight="1" x14ac:dyDescent="0.25">
      <c r="A411" s="38"/>
      <c r="B411" s="28"/>
      <c r="C411" s="28"/>
      <c r="D411" s="28"/>
      <c r="E411" s="28"/>
    </row>
    <row r="412" spans="1:5" ht="14.25" customHeight="1" x14ac:dyDescent="0.25">
      <c r="A412" s="38"/>
      <c r="B412" s="28"/>
      <c r="C412" s="28"/>
      <c r="D412" s="28"/>
      <c r="E412" s="28"/>
    </row>
    <row r="413" spans="1:5" ht="14.25" customHeight="1" x14ac:dyDescent="0.25">
      <c r="A413" s="38"/>
      <c r="B413" s="28"/>
      <c r="C413" s="28"/>
      <c r="D413" s="28"/>
      <c r="E413" s="28"/>
    </row>
    <row r="414" spans="1:5" ht="14.25" customHeight="1" x14ac:dyDescent="0.25">
      <c r="A414" s="38"/>
      <c r="B414" s="28"/>
      <c r="C414" s="28"/>
      <c r="D414" s="28"/>
      <c r="E414" s="28"/>
    </row>
    <row r="415" spans="1:5" ht="14.25" customHeight="1" x14ac:dyDescent="0.25">
      <c r="A415" s="38"/>
      <c r="B415" s="28"/>
      <c r="C415" s="28"/>
      <c r="D415" s="28"/>
      <c r="E415" s="28"/>
    </row>
    <row r="416" spans="1:5" ht="14.25" customHeight="1" x14ac:dyDescent="0.25">
      <c r="A416" s="38"/>
      <c r="B416" s="28"/>
      <c r="C416" s="28"/>
      <c r="D416" s="28"/>
      <c r="E416" s="28"/>
    </row>
    <row r="417" spans="1:5" ht="14.25" customHeight="1" x14ac:dyDescent="0.25">
      <c r="A417" s="38"/>
      <c r="B417" s="28"/>
      <c r="C417" s="28"/>
      <c r="D417" s="28"/>
      <c r="E417" s="28"/>
    </row>
    <row r="418" spans="1:5" ht="14.25" customHeight="1" x14ac:dyDescent="0.25">
      <c r="A418" s="38"/>
      <c r="B418" s="28"/>
      <c r="C418" s="28"/>
      <c r="D418" s="28"/>
      <c r="E418" s="28"/>
    </row>
    <row r="419" spans="1:5" ht="14.25" customHeight="1" x14ac:dyDescent="0.25">
      <c r="A419" s="38"/>
      <c r="B419" s="28"/>
      <c r="C419" s="28"/>
      <c r="D419" s="28"/>
      <c r="E419" s="28"/>
    </row>
    <row r="420" spans="1:5" ht="14.25" customHeight="1" x14ac:dyDescent="0.25">
      <c r="A420" s="38"/>
      <c r="B420" s="28"/>
      <c r="C420" s="28"/>
      <c r="D420" s="28"/>
      <c r="E420" s="28"/>
    </row>
    <row r="421" spans="1:5" ht="14.25" customHeight="1" x14ac:dyDescent="0.25">
      <c r="A421" s="38"/>
      <c r="B421" s="28"/>
      <c r="C421" s="28"/>
      <c r="D421" s="28"/>
      <c r="E421" s="28"/>
    </row>
    <row r="422" spans="1:5" ht="14.25" customHeight="1" x14ac:dyDescent="0.25">
      <c r="A422" s="38"/>
      <c r="B422" s="28"/>
      <c r="C422" s="28"/>
      <c r="D422" s="28"/>
      <c r="E422" s="28"/>
    </row>
    <row r="423" spans="1:5" ht="14.25" customHeight="1" x14ac:dyDescent="0.25">
      <c r="A423" s="38"/>
      <c r="B423" s="28"/>
      <c r="C423" s="28"/>
      <c r="D423" s="28"/>
      <c r="E423" s="28"/>
    </row>
    <row r="424" spans="1:5" ht="14.25" customHeight="1" x14ac:dyDescent="0.25">
      <c r="A424" s="38"/>
      <c r="B424" s="28"/>
      <c r="C424" s="28"/>
      <c r="D424" s="28"/>
      <c r="E424" s="28"/>
    </row>
    <row r="425" spans="1:5" ht="14.25" customHeight="1" x14ac:dyDescent="0.25">
      <c r="A425" s="38"/>
      <c r="B425" s="28"/>
      <c r="C425" s="28"/>
      <c r="D425" s="28"/>
      <c r="E425" s="28"/>
    </row>
    <row r="426" spans="1:5" ht="14.25" customHeight="1" x14ac:dyDescent="0.25">
      <c r="A426" s="38"/>
      <c r="B426" s="28"/>
      <c r="C426" s="28"/>
      <c r="D426" s="28"/>
      <c r="E426" s="28"/>
    </row>
    <row r="427" spans="1:5" ht="14.25" customHeight="1" x14ac:dyDescent="0.25">
      <c r="A427" s="38"/>
      <c r="B427" s="28"/>
      <c r="C427" s="28"/>
      <c r="D427" s="28"/>
      <c r="E427" s="28"/>
    </row>
    <row r="428" spans="1:5" ht="14.25" customHeight="1" x14ac:dyDescent="0.25">
      <c r="A428" s="38"/>
      <c r="B428" s="28"/>
      <c r="C428" s="28"/>
      <c r="D428" s="28"/>
      <c r="E428" s="28"/>
    </row>
    <row r="429" spans="1:5" ht="14.25" customHeight="1" x14ac:dyDescent="0.25">
      <c r="A429" s="38"/>
      <c r="B429" s="28"/>
      <c r="C429" s="28"/>
      <c r="D429" s="28"/>
      <c r="E429" s="28"/>
    </row>
    <row r="430" spans="1:5" ht="14.25" customHeight="1" x14ac:dyDescent="0.25">
      <c r="A430" s="38"/>
      <c r="B430" s="28"/>
      <c r="C430" s="28"/>
      <c r="D430" s="28"/>
      <c r="E430" s="28"/>
    </row>
    <row r="431" spans="1:5" ht="14.25" customHeight="1" x14ac:dyDescent="0.25">
      <c r="A431" s="38"/>
      <c r="B431" s="28"/>
      <c r="C431" s="28"/>
      <c r="D431" s="28"/>
      <c r="E431" s="28"/>
    </row>
    <row r="432" spans="1:5" ht="14.25" customHeight="1" x14ac:dyDescent="0.25">
      <c r="A432" s="38"/>
      <c r="B432" s="28"/>
      <c r="C432" s="28"/>
      <c r="D432" s="28"/>
      <c r="E432" s="28"/>
    </row>
    <row r="433" spans="1:5" ht="14.25" customHeight="1" x14ac:dyDescent="0.25">
      <c r="A433" s="38"/>
      <c r="B433" s="28"/>
      <c r="C433" s="28"/>
      <c r="D433" s="28"/>
      <c r="E433" s="28"/>
    </row>
    <row r="434" spans="1:5" ht="14.25" customHeight="1" x14ac:dyDescent="0.25">
      <c r="A434" s="38"/>
      <c r="B434" s="28"/>
      <c r="C434" s="28"/>
      <c r="D434" s="28"/>
      <c r="E434" s="28"/>
    </row>
    <row r="435" spans="1:5" ht="14.25" customHeight="1" x14ac:dyDescent="0.25">
      <c r="A435" s="38"/>
      <c r="B435" s="28"/>
      <c r="C435" s="28"/>
      <c r="D435" s="28"/>
      <c r="E435" s="28"/>
    </row>
    <row r="436" spans="1:5" ht="14.25" customHeight="1" x14ac:dyDescent="0.25">
      <c r="A436" s="38"/>
      <c r="B436" s="28"/>
      <c r="C436" s="28"/>
      <c r="D436" s="28"/>
      <c r="E436" s="28"/>
    </row>
    <row r="437" spans="1:5" ht="14.25" customHeight="1" x14ac:dyDescent="0.25">
      <c r="A437" s="38"/>
      <c r="B437" s="28"/>
      <c r="C437" s="28"/>
      <c r="D437" s="28"/>
      <c r="E437" s="28"/>
    </row>
    <row r="438" spans="1:5" ht="14.25" customHeight="1" x14ac:dyDescent="0.25">
      <c r="A438" s="38"/>
      <c r="B438" s="28"/>
      <c r="C438" s="28"/>
      <c r="D438" s="28"/>
      <c r="E438" s="28"/>
    </row>
    <row r="439" spans="1:5" ht="14.25" customHeight="1" x14ac:dyDescent="0.25">
      <c r="A439" s="38"/>
      <c r="B439" s="28"/>
      <c r="C439" s="28"/>
      <c r="D439" s="28"/>
      <c r="E439" s="28"/>
    </row>
    <row r="440" spans="1:5" ht="14.25" customHeight="1" x14ac:dyDescent="0.25">
      <c r="A440" s="38"/>
      <c r="B440" s="28"/>
      <c r="C440" s="28"/>
      <c r="D440" s="28"/>
      <c r="E440" s="28"/>
    </row>
    <row r="441" spans="1:5" ht="14.25" customHeight="1" x14ac:dyDescent="0.25">
      <c r="A441" s="38"/>
      <c r="B441" s="28"/>
      <c r="C441" s="28"/>
      <c r="D441" s="28"/>
      <c r="E441" s="28"/>
    </row>
    <row r="442" spans="1:5" ht="14.25" customHeight="1" x14ac:dyDescent="0.25">
      <c r="A442" s="38"/>
      <c r="B442" s="28"/>
      <c r="C442" s="28"/>
      <c r="D442" s="28"/>
      <c r="E442" s="28"/>
    </row>
    <row r="443" spans="1:5" ht="14.25" customHeight="1" x14ac:dyDescent="0.25">
      <c r="A443" s="38"/>
      <c r="B443" s="28"/>
      <c r="C443" s="28"/>
      <c r="D443" s="28"/>
      <c r="E443" s="28"/>
    </row>
    <row r="444" spans="1:5" ht="14.25" customHeight="1" x14ac:dyDescent="0.25">
      <c r="A444" s="38"/>
      <c r="B444" s="28"/>
      <c r="C444" s="28"/>
      <c r="D444" s="28"/>
      <c r="E444" s="28"/>
    </row>
    <row r="445" spans="1:5" ht="14.25" customHeight="1" x14ac:dyDescent="0.25">
      <c r="A445" s="38"/>
      <c r="B445" s="28"/>
      <c r="C445" s="28"/>
      <c r="D445" s="28"/>
      <c r="E445" s="28"/>
    </row>
    <row r="446" spans="1:5" ht="14.25" customHeight="1" x14ac:dyDescent="0.25">
      <c r="A446" s="38"/>
      <c r="B446" s="28"/>
      <c r="C446" s="28"/>
      <c r="D446" s="28"/>
      <c r="E446" s="28"/>
    </row>
    <row r="447" spans="1:5" ht="14.25" customHeight="1" x14ac:dyDescent="0.25">
      <c r="A447" s="38"/>
      <c r="B447" s="28"/>
      <c r="C447" s="28"/>
      <c r="D447" s="28"/>
      <c r="E447" s="28"/>
    </row>
    <row r="448" spans="1:5" ht="14.25" customHeight="1" x14ac:dyDescent="0.25">
      <c r="A448" s="38"/>
      <c r="B448" s="28"/>
      <c r="C448" s="28"/>
      <c r="D448" s="28"/>
      <c r="E448" s="28"/>
    </row>
    <row r="449" spans="1:5" ht="14.25" customHeight="1" x14ac:dyDescent="0.25">
      <c r="A449" s="38"/>
      <c r="B449" s="28"/>
      <c r="C449" s="28"/>
      <c r="D449" s="28"/>
      <c r="E449" s="28"/>
    </row>
    <row r="450" spans="1:5" ht="14.25" customHeight="1" x14ac:dyDescent="0.25">
      <c r="A450" s="38"/>
      <c r="B450" s="28"/>
      <c r="C450" s="28"/>
      <c r="D450" s="28"/>
      <c r="E450" s="28"/>
    </row>
    <row r="451" spans="1:5" ht="14.25" customHeight="1" x14ac:dyDescent="0.25">
      <c r="A451" s="38"/>
      <c r="B451" s="28"/>
      <c r="C451" s="28"/>
      <c r="D451" s="28"/>
      <c r="E451" s="28"/>
    </row>
    <row r="452" spans="1:5" ht="14.25" customHeight="1" x14ac:dyDescent="0.25">
      <c r="A452" s="38"/>
      <c r="B452" s="28"/>
      <c r="C452" s="28"/>
      <c r="D452" s="28"/>
      <c r="E452" s="28"/>
    </row>
    <row r="453" spans="1:5" ht="14.25" customHeight="1" x14ac:dyDescent="0.25">
      <c r="A453" s="38"/>
      <c r="B453" s="28"/>
      <c r="C453" s="28"/>
      <c r="D453" s="28"/>
      <c r="E453" s="28"/>
    </row>
    <row r="454" spans="1:5" ht="14.25" customHeight="1" x14ac:dyDescent="0.25">
      <c r="A454" s="38"/>
      <c r="B454" s="28"/>
      <c r="C454" s="28"/>
      <c r="D454" s="28"/>
      <c r="E454" s="28"/>
    </row>
    <row r="455" spans="1:5" ht="14.25" customHeight="1" x14ac:dyDescent="0.25">
      <c r="A455" s="38"/>
      <c r="B455" s="28"/>
      <c r="C455" s="28"/>
      <c r="D455" s="28"/>
      <c r="E455" s="28"/>
    </row>
    <row r="456" spans="1:5" ht="14.25" customHeight="1" x14ac:dyDescent="0.25">
      <c r="A456" s="38"/>
      <c r="B456" s="28"/>
      <c r="C456" s="28"/>
      <c r="D456" s="28"/>
      <c r="E456" s="28"/>
    </row>
    <row r="457" spans="1:5" ht="14.25" customHeight="1" x14ac:dyDescent="0.25">
      <c r="A457" s="38"/>
      <c r="B457" s="28"/>
      <c r="C457" s="28"/>
      <c r="D457" s="28"/>
      <c r="E457" s="28"/>
    </row>
    <row r="458" spans="1:5" ht="14.25" customHeight="1" x14ac:dyDescent="0.25">
      <c r="A458" s="38"/>
      <c r="B458" s="28"/>
      <c r="C458" s="28"/>
      <c r="D458" s="28"/>
      <c r="E458" s="28"/>
    </row>
    <row r="459" spans="1:5" ht="14.25" customHeight="1" x14ac:dyDescent="0.25">
      <c r="A459" s="38"/>
      <c r="B459" s="28"/>
      <c r="C459" s="28"/>
      <c r="D459" s="28"/>
      <c r="E459" s="28"/>
    </row>
    <row r="460" spans="1:5" ht="14.25" customHeight="1" x14ac:dyDescent="0.25">
      <c r="A460" s="38"/>
      <c r="B460" s="28"/>
      <c r="C460" s="28"/>
      <c r="D460" s="28"/>
      <c r="E460" s="28"/>
    </row>
    <row r="461" spans="1:5" ht="14.25" customHeight="1" x14ac:dyDescent="0.25">
      <c r="A461" s="38"/>
      <c r="B461" s="28"/>
      <c r="C461" s="28"/>
      <c r="D461" s="28"/>
      <c r="E461" s="28"/>
    </row>
    <row r="462" spans="1:5" ht="14.25" customHeight="1" x14ac:dyDescent="0.25">
      <c r="A462" s="38"/>
      <c r="B462" s="28"/>
      <c r="C462" s="28"/>
      <c r="D462" s="28"/>
      <c r="E462" s="28"/>
    </row>
    <row r="463" spans="1:5" ht="14.25" customHeight="1" x14ac:dyDescent="0.25">
      <c r="A463" s="38"/>
      <c r="B463" s="28"/>
      <c r="C463" s="28"/>
      <c r="D463" s="28"/>
      <c r="E463" s="28"/>
    </row>
    <row r="464" spans="1:5" ht="14.25" customHeight="1" x14ac:dyDescent="0.25">
      <c r="A464" s="38"/>
      <c r="B464" s="28"/>
      <c r="C464" s="28"/>
      <c r="D464" s="28"/>
      <c r="E464" s="28"/>
    </row>
    <row r="465" spans="1:5" ht="14.25" customHeight="1" x14ac:dyDescent="0.25">
      <c r="A465" s="38"/>
      <c r="B465" s="28"/>
      <c r="C465" s="28"/>
      <c r="D465" s="28"/>
      <c r="E465" s="28"/>
    </row>
    <row r="466" spans="1:5" ht="14.25" customHeight="1" x14ac:dyDescent="0.25">
      <c r="A466" s="38"/>
      <c r="B466" s="28"/>
      <c r="C466" s="28"/>
      <c r="D466" s="28"/>
      <c r="E466" s="28"/>
    </row>
    <row r="467" spans="1:5" ht="14.25" customHeight="1" x14ac:dyDescent="0.25">
      <c r="A467" s="38"/>
      <c r="B467" s="28"/>
      <c r="C467" s="28"/>
      <c r="D467" s="28"/>
      <c r="E467" s="28"/>
    </row>
    <row r="468" spans="1:5" ht="14.25" customHeight="1" x14ac:dyDescent="0.25">
      <c r="A468" s="38"/>
      <c r="B468" s="28"/>
      <c r="C468" s="28"/>
      <c r="D468" s="28"/>
      <c r="E468" s="28"/>
    </row>
    <row r="469" spans="1:5" ht="14.25" customHeight="1" x14ac:dyDescent="0.25">
      <c r="A469" s="38"/>
      <c r="B469" s="28"/>
      <c r="C469" s="28"/>
      <c r="D469" s="28"/>
      <c r="E469" s="28"/>
    </row>
    <row r="470" spans="1:5" ht="14.25" customHeight="1" x14ac:dyDescent="0.25">
      <c r="A470" s="38"/>
      <c r="B470" s="28"/>
      <c r="C470" s="28"/>
      <c r="D470" s="28"/>
      <c r="E470" s="28"/>
    </row>
    <row r="471" spans="1:5" ht="14.25" customHeight="1" x14ac:dyDescent="0.25">
      <c r="A471" s="38"/>
      <c r="B471" s="28"/>
      <c r="C471" s="28"/>
      <c r="D471" s="28"/>
      <c r="E471" s="28"/>
    </row>
    <row r="472" spans="1:5" ht="14.25" customHeight="1" x14ac:dyDescent="0.25">
      <c r="A472" s="38"/>
      <c r="B472" s="28"/>
      <c r="C472" s="28"/>
      <c r="D472" s="28"/>
      <c r="E472" s="28"/>
    </row>
    <row r="473" spans="1:5" ht="14.25" customHeight="1" x14ac:dyDescent="0.25">
      <c r="A473" s="38"/>
      <c r="B473" s="28"/>
      <c r="C473" s="28"/>
      <c r="D473" s="28"/>
      <c r="E473" s="28"/>
    </row>
    <row r="474" spans="1:5" ht="14.25" customHeight="1" x14ac:dyDescent="0.25">
      <c r="A474" s="38"/>
      <c r="B474" s="28"/>
      <c r="C474" s="28"/>
      <c r="D474" s="28"/>
      <c r="E474" s="28"/>
    </row>
    <row r="475" spans="1:5" ht="14.25" customHeight="1" x14ac:dyDescent="0.25">
      <c r="A475" s="38"/>
      <c r="B475" s="28"/>
      <c r="C475" s="28"/>
      <c r="D475" s="28"/>
      <c r="E475" s="28"/>
    </row>
    <row r="476" spans="1:5" ht="14.25" customHeight="1" x14ac:dyDescent="0.25">
      <c r="A476" s="38"/>
      <c r="B476" s="28"/>
      <c r="C476" s="28"/>
      <c r="D476" s="28"/>
      <c r="E476" s="28"/>
    </row>
    <row r="477" spans="1:5" ht="14.25" customHeight="1" x14ac:dyDescent="0.25">
      <c r="A477" s="38"/>
      <c r="B477" s="28"/>
      <c r="C477" s="28"/>
      <c r="D477" s="28"/>
      <c r="E477" s="28"/>
    </row>
    <row r="478" spans="1:5" ht="14.25" customHeight="1" x14ac:dyDescent="0.25">
      <c r="A478" s="38"/>
      <c r="B478" s="28"/>
      <c r="C478" s="28"/>
      <c r="D478" s="28"/>
      <c r="E478" s="28"/>
    </row>
    <row r="479" spans="1:5" ht="14.25" customHeight="1" x14ac:dyDescent="0.25">
      <c r="A479" s="38"/>
      <c r="B479" s="28"/>
      <c r="C479" s="28"/>
      <c r="D479" s="28"/>
      <c r="E479" s="28"/>
    </row>
    <row r="480" spans="1:5" ht="14.25" customHeight="1" x14ac:dyDescent="0.25">
      <c r="A480" s="38"/>
      <c r="B480" s="28"/>
      <c r="C480" s="28"/>
      <c r="D480" s="28"/>
      <c r="E480" s="28"/>
    </row>
    <row r="481" spans="1:5" ht="14.25" customHeight="1" x14ac:dyDescent="0.25">
      <c r="A481" s="38"/>
      <c r="B481" s="28"/>
      <c r="C481" s="28"/>
      <c r="D481" s="28"/>
      <c r="E481" s="28"/>
    </row>
    <row r="482" spans="1:5" ht="14.25" customHeight="1" x14ac:dyDescent="0.25">
      <c r="A482" s="38"/>
      <c r="B482" s="28"/>
      <c r="C482" s="28"/>
      <c r="D482" s="28"/>
      <c r="E482" s="28"/>
    </row>
    <row r="483" spans="1:5" ht="14.25" customHeight="1" x14ac:dyDescent="0.25">
      <c r="A483" s="38"/>
      <c r="B483" s="28"/>
      <c r="C483" s="28"/>
      <c r="D483" s="28"/>
      <c r="E483" s="28"/>
    </row>
    <row r="484" spans="1:5" ht="14.25" customHeight="1" x14ac:dyDescent="0.25">
      <c r="A484" s="38"/>
      <c r="B484" s="28"/>
      <c r="C484" s="28"/>
      <c r="D484" s="28"/>
      <c r="E484" s="28"/>
    </row>
    <row r="485" spans="1:5" ht="14.25" customHeight="1" x14ac:dyDescent="0.25">
      <c r="A485" s="38"/>
      <c r="B485" s="28"/>
      <c r="C485" s="28"/>
      <c r="D485" s="28"/>
      <c r="E485" s="28"/>
    </row>
    <row r="486" spans="1:5" ht="14.25" customHeight="1" x14ac:dyDescent="0.25">
      <c r="A486" s="38"/>
      <c r="B486" s="28"/>
      <c r="C486" s="28"/>
      <c r="D486" s="28"/>
      <c r="E486" s="28"/>
    </row>
    <row r="487" spans="1:5" ht="14.25" customHeight="1" x14ac:dyDescent="0.25">
      <c r="A487" s="38"/>
      <c r="B487" s="28"/>
      <c r="C487" s="28"/>
      <c r="D487" s="28"/>
      <c r="E487" s="28"/>
    </row>
    <row r="488" spans="1:5" ht="14.25" customHeight="1" x14ac:dyDescent="0.25">
      <c r="A488" s="38"/>
      <c r="B488" s="28"/>
      <c r="C488" s="28"/>
      <c r="D488" s="28"/>
      <c r="E488" s="28"/>
    </row>
    <row r="489" spans="1:5" ht="14.25" customHeight="1" x14ac:dyDescent="0.25">
      <c r="A489" s="38"/>
      <c r="B489" s="28"/>
      <c r="C489" s="28"/>
      <c r="D489" s="28"/>
      <c r="E489" s="28"/>
    </row>
    <row r="490" spans="1:5" ht="14.25" customHeight="1" x14ac:dyDescent="0.25">
      <c r="A490" s="38"/>
      <c r="B490" s="28"/>
      <c r="C490" s="28"/>
      <c r="D490" s="28"/>
      <c r="E490" s="28"/>
    </row>
    <row r="491" spans="1:5" ht="14.25" customHeight="1" x14ac:dyDescent="0.25">
      <c r="A491" s="38"/>
      <c r="B491" s="28"/>
      <c r="C491" s="28"/>
      <c r="D491" s="28"/>
      <c r="E491" s="28"/>
    </row>
    <row r="492" spans="1:5" ht="14.25" customHeight="1" x14ac:dyDescent="0.25">
      <c r="A492" s="38"/>
      <c r="B492" s="28"/>
      <c r="C492" s="28"/>
      <c r="D492" s="28"/>
      <c r="E492" s="28"/>
    </row>
    <row r="493" spans="1:5" ht="14.25" customHeight="1" x14ac:dyDescent="0.25">
      <c r="A493" s="38"/>
      <c r="B493" s="28"/>
      <c r="C493" s="28"/>
      <c r="D493" s="28"/>
      <c r="E493" s="28"/>
    </row>
    <row r="494" spans="1:5" ht="14.25" customHeight="1" x14ac:dyDescent="0.25">
      <c r="A494" s="38"/>
      <c r="B494" s="28"/>
      <c r="C494" s="28"/>
      <c r="D494" s="28"/>
      <c r="E494" s="28"/>
    </row>
    <row r="495" spans="1:5" ht="14.25" customHeight="1" x14ac:dyDescent="0.25">
      <c r="A495" s="38"/>
      <c r="B495" s="28"/>
      <c r="C495" s="28"/>
      <c r="D495" s="28"/>
      <c r="E495" s="28"/>
    </row>
    <row r="496" spans="1:5" ht="14.25" customHeight="1" x14ac:dyDescent="0.25">
      <c r="A496" s="38"/>
      <c r="B496" s="28"/>
      <c r="C496" s="28"/>
      <c r="D496" s="28"/>
      <c r="E496" s="28"/>
    </row>
    <row r="497" spans="1:5" ht="14.25" customHeight="1" x14ac:dyDescent="0.25">
      <c r="A497" s="38"/>
      <c r="B497" s="28"/>
      <c r="C497" s="28"/>
      <c r="D497" s="28"/>
      <c r="E497" s="28"/>
    </row>
    <row r="498" spans="1:5" ht="14.25" customHeight="1" x14ac:dyDescent="0.25">
      <c r="A498" s="38"/>
      <c r="B498" s="28"/>
      <c r="C498" s="28"/>
      <c r="D498" s="28"/>
      <c r="E498" s="28"/>
    </row>
    <row r="499" spans="1:5" ht="14.25" customHeight="1" x14ac:dyDescent="0.25">
      <c r="A499" s="38"/>
      <c r="B499" s="28"/>
      <c r="C499" s="28"/>
      <c r="D499" s="28"/>
      <c r="E499" s="28"/>
    </row>
    <row r="500" spans="1:5" ht="14.25" customHeight="1" x14ac:dyDescent="0.25">
      <c r="A500" s="38"/>
      <c r="B500" s="28"/>
      <c r="C500" s="28"/>
      <c r="D500" s="28"/>
      <c r="E500" s="28"/>
    </row>
    <row r="501" spans="1:5" ht="14.25" customHeight="1" x14ac:dyDescent="0.25">
      <c r="A501" s="38"/>
      <c r="B501" s="28"/>
      <c r="C501" s="28"/>
      <c r="D501" s="28"/>
      <c r="E501" s="28"/>
    </row>
    <row r="502" spans="1:5" ht="14.25" customHeight="1" x14ac:dyDescent="0.25">
      <c r="A502" s="38"/>
      <c r="B502" s="28"/>
      <c r="C502" s="28"/>
      <c r="D502" s="28"/>
      <c r="E502" s="28"/>
    </row>
    <row r="503" spans="1:5" ht="14.25" customHeight="1" x14ac:dyDescent="0.25">
      <c r="A503" s="38"/>
      <c r="B503" s="28"/>
      <c r="C503" s="28"/>
      <c r="D503" s="28"/>
      <c r="E503" s="28"/>
    </row>
    <row r="504" spans="1:5" ht="14.25" customHeight="1" x14ac:dyDescent="0.25">
      <c r="A504" s="38"/>
      <c r="B504" s="28"/>
      <c r="C504" s="28"/>
      <c r="D504" s="28"/>
      <c r="E504" s="28"/>
    </row>
    <row r="505" spans="1:5" ht="14.25" customHeight="1" x14ac:dyDescent="0.25">
      <c r="A505" s="38"/>
      <c r="B505" s="28"/>
      <c r="C505" s="28"/>
      <c r="D505" s="28"/>
      <c r="E505" s="28"/>
    </row>
    <row r="506" spans="1:5" ht="14.25" customHeight="1" x14ac:dyDescent="0.25">
      <c r="A506" s="38"/>
      <c r="B506" s="28"/>
      <c r="C506" s="28"/>
      <c r="D506" s="28"/>
      <c r="E506" s="28"/>
    </row>
    <row r="507" spans="1:5" ht="14.25" customHeight="1" x14ac:dyDescent="0.25">
      <c r="A507" s="38"/>
      <c r="B507" s="28"/>
      <c r="C507" s="28"/>
      <c r="D507" s="28"/>
      <c r="E507" s="28"/>
    </row>
    <row r="508" spans="1:5" ht="14.25" customHeight="1" x14ac:dyDescent="0.25">
      <c r="A508" s="38"/>
      <c r="B508" s="28"/>
      <c r="C508" s="28"/>
      <c r="D508" s="28"/>
      <c r="E508" s="28"/>
    </row>
    <row r="509" spans="1:5" ht="14.25" customHeight="1" x14ac:dyDescent="0.25">
      <c r="A509" s="38"/>
      <c r="B509" s="28"/>
      <c r="C509" s="28"/>
      <c r="D509" s="28"/>
      <c r="E509" s="28"/>
    </row>
    <row r="510" spans="1:5" ht="14.25" customHeight="1" x14ac:dyDescent="0.25">
      <c r="A510" s="38"/>
      <c r="B510" s="28"/>
      <c r="C510" s="28"/>
      <c r="D510" s="28"/>
      <c r="E510" s="28"/>
    </row>
    <row r="511" spans="1:5" ht="14.25" customHeight="1" x14ac:dyDescent="0.25">
      <c r="A511" s="38"/>
      <c r="B511" s="28"/>
      <c r="C511" s="28"/>
      <c r="D511" s="28"/>
      <c r="E511" s="28"/>
    </row>
    <row r="512" spans="1:5" ht="14.25" customHeight="1" x14ac:dyDescent="0.25">
      <c r="A512" s="38"/>
      <c r="B512" s="28"/>
      <c r="C512" s="28"/>
      <c r="D512" s="28"/>
      <c r="E512" s="28"/>
    </row>
    <row r="513" spans="1:5" ht="14.25" customHeight="1" x14ac:dyDescent="0.25">
      <c r="A513" s="38"/>
      <c r="B513" s="28"/>
      <c r="C513" s="28"/>
      <c r="D513" s="28"/>
      <c r="E513" s="28"/>
    </row>
    <row r="514" spans="1:5" ht="14.25" customHeight="1" x14ac:dyDescent="0.25">
      <c r="A514" s="38"/>
      <c r="B514" s="28"/>
      <c r="C514" s="28"/>
      <c r="D514" s="28"/>
      <c r="E514" s="28"/>
    </row>
    <row r="515" spans="1:5" ht="14.25" customHeight="1" x14ac:dyDescent="0.25">
      <c r="A515" s="38"/>
      <c r="B515" s="28"/>
      <c r="C515" s="28"/>
      <c r="D515" s="28"/>
      <c r="E515" s="28"/>
    </row>
    <row r="516" spans="1:5" ht="14.25" customHeight="1" x14ac:dyDescent="0.25">
      <c r="A516" s="38"/>
      <c r="B516" s="28"/>
      <c r="C516" s="28"/>
      <c r="D516" s="28"/>
      <c r="E516" s="28"/>
    </row>
    <row r="517" spans="1:5" ht="14.25" customHeight="1" x14ac:dyDescent="0.25">
      <c r="A517" s="38"/>
      <c r="B517" s="28"/>
      <c r="C517" s="28"/>
      <c r="D517" s="28"/>
      <c r="E517" s="28"/>
    </row>
    <row r="518" spans="1:5" ht="14.25" customHeight="1" x14ac:dyDescent="0.25">
      <c r="A518" s="38"/>
      <c r="B518" s="28"/>
      <c r="C518" s="28"/>
      <c r="D518" s="28"/>
      <c r="E518" s="28"/>
    </row>
    <row r="519" spans="1:5" ht="14.25" customHeight="1" x14ac:dyDescent="0.25">
      <c r="A519" s="38"/>
      <c r="B519" s="28"/>
      <c r="C519" s="28"/>
      <c r="D519" s="28"/>
      <c r="E519" s="28"/>
    </row>
    <row r="520" spans="1:5" ht="14.25" customHeight="1" x14ac:dyDescent="0.25">
      <c r="A520" s="38"/>
      <c r="B520" s="28"/>
      <c r="C520" s="28"/>
      <c r="D520" s="28"/>
      <c r="E520" s="28"/>
    </row>
    <row r="521" spans="1:5" ht="14.25" customHeight="1" x14ac:dyDescent="0.25">
      <c r="A521" s="38"/>
      <c r="B521" s="28"/>
      <c r="C521" s="28"/>
      <c r="D521" s="28"/>
      <c r="E521" s="28"/>
    </row>
    <row r="522" spans="1:5" ht="14.25" customHeight="1" x14ac:dyDescent="0.25">
      <c r="A522" s="38"/>
      <c r="B522" s="28"/>
      <c r="C522" s="28"/>
      <c r="D522" s="28"/>
      <c r="E522" s="28"/>
    </row>
    <row r="523" spans="1:5" ht="14.25" customHeight="1" x14ac:dyDescent="0.25">
      <c r="A523" s="38"/>
      <c r="B523" s="28"/>
      <c r="C523" s="28"/>
      <c r="D523" s="28"/>
      <c r="E523" s="28"/>
    </row>
    <row r="524" spans="1:5" ht="14.25" customHeight="1" x14ac:dyDescent="0.25">
      <c r="A524" s="38"/>
      <c r="B524" s="28"/>
      <c r="C524" s="28"/>
      <c r="D524" s="28"/>
      <c r="E524" s="28"/>
    </row>
    <row r="525" spans="1:5" ht="14.25" customHeight="1" x14ac:dyDescent="0.25">
      <c r="A525" s="38"/>
      <c r="B525" s="28"/>
      <c r="C525" s="28"/>
      <c r="D525" s="28"/>
      <c r="E525" s="28"/>
    </row>
    <row r="526" spans="1:5" ht="14.25" customHeight="1" x14ac:dyDescent="0.25">
      <c r="A526" s="38"/>
      <c r="B526" s="28"/>
      <c r="C526" s="28"/>
      <c r="D526" s="28"/>
      <c r="E526" s="28"/>
    </row>
    <row r="527" spans="1:5" ht="14.25" customHeight="1" x14ac:dyDescent="0.25">
      <c r="A527" s="38"/>
      <c r="B527" s="28"/>
      <c r="C527" s="28"/>
      <c r="D527" s="28"/>
      <c r="E527" s="28"/>
    </row>
    <row r="528" spans="1:5" ht="14.25" customHeight="1" x14ac:dyDescent="0.25">
      <c r="A528" s="38"/>
      <c r="B528" s="28"/>
      <c r="C528" s="28"/>
      <c r="D528" s="28"/>
      <c r="E528" s="28"/>
    </row>
    <row r="529" spans="1:5" ht="14.25" customHeight="1" x14ac:dyDescent="0.25">
      <c r="A529" s="38"/>
      <c r="B529" s="28"/>
      <c r="C529" s="28"/>
      <c r="D529" s="28"/>
      <c r="E529" s="28"/>
    </row>
    <row r="530" spans="1:5" ht="14.25" customHeight="1" x14ac:dyDescent="0.25">
      <c r="A530" s="38"/>
      <c r="B530" s="28"/>
      <c r="C530" s="28"/>
      <c r="D530" s="28"/>
      <c r="E530" s="28"/>
    </row>
    <row r="531" spans="1:5" ht="14.25" customHeight="1" x14ac:dyDescent="0.25">
      <c r="A531" s="38"/>
      <c r="B531" s="28"/>
      <c r="C531" s="28"/>
      <c r="D531" s="28"/>
      <c r="E531" s="28"/>
    </row>
    <row r="532" spans="1:5" ht="14.25" customHeight="1" x14ac:dyDescent="0.25">
      <c r="A532" s="38"/>
      <c r="B532" s="28"/>
      <c r="C532" s="28"/>
      <c r="D532" s="28"/>
      <c r="E532" s="28"/>
    </row>
    <row r="533" spans="1:5" ht="14.25" customHeight="1" x14ac:dyDescent="0.25">
      <c r="A533" s="38"/>
      <c r="B533" s="28"/>
      <c r="C533" s="28"/>
      <c r="D533" s="28"/>
      <c r="E533" s="28"/>
    </row>
    <row r="534" spans="1:5" ht="14.25" customHeight="1" x14ac:dyDescent="0.25">
      <c r="A534" s="38"/>
      <c r="B534" s="28"/>
      <c r="C534" s="28"/>
      <c r="D534" s="28"/>
      <c r="E534" s="28"/>
    </row>
    <row r="535" spans="1:5" ht="14.25" customHeight="1" x14ac:dyDescent="0.25">
      <c r="A535" s="38"/>
      <c r="B535" s="28"/>
      <c r="C535" s="28"/>
      <c r="D535" s="28"/>
      <c r="E535" s="28"/>
    </row>
    <row r="536" spans="1:5" ht="14.25" customHeight="1" x14ac:dyDescent="0.25">
      <c r="A536" s="38"/>
      <c r="B536" s="28"/>
      <c r="C536" s="28"/>
      <c r="D536" s="28"/>
      <c r="E536" s="28"/>
    </row>
    <row r="537" spans="1:5" ht="14.25" customHeight="1" x14ac:dyDescent="0.25">
      <c r="A537" s="38"/>
      <c r="B537" s="28"/>
      <c r="C537" s="28"/>
      <c r="D537" s="28"/>
      <c r="E537" s="28"/>
    </row>
    <row r="538" spans="1:5" ht="14.25" customHeight="1" x14ac:dyDescent="0.25">
      <c r="A538" s="38"/>
      <c r="B538" s="28"/>
      <c r="C538" s="28"/>
      <c r="D538" s="28"/>
      <c r="E538" s="28"/>
    </row>
    <row r="539" spans="1:5" ht="14.25" customHeight="1" x14ac:dyDescent="0.25">
      <c r="A539" s="38"/>
      <c r="B539" s="28"/>
      <c r="C539" s="28"/>
      <c r="D539" s="28"/>
      <c r="E539" s="28"/>
    </row>
    <row r="540" spans="1:5" ht="14.25" customHeight="1" x14ac:dyDescent="0.25">
      <c r="A540" s="38"/>
      <c r="B540" s="28"/>
      <c r="C540" s="28"/>
      <c r="D540" s="28"/>
      <c r="E540" s="28"/>
    </row>
    <row r="541" spans="1:5" ht="14.25" customHeight="1" x14ac:dyDescent="0.25">
      <c r="A541" s="38"/>
      <c r="B541" s="28"/>
      <c r="C541" s="28"/>
      <c r="D541" s="28"/>
      <c r="E541" s="28"/>
    </row>
    <row r="542" spans="1:5" ht="14.25" customHeight="1" x14ac:dyDescent="0.25">
      <c r="A542" s="38"/>
      <c r="B542" s="28"/>
      <c r="C542" s="28"/>
      <c r="D542" s="28"/>
      <c r="E542" s="28"/>
    </row>
    <row r="543" spans="1:5" ht="14.25" customHeight="1" x14ac:dyDescent="0.25">
      <c r="A543" s="38"/>
      <c r="B543" s="28"/>
      <c r="C543" s="28"/>
      <c r="D543" s="28"/>
      <c r="E543" s="28"/>
    </row>
    <row r="544" spans="1:5" ht="14.25" customHeight="1" x14ac:dyDescent="0.25">
      <c r="A544" s="38"/>
      <c r="B544" s="28"/>
      <c r="C544" s="28"/>
      <c r="D544" s="28"/>
      <c r="E544" s="28"/>
    </row>
    <row r="545" spans="1:5" ht="14.25" customHeight="1" x14ac:dyDescent="0.25">
      <c r="A545" s="38"/>
      <c r="B545" s="28"/>
      <c r="C545" s="28"/>
      <c r="D545" s="28"/>
      <c r="E545" s="28"/>
    </row>
    <row r="546" spans="1:5" ht="14.25" customHeight="1" x14ac:dyDescent="0.25">
      <c r="A546" s="38"/>
      <c r="B546" s="28"/>
      <c r="C546" s="28"/>
      <c r="D546" s="28"/>
      <c r="E546" s="28"/>
    </row>
    <row r="547" spans="1:5" ht="14.25" customHeight="1" x14ac:dyDescent="0.25">
      <c r="A547" s="38"/>
      <c r="B547" s="28"/>
      <c r="C547" s="28"/>
      <c r="D547" s="28"/>
      <c r="E547" s="28"/>
    </row>
    <row r="548" spans="1:5" ht="14.25" customHeight="1" x14ac:dyDescent="0.25">
      <c r="A548" s="38"/>
      <c r="B548" s="28"/>
      <c r="C548" s="28"/>
      <c r="D548" s="28"/>
      <c r="E548" s="28"/>
    </row>
    <row r="549" spans="1:5" ht="14.25" customHeight="1" x14ac:dyDescent="0.25">
      <c r="A549" s="38"/>
      <c r="B549" s="28"/>
      <c r="C549" s="28"/>
      <c r="D549" s="28"/>
      <c r="E549" s="28"/>
    </row>
    <row r="550" spans="1:5" ht="14.25" customHeight="1" x14ac:dyDescent="0.25">
      <c r="A550" s="38"/>
      <c r="B550" s="28"/>
      <c r="C550" s="28"/>
      <c r="D550" s="28"/>
      <c r="E550" s="28"/>
    </row>
    <row r="551" spans="1:5" ht="14.25" customHeight="1" x14ac:dyDescent="0.25">
      <c r="A551" s="38"/>
      <c r="B551" s="28"/>
      <c r="C551" s="28"/>
      <c r="D551" s="28"/>
      <c r="E551" s="28"/>
    </row>
    <row r="552" spans="1:5" ht="14.25" customHeight="1" x14ac:dyDescent="0.25">
      <c r="A552" s="38"/>
      <c r="B552" s="28"/>
      <c r="C552" s="28"/>
      <c r="D552" s="28"/>
      <c r="E552" s="28"/>
    </row>
    <row r="553" spans="1:5" ht="14.25" customHeight="1" x14ac:dyDescent="0.25">
      <c r="A553" s="38"/>
      <c r="B553" s="28"/>
      <c r="C553" s="28"/>
      <c r="D553" s="28"/>
      <c r="E553" s="28"/>
    </row>
    <row r="554" spans="1:5" ht="14.25" customHeight="1" x14ac:dyDescent="0.25">
      <c r="A554" s="38"/>
      <c r="B554" s="28"/>
      <c r="C554" s="28"/>
      <c r="D554" s="28"/>
      <c r="E554" s="28"/>
    </row>
    <row r="555" spans="1:5" ht="14.25" customHeight="1" x14ac:dyDescent="0.25">
      <c r="A555" s="38"/>
      <c r="B555" s="28"/>
      <c r="C555" s="28"/>
      <c r="D555" s="28"/>
      <c r="E555" s="28"/>
    </row>
    <row r="556" spans="1:5" ht="14.25" customHeight="1" x14ac:dyDescent="0.25">
      <c r="A556" s="38"/>
      <c r="B556" s="28"/>
      <c r="C556" s="28"/>
      <c r="D556" s="28"/>
      <c r="E556" s="28"/>
    </row>
    <row r="557" spans="1:5" ht="14.25" customHeight="1" x14ac:dyDescent="0.25">
      <c r="A557" s="38"/>
      <c r="B557" s="28"/>
      <c r="C557" s="28"/>
      <c r="D557" s="28"/>
      <c r="E557" s="28"/>
    </row>
    <row r="558" spans="1:5" ht="14.25" customHeight="1" x14ac:dyDescent="0.25">
      <c r="A558" s="38"/>
      <c r="B558" s="28"/>
      <c r="C558" s="28"/>
      <c r="D558" s="28"/>
      <c r="E558" s="28"/>
    </row>
    <row r="559" spans="1:5" ht="14.25" customHeight="1" x14ac:dyDescent="0.25">
      <c r="A559" s="38"/>
      <c r="B559" s="28"/>
      <c r="C559" s="28"/>
      <c r="D559" s="28"/>
      <c r="E559" s="28"/>
    </row>
    <row r="560" spans="1:5" ht="14.25" customHeight="1" x14ac:dyDescent="0.25">
      <c r="A560" s="38"/>
      <c r="B560" s="28"/>
      <c r="C560" s="28"/>
      <c r="D560" s="28"/>
      <c r="E560" s="28"/>
    </row>
    <row r="561" spans="1:5" ht="14.25" customHeight="1" x14ac:dyDescent="0.25">
      <c r="A561" s="38"/>
      <c r="B561" s="28"/>
      <c r="C561" s="28"/>
      <c r="D561" s="28"/>
      <c r="E561" s="28"/>
    </row>
    <row r="562" spans="1:5" ht="14.25" customHeight="1" x14ac:dyDescent="0.25">
      <c r="A562" s="38"/>
      <c r="B562" s="28"/>
      <c r="C562" s="28"/>
      <c r="D562" s="28"/>
      <c r="E562" s="28"/>
    </row>
    <row r="563" spans="1:5" ht="14.25" customHeight="1" x14ac:dyDescent="0.25">
      <c r="A563" s="38"/>
      <c r="B563" s="28"/>
      <c r="C563" s="28"/>
      <c r="D563" s="28"/>
      <c r="E563" s="28"/>
    </row>
    <row r="564" spans="1:5" ht="14.25" customHeight="1" x14ac:dyDescent="0.25">
      <c r="A564" s="38"/>
      <c r="B564" s="28"/>
      <c r="C564" s="28"/>
      <c r="D564" s="28"/>
      <c r="E564" s="28"/>
    </row>
    <row r="565" spans="1:5" ht="14.25" customHeight="1" x14ac:dyDescent="0.25">
      <c r="A565" s="38"/>
      <c r="B565" s="28"/>
      <c r="C565" s="28"/>
      <c r="D565" s="28"/>
      <c r="E565" s="28"/>
    </row>
    <row r="566" spans="1:5" ht="14.25" customHeight="1" x14ac:dyDescent="0.25">
      <c r="A566" s="38"/>
      <c r="B566" s="28"/>
      <c r="C566" s="28"/>
      <c r="D566" s="28"/>
      <c r="E566" s="28"/>
    </row>
    <row r="567" spans="1:5" ht="14.25" customHeight="1" x14ac:dyDescent="0.25">
      <c r="A567" s="38"/>
      <c r="B567" s="28"/>
      <c r="C567" s="28"/>
      <c r="D567" s="28"/>
      <c r="E567" s="28"/>
    </row>
    <row r="568" spans="1:5" ht="14.25" customHeight="1" x14ac:dyDescent="0.25">
      <c r="A568" s="38"/>
      <c r="B568" s="28"/>
      <c r="C568" s="28"/>
      <c r="D568" s="28"/>
      <c r="E568" s="28"/>
    </row>
    <row r="569" spans="1:5" ht="14.25" customHeight="1" x14ac:dyDescent="0.25">
      <c r="A569" s="38"/>
      <c r="B569" s="28"/>
      <c r="C569" s="28"/>
      <c r="D569" s="28"/>
      <c r="E569" s="28"/>
    </row>
    <row r="570" spans="1:5" ht="14.25" customHeight="1" x14ac:dyDescent="0.25">
      <c r="A570" s="38"/>
      <c r="B570" s="28"/>
      <c r="C570" s="28"/>
      <c r="D570" s="28"/>
      <c r="E570" s="28"/>
    </row>
    <row r="571" spans="1:5" ht="14.25" customHeight="1" x14ac:dyDescent="0.25">
      <c r="A571" s="38"/>
      <c r="B571" s="28"/>
      <c r="C571" s="28"/>
      <c r="D571" s="28"/>
      <c r="E571" s="28"/>
    </row>
    <row r="572" spans="1:5" ht="14.25" customHeight="1" x14ac:dyDescent="0.25">
      <c r="A572" s="38"/>
      <c r="B572" s="28"/>
      <c r="C572" s="28"/>
      <c r="D572" s="28"/>
      <c r="E572" s="28"/>
    </row>
    <row r="573" spans="1:5" ht="14.25" customHeight="1" x14ac:dyDescent="0.25">
      <c r="A573" s="38"/>
      <c r="B573" s="28"/>
      <c r="C573" s="28"/>
      <c r="D573" s="28"/>
      <c r="E573" s="28"/>
    </row>
    <row r="574" spans="1:5" ht="14.25" customHeight="1" x14ac:dyDescent="0.25">
      <c r="A574" s="38"/>
      <c r="B574" s="28"/>
      <c r="C574" s="28"/>
      <c r="D574" s="28"/>
      <c r="E574" s="28"/>
    </row>
    <row r="575" spans="1:5" ht="14.25" customHeight="1" x14ac:dyDescent="0.25">
      <c r="A575" s="38"/>
      <c r="B575" s="28"/>
      <c r="C575" s="28"/>
      <c r="D575" s="28"/>
      <c r="E575" s="28"/>
    </row>
    <row r="576" spans="1:5" ht="14.25" customHeight="1" x14ac:dyDescent="0.25">
      <c r="A576" s="38"/>
      <c r="B576" s="28"/>
      <c r="C576" s="28"/>
      <c r="D576" s="28"/>
      <c r="E576" s="28"/>
    </row>
    <row r="577" spans="1:5" ht="14.25" customHeight="1" x14ac:dyDescent="0.25">
      <c r="A577" s="38"/>
      <c r="B577" s="28"/>
      <c r="C577" s="28"/>
      <c r="D577" s="28"/>
      <c r="E577" s="28"/>
    </row>
    <row r="578" spans="1:5" ht="14.25" customHeight="1" x14ac:dyDescent="0.25">
      <c r="A578" s="38"/>
      <c r="B578" s="28"/>
      <c r="C578" s="28"/>
      <c r="D578" s="28"/>
      <c r="E578" s="28"/>
    </row>
    <row r="579" spans="1:5" ht="14.25" customHeight="1" x14ac:dyDescent="0.25">
      <c r="A579" s="38"/>
      <c r="B579" s="28"/>
      <c r="C579" s="28"/>
      <c r="D579" s="28"/>
      <c r="E579" s="28"/>
    </row>
    <row r="580" spans="1:5" ht="14.25" customHeight="1" x14ac:dyDescent="0.25">
      <c r="A580" s="38"/>
      <c r="B580" s="28"/>
      <c r="C580" s="28"/>
      <c r="D580" s="28"/>
      <c r="E580" s="28"/>
    </row>
    <row r="581" spans="1:5" ht="14.25" customHeight="1" x14ac:dyDescent="0.25">
      <c r="A581" s="38"/>
      <c r="B581" s="28"/>
      <c r="C581" s="28"/>
      <c r="D581" s="28"/>
      <c r="E581" s="28"/>
    </row>
    <row r="582" spans="1:5" ht="14.25" customHeight="1" x14ac:dyDescent="0.25">
      <c r="A582" s="38"/>
      <c r="B582" s="28"/>
      <c r="C582" s="28"/>
      <c r="D582" s="28"/>
      <c r="E582" s="28"/>
    </row>
    <row r="583" spans="1:5" ht="14.25" customHeight="1" x14ac:dyDescent="0.25">
      <c r="A583" s="38"/>
      <c r="B583" s="28"/>
      <c r="C583" s="28"/>
      <c r="D583" s="28"/>
      <c r="E583" s="28"/>
    </row>
    <row r="584" spans="1:5" ht="14.25" customHeight="1" x14ac:dyDescent="0.25">
      <c r="A584" s="38"/>
      <c r="B584" s="28"/>
      <c r="C584" s="28"/>
      <c r="D584" s="28"/>
      <c r="E584" s="28"/>
    </row>
    <row r="585" spans="1:5" ht="14.25" customHeight="1" x14ac:dyDescent="0.25">
      <c r="A585" s="38"/>
      <c r="B585" s="28"/>
      <c r="C585" s="28"/>
      <c r="D585" s="28"/>
      <c r="E585" s="28"/>
    </row>
    <row r="586" spans="1:5" ht="14.25" customHeight="1" x14ac:dyDescent="0.25">
      <c r="A586" s="38"/>
      <c r="B586" s="28"/>
      <c r="C586" s="28"/>
      <c r="D586" s="28"/>
      <c r="E586" s="28"/>
    </row>
    <row r="587" spans="1:5" ht="14.25" customHeight="1" x14ac:dyDescent="0.25">
      <c r="A587" s="38"/>
      <c r="B587" s="28"/>
      <c r="C587" s="28"/>
      <c r="D587" s="28"/>
      <c r="E587" s="28"/>
    </row>
    <row r="588" spans="1:5" ht="14.25" customHeight="1" x14ac:dyDescent="0.25">
      <c r="A588" s="38"/>
      <c r="B588" s="28"/>
      <c r="C588" s="28"/>
      <c r="D588" s="28"/>
      <c r="E588" s="28"/>
    </row>
    <row r="589" spans="1:5" ht="14.25" customHeight="1" x14ac:dyDescent="0.25">
      <c r="A589" s="38"/>
      <c r="B589" s="28"/>
      <c r="C589" s="28"/>
      <c r="D589" s="28"/>
      <c r="E589" s="28"/>
    </row>
    <row r="590" spans="1:5" ht="14.25" customHeight="1" x14ac:dyDescent="0.25">
      <c r="A590" s="38"/>
      <c r="B590" s="28"/>
      <c r="C590" s="28"/>
      <c r="D590" s="28"/>
      <c r="E590" s="28"/>
    </row>
    <row r="591" spans="1:5" ht="14.25" customHeight="1" x14ac:dyDescent="0.25">
      <c r="A591" s="38"/>
      <c r="B591" s="28"/>
      <c r="C591" s="28"/>
      <c r="D591" s="28"/>
      <c r="E591" s="28"/>
    </row>
    <row r="592" spans="1:5" ht="14.25" customHeight="1" x14ac:dyDescent="0.25">
      <c r="A592" s="38"/>
      <c r="B592" s="28"/>
      <c r="C592" s="28"/>
      <c r="D592" s="28"/>
      <c r="E592" s="28"/>
    </row>
    <row r="593" spans="1:5" ht="14.25" customHeight="1" x14ac:dyDescent="0.25">
      <c r="A593" s="38"/>
      <c r="B593" s="28"/>
      <c r="C593" s="28"/>
      <c r="D593" s="28"/>
      <c r="E593" s="28"/>
    </row>
    <row r="594" spans="1:5" ht="14.25" customHeight="1" x14ac:dyDescent="0.25">
      <c r="A594" s="38"/>
      <c r="B594" s="28"/>
      <c r="C594" s="28"/>
      <c r="D594" s="28"/>
      <c r="E594" s="28"/>
    </row>
    <row r="595" spans="1:5" ht="14.25" customHeight="1" x14ac:dyDescent="0.25">
      <c r="A595" s="38"/>
      <c r="B595" s="28"/>
      <c r="C595" s="28"/>
      <c r="D595" s="28"/>
      <c r="E595" s="28"/>
    </row>
    <row r="596" spans="1:5" ht="14.25" customHeight="1" x14ac:dyDescent="0.25">
      <c r="A596" s="38"/>
      <c r="B596" s="28"/>
      <c r="C596" s="28"/>
      <c r="D596" s="28"/>
      <c r="E596" s="28"/>
    </row>
    <row r="597" spans="1:5" ht="14.25" customHeight="1" x14ac:dyDescent="0.25">
      <c r="A597" s="38"/>
      <c r="B597" s="28"/>
      <c r="C597" s="28"/>
      <c r="D597" s="28"/>
      <c r="E597" s="28"/>
    </row>
    <row r="598" spans="1:5" ht="14.25" customHeight="1" x14ac:dyDescent="0.25">
      <c r="A598" s="38"/>
      <c r="B598" s="28"/>
      <c r="C598" s="28"/>
      <c r="D598" s="28"/>
      <c r="E598" s="28"/>
    </row>
    <row r="599" spans="1:5" ht="14.25" customHeight="1" x14ac:dyDescent="0.25">
      <c r="A599" s="38"/>
      <c r="B599" s="28"/>
      <c r="C599" s="28"/>
      <c r="D599" s="28"/>
      <c r="E599" s="28"/>
    </row>
    <row r="600" spans="1:5" ht="14.25" customHeight="1" x14ac:dyDescent="0.25">
      <c r="A600" s="38"/>
      <c r="B600" s="28"/>
      <c r="C600" s="28"/>
      <c r="D600" s="28"/>
      <c r="E600" s="28"/>
    </row>
    <row r="601" spans="1:5" ht="14.25" customHeight="1" x14ac:dyDescent="0.25">
      <c r="A601" s="38"/>
      <c r="B601" s="28"/>
      <c r="C601" s="28"/>
      <c r="D601" s="28"/>
      <c r="E601" s="28"/>
    </row>
    <row r="602" spans="1:5" ht="14.25" customHeight="1" x14ac:dyDescent="0.25">
      <c r="A602" s="38"/>
      <c r="B602" s="28"/>
      <c r="C602" s="28"/>
      <c r="D602" s="28"/>
      <c r="E602" s="28"/>
    </row>
    <row r="603" spans="1:5" ht="14.25" customHeight="1" x14ac:dyDescent="0.25">
      <c r="A603" s="38"/>
      <c r="B603" s="28"/>
      <c r="C603" s="28"/>
      <c r="D603" s="28"/>
      <c r="E603" s="28"/>
    </row>
    <row r="604" spans="1:5" ht="14.25" customHeight="1" x14ac:dyDescent="0.25">
      <c r="A604" s="38"/>
      <c r="B604" s="28"/>
      <c r="C604" s="28"/>
      <c r="D604" s="28"/>
      <c r="E604" s="28"/>
    </row>
    <row r="605" spans="1:5" ht="14.25" customHeight="1" x14ac:dyDescent="0.25">
      <c r="A605" s="38"/>
      <c r="B605" s="28"/>
      <c r="C605" s="28"/>
      <c r="D605" s="28"/>
      <c r="E605" s="28"/>
    </row>
    <row r="606" spans="1:5" ht="14.25" customHeight="1" x14ac:dyDescent="0.25">
      <c r="A606" s="38"/>
      <c r="B606" s="28"/>
      <c r="C606" s="28"/>
      <c r="D606" s="28"/>
      <c r="E606" s="28"/>
    </row>
    <row r="607" spans="1:5" ht="14.25" customHeight="1" x14ac:dyDescent="0.25">
      <c r="A607" s="38"/>
      <c r="B607" s="28"/>
      <c r="C607" s="28"/>
      <c r="D607" s="28"/>
      <c r="E607" s="28"/>
    </row>
    <row r="608" spans="1:5" ht="14.25" customHeight="1" x14ac:dyDescent="0.25">
      <c r="A608" s="38"/>
      <c r="B608" s="28"/>
      <c r="C608" s="28"/>
      <c r="D608" s="28"/>
      <c r="E608" s="28"/>
    </row>
    <row r="609" spans="1:5" ht="14.25" customHeight="1" x14ac:dyDescent="0.25">
      <c r="A609" s="38"/>
      <c r="B609" s="28"/>
      <c r="C609" s="28"/>
      <c r="D609" s="28"/>
      <c r="E609" s="28"/>
    </row>
    <row r="610" spans="1:5" ht="14.25" customHeight="1" x14ac:dyDescent="0.25">
      <c r="A610" s="38"/>
      <c r="B610" s="28"/>
      <c r="C610" s="28"/>
      <c r="D610" s="28"/>
      <c r="E610" s="28"/>
    </row>
    <row r="611" spans="1:5" ht="14.25" customHeight="1" x14ac:dyDescent="0.25">
      <c r="A611" s="38"/>
      <c r="B611" s="28"/>
      <c r="C611" s="28"/>
      <c r="D611" s="28"/>
      <c r="E611" s="28"/>
    </row>
    <row r="612" spans="1:5" ht="14.25" customHeight="1" x14ac:dyDescent="0.25">
      <c r="A612" s="38"/>
      <c r="B612" s="28"/>
      <c r="C612" s="28"/>
      <c r="D612" s="28"/>
      <c r="E612" s="28"/>
    </row>
    <row r="613" spans="1:5" ht="14.25" customHeight="1" x14ac:dyDescent="0.25">
      <c r="A613" s="38"/>
      <c r="B613" s="28"/>
      <c r="C613" s="28"/>
      <c r="D613" s="28"/>
      <c r="E613" s="28"/>
    </row>
    <row r="614" spans="1:5" ht="14.25" customHeight="1" x14ac:dyDescent="0.25">
      <c r="A614" s="38"/>
      <c r="B614" s="28"/>
      <c r="C614" s="28"/>
      <c r="D614" s="28"/>
      <c r="E614" s="28"/>
    </row>
    <row r="615" spans="1:5" ht="14.25" customHeight="1" x14ac:dyDescent="0.25">
      <c r="A615" s="38"/>
      <c r="B615" s="28"/>
      <c r="C615" s="28"/>
      <c r="D615" s="28"/>
      <c r="E615" s="28"/>
    </row>
    <row r="616" spans="1:5" ht="14.25" customHeight="1" x14ac:dyDescent="0.25">
      <c r="A616" s="38"/>
      <c r="B616" s="28"/>
      <c r="C616" s="28"/>
      <c r="D616" s="28"/>
      <c r="E616" s="28"/>
    </row>
    <row r="617" spans="1:5" ht="14.25" customHeight="1" x14ac:dyDescent="0.25">
      <c r="A617" s="38"/>
      <c r="B617" s="28"/>
      <c r="C617" s="28"/>
      <c r="D617" s="28"/>
      <c r="E617" s="28"/>
    </row>
    <row r="618" spans="1:5" ht="14.25" customHeight="1" x14ac:dyDescent="0.25">
      <c r="A618" s="38"/>
      <c r="B618" s="28"/>
      <c r="C618" s="28"/>
      <c r="D618" s="28"/>
      <c r="E618" s="28"/>
    </row>
    <row r="619" spans="1:5" ht="14.25" customHeight="1" x14ac:dyDescent="0.25">
      <c r="A619" s="38"/>
      <c r="B619" s="28"/>
      <c r="C619" s="28"/>
      <c r="D619" s="28"/>
      <c r="E619" s="28"/>
    </row>
    <row r="620" spans="1:5" ht="14.25" customHeight="1" x14ac:dyDescent="0.25">
      <c r="A620" s="38"/>
      <c r="B620" s="28"/>
      <c r="C620" s="28"/>
      <c r="D620" s="28"/>
      <c r="E620" s="28"/>
    </row>
    <row r="621" spans="1:5" ht="14.25" customHeight="1" x14ac:dyDescent="0.25">
      <c r="A621" s="38"/>
      <c r="B621" s="28"/>
      <c r="C621" s="28"/>
      <c r="D621" s="28"/>
      <c r="E621" s="28"/>
    </row>
    <row r="622" spans="1:5" ht="14.25" customHeight="1" x14ac:dyDescent="0.25">
      <c r="A622" s="38"/>
      <c r="B622" s="28"/>
      <c r="C622" s="28"/>
      <c r="D622" s="28"/>
      <c r="E622" s="28"/>
    </row>
    <row r="623" spans="1:5" ht="14.25" customHeight="1" x14ac:dyDescent="0.25">
      <c r="A623" s="38"/>
      <c r="B623" s="28"/>
      <c r="C623" s="28"/>
      <c r="D623" s="28"/>
      <c r="E623" s="28"/>
    </row>
    <row r="624" spans="1:5" ht="14.25" customHeight="1" x14ac:dyDescent="0.25">
      <c r="A624" s="38"/>
      <c r="B624" s="28"/>
      <c r="C624" s="28"/>
      <c r="D624" s="28"/>
      <c r="E624" s="28"/>
    </row>
    <row r="625" spans="1:5" ht="14.25" customHeight="1" x14ac:dyDescent="0.25">
      <c r="A625" s="38"/>
      <c r="B625" s="28"/>
      <c r="C625" s="28"/>
      <c r="D625" s="28"/>
      <c r="E625" s="28"/>
    </row>
    <row r="626" spans="1:5" ht="14.25" customHeight="1" x14ac:dyDescent="0.25">
      <c r="A626" s="38"/>
      <c r="B626" s="28"/>
      <c r="C626" s="28"/>
      <c r="D626" s="28"/>
      <c r="E626" s="28"/>
    </row>
    <row r="627" spans="1:5" ht="14.25" customHeight="1" x14ac:dyDescent="0.25">
      <c r="A627" s="38"/>
      <c r="B627" s="28"/>
      <c r="C627" s="28"/>
      <c r="D627" s="28"/>
      <c r="E627" s="28"/>
    </row>
    <row r="628" spans="1:5" ht="14.25" customHeight="1" x14ac:dyDescent="0.25">
      <c r="A628" s="38"/>
      <c r="B628" s="28"/>
      <c r="C628" s="28"/>
      <c r="D628" s="28"/>
      <c r="E628" s="28"/>
    </row>
    <row r="629" spans="1:5" ht="14.25" customHeight="1" x14ac:dyDescent="0.25">
      <c r="A629" s="38"/>
      <c r="B629" s="28"/>
      <c r="C629" s="28"/>
      <c r="D629" s="28"/>
      <c r="E629" s="28"/>
    </row>
    <row r="630" spans="1:5" ht="14.25" customHeight="1" x14ac:dyDescent="0.25">
      <c r="A630" s="38"/>
      <c r="B630" s="28"/>
      <c r="C630" s="28"/>
      <c r="D630" s="28"/>
      <c r="E630" s="28"/>
    </row>
    <row r="631" spans="1:5" ht="14.25" customHeight="1" x14ac:dyDescent="0.25">
      <c r="A631" s="38"/>
      <c r="B631" s="28"/>
      <c r="C631" s="28"/>
      <c r="D631" s="28"/>
      <c r="E631" s="28"/>
    </row>
    <row r="632" spans="1:5" ht="14.25" customHeight="1" x14ac:dyDescent="0.25">
      <c r="A632" s="38"/>
      <c r="B632" s="28"/>
      <c r="C632" s="28"/>
      <c r="D632" s="28"/>
      <c r="E632" s="28"/>
    </row>
    <row r="633" spans="1:5" ht="14.25" customHeight="1" x14ac:dyDescent="0.25">
      <c r="A633" s="38"/>
      <c r="B633" s="28"/>
      <c r="C633" s="28"/>
      <c r="D633" s="28"/>
      <c r="E633" s="28"/>
    </row>
    <row r="634" spans="1:5" ht="14.25" customHeight="1" x14ac:dyDescent="0.25">
      <c r="A634" s="38"/>
      <c r="B634" s="28"/>
      <c r="C634" s="28"/>
      <c r="D634" s="28"/>
      <c r="E634" s="28"/>
    </row>
    <row r="635" spans="1:5" ht="14.25" customHeight="1" x14ac:dyDescent="0.25">
      <c r="A635" s="38"/>
      <c r="B635" s="28"/>
      <c r="C635" s="28"/>
      <c r="D635" s="28"/>
      <c r="E635" s="28"/>
    </row>
    <row r="636" spans="1:5" ht="14.25" customHeight="1" x14ac:dyDescent="0.25">
      <c r="A636" s="38"/>
      <c r="B636" s="28"/>
      <c r="C636" s="28"/>
      <c r="D636" s="28"/>
      <c r="E636" s="28"/>
    </row>
    <row r="637" spans="1:5" ht="14.25" customHeight="1" x14ac:dyDescent="0.25">
      <c r="A637" s="38"/>
      <c r="B637" s="28"/>
      <c r="C637" s="28"/>
      <c r="D637" s="28"/>
      <c r="E637" s="28"/>
    </row>
    <row r="638" spans="1:5" ht="14.25" customHeight="1" x14ac:dyDescent="0.25">
      <c r="A638" s="38"/>
      <c r="B638" s="28"/>
      <c r="C638" s="28"/>
      <c r="D638" s="28"/>
      <c r="E638" s="28"/>
    </row>
    <row r="639" spans="1:5" ht="14.25" customHeight="1" x14ac:dyDescent="0.25">
      <c r="A639" s="38"/>
      <c r="B639" s="28"/>
      <c r="C639" s="28"/>
      <c r="D639" s="28"/>
      <c r="E639" s="28"/>
    </row>
    <row r="640" spans="1:5" ht="14.25" customHeight="1" x14ac:dyDescent="0.25">
      <c r="A640" s="38"/>
      <c r="B640" s="28"/>
      <c r="C640" s="28"/>
      <c r="D640" s="28"/>
      <c r="E640" s="28"/>
    </row>
    <row r="641" spans="1:5" ht="14.25" customHeight="1" x14ac:dyDescent="0.25">
      <c r="A641" s="38"/>
      <c r="B641" s="28"/>
      <c r="C641" s="28"/>
      <c r="D641" s="28"/>
      <c r="E641" s="28"/>
    </row>
    <row r="642" spans="1:5" ht="14.25" customHeight="1" x14ac:dyDescent="0.25">
      <c r="A642" s="38"/>
      <c r="B642" s="28"/>
      <c r="C642" s="28"/>
      <c r="D642" s="28"/>
      <c r="E642" s="28"/>
    </row>
    <row r="643" spans="1:5" ht="14.25" customHeight="1" x14ac:dyDescent="0.25">
      <c r="A643" s="38"/>
      <c r="B643" s="28"/>
      <c r="C643" s="28"/>
      <c r="D643" s="28"/>
      <c r="E643" s="28"/>
    </row>
    <row r="644" spans="1:5" ht="14.25" customHeight="1" x14ac:dyDescent="0.25">
      <c r="A644" s="38"/>
      <c r="B644" s="28"/>
      <c r="C644" s="28"/>
      <c r="D644" s="28"/>
      <c r="E644" s="28"/>
    </row>
    <row r="645" spans="1:5" ht="14.25" customHeight="1" x14ac:dyDescent="0.25">
      <c r="A645" s="38"/>
      <c r="B645" s="28"/>
      <c r="C645" s="28"/>
      <c r="D645" s="28"/>
      <c r="E645" s="28"/>
    </row>
    <row r="646" spans="1:5" ht="14.25" customHeight="1" x14ac:dyDescent="0.25">
      <c r="A646" s="38"/>
      <c r="B646" s="28"/>
      <c r="C646" s="28"/>
      <c r="D646" s="28"/>
      <c r="E646" s="28"/>
    </row>
    <row r="647" spans="1:5" ht="14.25" customHeight="1" x14ac:dyDescent="0.25">
      <c r="A647" s="38"/>
      <c r="B647" s="28"/>
      <c r="C647" s="28"/>
      <c r="D647" s="28"/>
      <c r="E647" s="28"/>
    </row>
    <row r="648" spans="1:5" ht="14.25" customHeight="1" x14ac:dyDescent="0.25">
      <c r="A648" s="38"/>
      <c r="B648" s="28"/>
      <c r="C648" s="28"/>
      <c r="D648" s="28"/>
      <c r="E648" s="28"/>
    </row>
    <row r="649" spans="1:5" ht="14.25" customHeight="1" x14ac:dyDescent="0.25">
      <c r="A649" s="38"/>
      <c r="B649" s="28"/>
      <c r="C649" s="28"/>
      <c r="D649" s="28"/>
      <c r="E649" s="28"/>
    </row>
    <row r="650" spans="1:5" ht="14.25" customHeight="1" x14ac:dyDescent="0.25">
      <c r="A650" s="38"/>
      <c r="B650" s="28"/>
      <c r="C650" s="28"/>
      <c r="D650" s="28"/>
      <c r="E650" s="28"/>
    </row>
    <row r="651" spans="1:5" ht="14.25" customHeight="1" x14ac:dyDescent="0.25">
      <c r="A651" s="38"/>
      <c r="B651" s="28"/>
      <c r="C651" s="28"/>
      <c r="D651" s="28"/>
      <c r="E651" s="28"/>
    </row>
    <row r="652" spans="1:5" ht="14.25" customHeight="1" x14ac:dyDescent="0.25">
      <c r="A652" s="38"/>
      <c r="B652" s="28"/>
      <c r="C652" s="28"/>
      <c r="D652" s="28"/>
      <c r="E652" s="28"/>
    </row>
    <row r="653" spans="1:5" ht="14.25" customHeight="1" x14ac:dyDescent="0.25">
      <c r="A653" s="38"/>
      <c r="B653" s="28"/>
      <c r="C653" s="28"/>
      <c r="D653" s="28"/>
      <c r="E653" s="28"/>
    </row>
    <row r="654" spans="1:5" ht="14.25" customHeight="1" x14ac:dyDescent="0.25">
      <c r="A654" s="38"/>
      <c r="B654" s="28"/>
      <c r="C654" s="28"/>
      <c r="D654" s="28"/>
      <c r="E654" s="28"/>
    </row>
    <row r="655" spans="1:5" ht="14.25" customHeight="1" x14ac:dyDescent="0.25">
      <c r="A655" s="38"/>
      <c r="B655" s="28"/>
      <c r="C655" s="28"/>
      <c r="D655" s="28"/>
      <c r="E655" s="28"/>
    </row>
    <row r="656" spans="1:5" ht="14.25" customHeight="1" x14ac:dyDescent="0.25">
      <c r="A656" s="38"/>
      <c r="B656" s="28"/>
      <c r="C656" s="28"/>
      <c r="D656" s="28"/>
      <c r="E656" s="28"/>
    </row>
    <row r="657" spans="1:5" ht="14.25" customHeight="1" x14ac:dyDescent="0.25">
      <c r="A657" s="38"/>
      <c r="B657" s="28"/>
      <c r="C657" s="28"/>
      <c r="D657" s="28"/>
      <c r="E657" s="28"/>
    </row>
    <row r="658" spans="1:5" ht="14.25" customHeight="1" x14ac:dyDescent="0.25">
      <c r="A658" s="38"/>
      <c r="B658" s="28"/>
      <c r="C658" s="28"/>
      <c r="D658" s="28"/>
      <c r="E658" s="28"/>
    </row>
    <row r="659" spans="1:5" ht="14.25" customHeight="1" x14ac:dyDescent="0.25">
      <c r="A659" s="38"/>
      <c r="B659" s="28"/>
      <c r="C659" s="28"/>
      <c r="D659" s="28"/>
      <c r="E659" s="28"/>
    </row>
    <row r="660" spans="1:5" ht="14.25" customHeight="1" x14ac:dyDescent="0.25">
      <c r="A660" s="38"/>
      <c r="B660" s="28"/>
      <c r="C660" s="28"/>
      <c r="D660" s="28"/>
      <c r="E660" s="28"/>
    </row>
    <row r="661" spans="1:5" ht="14.25" customHeight="1" x14ac:dyDescent="0.25">
      <c r="A661" s="38"/>
      <c r="B661" s="28"/>
      <c r="C661" s="28"/>
      <c r="D661" s="28"/>
      <c r="E661" s="28"/>
    </row>
    <row r="662" spans="1:5" ht="14.25" customHeight="1" x14ac:dyDescent="0.25">
      <c r="A662" s="38"/>
      <c r="B662" s="28"/>
      <c r="C662" s="28"/>
      <c r="D662" s="28"/>
      <c r="E662" s="28"/>
    </row>
    <row r="663" spans="1:5" ht="14.25" customHeight="1" x14ac:dyDescent="0.25">
      <c r="A663" s="38"/>
      <c r="B663" s="28"/>
      <c r="C663" s="28"/>
      <c r="D663" s="28"/>
      <c r="E663" s="28"/>
    </row>
    <row r="664" spans="1:5" ht="14.25" customHeight="1" x14ac:dyDescent="0.25">
      <c r="A664" s="38"/>
      <c r="B664" s="28"/>
      <c r="C664" s="28"/>
      <c r="D664" s="28"/>
      <c r="E664" s="28"/>
    </row>
    <row r="665" spans="1:5" ht="14.25" customHeight="1" x14ac:dyDescent="0.25">
      <c r="A665" s="38"/>
      <c r="B665" s="28"/>
      <c r="C665" s="28"/>
      <c r="D665" s="28"/>
      <c r="E665" s="28"/>
    </row>
    <row r="666" spans="1:5" ht="14.25" customHeight="1" x14ac:dyDescent="0.25">
      <c r="A666" s="38"/>
      <c r="B666" s="28"/>
      <c r="C666" s="28"/>
      <c r="D666" s="28"/>
      <c r="E666" s="28"/>
    </row>
    <row r="667" spans="1:5" ht="14.25" customHeight="1" x14ac:dyDescent="0.25">
      <c r="A667" s="38"/>
      <c r="B667" s="28"/>
      <c r="C667" s="28"/>
      <c r="D667" s="28"/>
      <c r="E667" s="28"/>
    </row>
    <row r="668" spans="1:5" ht="14.25" customHeight="1" x14ac:dyDescent="0.25">
      <c r="A668" s="38"/>
      <c r="B668" s="28"/>
      <c r="C668" s="28"/>
      <c r="D668" s="28"/>
      <c r="E668" s="28"/>
    </row>
    <row r="669" spans="1:5" ht="14.25" customHeight="1" x14ac:dyDescent="0.25">
      <c r="A669" s="38"/>
      <c r="B669" s="28"/>
      <c r="C669" s="28"/>
      <c r="D669" s="28"/>
      <c r="E669" s="28"/>
    </row>
    <row r="670" spans="1:5" ht="14.25" customHeight="1" x14ac:dyDescent="0.25">
      <c r="A670" s="38"/>
      <c r="B670" s="28"/>
      <c r="C670" s="28"/>
      <c r="D670" s="28"/>
      <c r="E670" s="28"/>
    </row>
    <row r="671" spans="1:5" ht="14.25" customHeight="1" x14ac:dyDescent="0.25">
      <c r="A671" s="38"/>
      <c r="B671" s="28"/>
      <c r="C671" s="28"/>
      <c r="D671" s="28"/>
      <c r="E671" s="28"/>
    </row>
    <row r="672" spans="1:5" ht="14.25" customHeight="1" x14ac:dyDescent="0.25">
      <c r="A672" s="38"/>
      <c r="B672" s="28"/>
      <c r="C672" s="28"/>
      <c r="D672" s="28"/>
      <c r="E672" s="28"/>
    </row>
    <row r="673" spans="1:5" ht="14.25" customHeight="1" x14ac:dyDescent="0.25">
      <c r="A673" s="38"/>
      <c r="B673" s="28"/>
      <c r="C673" s="28"/>
      <c r="D673" s="28"/>
      <c r="E673" s="28"/>
    </row>
    <row r="674" spans="1:5" ht="14.25" customHeight="1" x14ac:dyDescent="0.25">
      <c r="A674" s="38"/>
      <c r="B674" s="28"/>
      <c r="C674" s="28"/>
      <c r="D674" s="28"/>
      <c r="E674" s="28"/>
    </row>
    <row r="675" spans="1:5" ht="14.25" customHeight="1" x14ac:dyDescent="0.25">
      <c r="A675" s="38"/>
      <c r="B675" s="28"/>
      <c r="C675" s="28"/>
      <c r="D675" s="28"/>
      <c r="E675" s="28"/>
    </row>
    <row r="676" spans="1:5" ht="14.25" customHeight="1" x14ac:dyDescent="0.25">
      <c r="A676" s="38"/>
      <c r="B676" s="28"/>
      <c r="C676" s="28"/>
      <c r="D676" s="28"/>
      <c r="E676" s="28"/>
    </row>
    <row r="677" spans="1:5" ht="14.25" customHeight="1" x14ac:dyDescent="0.25">
      <c r="A677" s="38"/>
      <c r="B677" s="28"/>
      <c r="C677" s="28"/>
      <c r="D677" s="28"/>
      <c r="E677" s="28"/>
    </row>
    <row r="678" spans="1:5" ht="14.25" customHeight="1" x14ac:dyDescent="0.25">
      <c r="A678" s="38"/>
      <c r="B678" s="28"/>
      <c r="C678" s="28"/>
      <c r="D678" s="28"/>
      <c r="E678" s="28"/>
    </row>
    <row r="679" spans="1:5" ht="14.25" customHeight="1" x14ac:dyDescent="0.25">
      <c r="A679" s="38"/>
      <c r="B679" s="28"/>
      <c r="C679" s="28"/>
      <c r="D679" s="28"/>
      <c r="E679" s="28"/>
    </row>
    <row r="680" spans="1:5" ht="14.25" customHeight="1" x14ac:dyDescent="0.25">
      <c r="A680" s="38"/>
      <c r="B680" s="28"/>
      <c r="C680" s="28"/>
      <c r="D680" s="28"/>
      <c r="E680" s="28"/>
    </row>
    <row r="681" spans="1:5" ht="14.25" customHeight="1" x14ac:dyDescent="0.25">
      <c r="A681" s="38"/>
      <c r="B681" s="28"/>
      <c r="C681" s="28"/>
      <c r="D681" s="28"/>
      <c r="E681" s="28"/>
    </row>
    <row r="682" spans="1:5" ht="14.25" customHeight="1" x14ac:dyDescent="0.25">
      <c r="A682" s="38"/>
      <c r="B682" s="28"/>
      <c r="C682" s="28"/>
      <c r="D682" s="28"/>
      <c r="E682" s="28"/>
    </row>
    <row r="683" spans="1:5" ht="14.25" customHeight="1" x14ac:dyDescent="0.25">
      <c r="A683" s="38"/>
      <c r="B683" s="28"/>
      <c r="C683" s="28"/>
      <c r="D683" s="28"/>
      <c r="E683" s="28"/>
    </row>
    <row r="684" spans="1:5" ht="14.25" customHeight="1" x14ac:dyDescent="0.25">
      <c r="A684" s="38"/>
      <c r="B684" s="28"/>
      <c r="C684" s="28"/>
      <c r="D684" s="28"/>
      <c r="E684" s="28"/>
    </row>
    <row r="685" spans="1:5" ht="14.25" customHeight="1" x14ac:dyDescent="0.25">
      <c r="A685" s="38"/>
      <c r="B685" s="28"/>
      <c r="C685" s="28"/>
      <c r="D685" s="28"/>
      <c r="E685" s="28"/>
    </row>
    <row r="686" spans="1:5" ht="14.25" customHeight="1" x14ac:dyDescent="0.25">
      <c r="A686" s="38"/>
      <c r="B686" s="28"/>
      <c r="C686" s="28"/>
      <c r="D686" s="28"/>
      <c r="E686" s="28"/>
    </row>
    <row r="687" spans="1:5" ht="14.25" customHeight="1" x14ac:dyDescent="0.25">
      <c r="A687" s="38"/>
      <c r="B687" s="28"/>
      <c r="C687" s="28"/>
      <c r="D687" s="28"/>
      <c r="E687" s="28"/>
    </row>
    <row r="688" spans="1:5" ht="14.25" customHeight="1" x14ac:dyDescent="0.25">
      <c r="A688" s="38"/>
      <c r="B688" s="28"/>
      <c r="C688" s="28"/>
      <c r="D688" s="28"/>
      <c r="E688" s="28"/>
    </row>
    <row r="689" spans="1:5" ht="14.25" customHeight="1" x14ac:dyDescent="0.25">
      <c r="A689" s="38"/>
      <c r="B689" s="28"/>
      <c r="C689" s="28"/>
      <c r="D689" s="28"/>
      <c r="E689" s="28"/>
    </row>
    <row r="690" spans="1:5" ht="14.25" customHeight="1" x14ac:dyDescent="0.25">
      <c r="A690" s="38"/>
      <c r="B690" s="28"/>
      <c r="C690" s="28"/>
      <c r="D690" s="28"/>
      <c r="E690" s="28"/>
    </row>
    <row r="691" spans="1:5" ht="14.25" customHeight="1" x14ac:dyDescent="0.25">
      <c r="A691" s="38"/>
      <c r="B691" s="28"/>
      <c r="C691" s="28"/>
      <c r="D691" s="28"/>
      <c r="E691" s="28"/>
    </row>
    <row r="692" spans="1:5" ht="14.25" customHeight="1" x14ac:dyDescent="0.25">
      <c r="A692" s="38"/>
      <c r="B692" s="28"/>
      <c r="C692" s="28"/>
      <c r="D692" s="28"/>
      <c r="E692" s="28"/>
    </row>
    <row r="693" spans="1:5" ht="14.25" customHeight="1" x14ac:dyDescent="0.25">
      <c r="A693" s="38"/>
      <c r="B693" s="28"/>
      <c r="C693" s="28"/>
      <c r="D693" s="28"/>
      <c r="E693" s="28"/>
    </row>
    <row r="694" spans="1:5" ht="14.25" customHeight="1" x14ac:dyDescent="0.25">
      <c r="A694" s="38"/>
      <c r="B694" s="28"/>
      <c r="C694" s="28"/>
      <c r="D694" s="28"/>
      <c r="E694" s="28"/>
    </row>
    <row r="695" spans="1:5" ht="14.25" customHeight="1" x14ac:dyDescent="0.25">
      <c r="A695" s="38"/>
      <c r="B695" s="28"/>
      <c r="C695" s="28"/>
      <c r="D695" s="28"/>
      <c r="E695" s="28"/>
    </row>
    <row r="696" spans="1:5" ht="14.25" customHeight="1" x14ac:dyDescent="0.25">
      <c r="A696" s="38"/>
      <c r="B696" s="28"/>
      <c r="C696" s="28"/>
      <c r="D696" s="28"/>
      <c r="E696" s="28"/>
    </row>
    <row r="697" spans="1:5" ht="14.25" customHeight="1" x14ac:dyDescent="0.25">
      <c r="A697" s="38"/>
      <c r="B697" s="28"/>
      <c r="C697" s="28"/>
      <c r="D697" s="28"/>
      <c r="E697" s="28"/>
    </row>
    <row r="698" spans="1:5" ht="14.25" customHeight="1" x14ac:dyDescent="0.25">
      <c r="A698" s="38"/>
      <c r="B698" s="28"/>
      <c r="C698" s="28"/>
      <c r="D698" s="28"/>
      <c r="E698" s="28"/>
    </row>
    <row r="699" spans="1:5" ht="14.25" customHeight="1" x14ac:dyDescent="0.25">
      <c r="A699" s="38"/>
      <c r="B699" s="28"/>
      <c r="C699" s="28"/>
      <c r="D699" s="28"/>
      <c r="E699" s="28"/>
    </row>
    <row r="700" spans="1:5" ht="14.25" customHeight="1" x14ac:dyDescent="0.25">
      <c r="A700" s="38"/>
      <c r="B700" s="28"/>
      <c r="C700" s="28"/>
      <c r="D700" s="28"/>
      <c r="E700" s="28"/>
    </row>
    <row r="701" spans="1:5" ht="14.25" customHeight="1" x14ac:dyDescent="0.25">
      <c r="A701" s="38"/>
      <c r="B701" s="28"/>
      <c r="C701" s="28"/>
      <c r="D701" s="28"/>
      <c r="E701" s="28"/>
    </row>
    <row r="702" spans="1:5" ht="14.25" customHeight="1" x14ac:dyDescent="0.25">
      <c r="A702" s="38"/>
      <c r="B702" s="28"/>
      <c r="C702" s="28"/>
      <c r="D702" s="28"/>
      <c r="E702" s="28"/>
    </row>
    <row r="703" spans="1:5" ht="14.25" customHeight="1" x14ac:dyDescent="0.25">
      <c r="A703" s="38"/>
      <c r="B703" s="28"/>
      <c r="C703" s="28"/>
      <c r="D703" s="28"/>
      <c r="E703" s="28"/>
    </row>
    <row r="704" spans="1:5" ht="14.25" customHeight="1" x14ac:dyDescent="0.25">
      <c r="A704" s="38"/>
      <c r="B704" s="28"/>
      <c r="C704" s="28"/>
      <c r="D704" s="28"/>
      <c r="E704" s="28"/>
    </row>
    <row r="705" spans="1:5" ht="14.25" customHeight="1" x14ac:dyDescent="0.25">
      <c r="A705" s="38"/>
      <c r="B705" s="28"/>
      <c r="C705" s="28"/>
      <c r="D705" s="28"/>
      <c r="E705" s="28"/>
    </row>
    <row r="706" spans="1:5" ht="14.25" customHeight="1" x14ac:dyDescent="0.25">
      <c r="A706" s="38"/>
      <c r="B706" s="28"/>
      <c r="C706" s="28"/>
      <c r="D706" s="28"/>
      <c r="E706" s="28"/>
    </row>
    <row r="707" spans="1:5" ht="14.25" customHeight="1" x14ac:dyDescent="0.25">
      <c r="A707" s="38"/>
      <c r="B707" s="28"/>
      <c r="C707" s="28"/>
      <c r="D707" s="28"/>
      <c r="E707" s="28"/>
    </row>
    <row r="708" spans="1:5" ht="14.25" customHeight="1" x14ac:dyDescent="0.25">
      <c r="A708" s="38"/>
      <c r="B708" s="28"/>
      <c r="C708" s="28"/>
      <c r="D708" s="28"/>
      <c r="E708" s="28"/>
    </row>
    <row r="709" spans="1:5" ht="14.25" customHeight="1" x14ac:dyDescent="0.25">
      <c r="A709" s="38"/>
      <c r="B709" s="28"/>
      <c r="C709" s="28"/>
      <c r="D709" s="28"/>
      <c r="E709" s="28"/>
    </row>
    <row r="710" spans="1:5" ht="14.25" customHeight="1" x14ac:dyDescent="0.25">
      <c r="A710" s="38"/>
      <c r="B710" s="28"/>
      <c r="C710" s="28"/>
      <c r="D710" s="28"/>
      <c r="E710" s="28"/>
    </row>
    <row r="711" spans="1:5" ht="14.25" customHeight="1" x14ac:dyDescent="0.25">
      <c r="A711" s="38"/>
      <c r="B711" s="28"/>
      <c r="C711" s="28"/>
      <c r="D711" s="28"/>
      <c r="E711" s="28"/>
    </row>
    <row r="712" spans="1:5" ht="14.25" customHeight="1" x14ac:dyDescent="0.25">
      <c r="A712" s="38"/>
      <c r="B712" s="28"/>
      <c r="C712" s="28"/>
      <c r="D712" s="28"/>
      <c r="E712" s="28"/>
    </row>
    <row r="713" spans="1:5" ht="14.25" customHeight="1" x14ac:dyDescent="0.25">
      <c r="A713" s="38"/>
      <c r="B713" s="28"/>
      <c r="C713" s="28"/>
      <c r="D713" s="28"/>
      <c r="E713" s="28"/>
    </row>
    <row r="714" spans="1:5" ht="14.25" customHeight="1" x14ac:dyDescent="0.25">
      <c r="A714" s="38"/>
      <c r="B714" s="28"/>
      <c r="C714" s="28"/>
      <c r="D714" s="28"/>
      <c r="E714" s="28"/>
    </row>
    <row r="715" spans="1:5" ht="14.25" customHeight="1" x14ac:dyDescent="0.25">
      <c r="A715" s="38"/>
      <c r="B715" s="28"/>
      <c r="C715" s="28"/>
      <c r="D715" s="28"/>
      <c r="E715" s="28"/>
    </row>
    <row r="716" spans="1:5" ht="14.25" customHeight="1" x14ac:dyDescent="0.25">
      <c r="A716" s="38"/>
      <c r="B716" s="28"/>
      <c r="C716" s="28"/>
      <c r="D716" s="28"/>
      <c r="E716" s="28"/>
    </row>
    <row r="717" spans="1:5" ht="14.25" customHeight="1" x14ac:dyDescent="0.25">
      <c r="A717" s="38"/>
      <c r="B717" s="28"/>
      <c r="C717" s="28"/>
      <c r="D717" s="28"/>
      <c r="E717" s="28"/>
    </row>
    <row r="718" spans="1:5" ht="14.25" customHeight="1" x14ac:dyDescent="0.25">
      <c r="A718" s="38"/>
      <c r="B718" s="28"/>
      <c r="C718" s="28"/>
      <c r="D718" s="28"/>
      <c r="E718" s="28"/>
    </row>
    <row r="719" spans="1:5" ht="14.25" customHeight="1" x14ac:dyDescent="0.25">
      <c r="A719" s="38"/>
      <c r="B719" s="28"/>
      <c r="C719" s="28"/>
      <c r="D719" s="28"/>
      <c r="E719" s="28"/>
    </row>
    <row r="720" spans="1:5" ht="14.25" customHeight="1" x14ac:dyDescent="0.25">
      <c r="A720" s="38"/>
      <c r="B720" s="28"/>
      <c r="C720" s="28"/>
      <c r="D720" s="28"/>
      <c r="E720" s="28"/>
    </row>
    <row r="721" spans="1:5" ht="14.25" customHeight="1" x14ac:dyDescent="0.25">
      <c r="A721" s="38"/>
      <c r="B721" s="28"/>
      <c r="C721" s="28"/>
      <c r="D721" s="28"/>
      <c r="E721" s="28"/>
    </row>
    <row r="722" spans="1:5" ht="14.25" customHeight="1" x14ac:dyDescent="0.25">
      <c r="A722" s="38"/>
      <c r="B722" s="28"/>
      <c r="C722" s="28"/>
      <c r="D722" s="28"/>
      <c r="E722" s="28"/>
    </row>
    <row r="723" spans="1:5" ht="14.25" customHeight="1" x14ac:dyDescent="0.25">
      <c r="A723" s="38"/>
      <c r="B723" s="28"/>
      <c r="C723" s="28"/>
      <c r="D723" s="28"/>
      <c r="E723" s="28"/>
    </row>
    <row r="724" spans="1:5" ht="14.25" customHeight="1" x14ac:dyDescent="0.25">
      <c r="A724" s="38"/>
      <c r="B724" s="28"/>
      <c r="C724" s="28"/>
      <c r="D724" s="28"/>
      <c r="E724" s="28"/>
    </row>
    <row r="725" spans="1:5" ht="14.25" customHeight="1" x14ac:dyDescent="0.25">
      <c r="A725" s="38"/>
      <c r="B725" s="28"/>
      <c r="C725" s="28"/>
      <c r="D725" s="28"/>
      <c r="E725" s="28"/>
    </row>
    <row r="726" spans="1:5" ht="14.25" customHeight="1" x14ac:dyDescent="0.25">
      <c r="A726" s="38"/>
      <c r="B726" s="28"/>
      <c r="C726" s="28"/>
      <c r="D726" s="28"/>
      <c r="E726" s="28"/>
    </row>
    <row r="727" spans="1:5" ht="14.25" customHeight="1" x14ac:dyDescent="0.25">
      <c r="A727" s="38"/>
      <c r="B727" s="28"/>
      <c r="C727" s="28"/>
      <c r="D727" s="28"/>
      <c r="E727" s="28"/>
    </row>
    <row r="728" spans="1:5" ht="14.25" customHeight="1" x14ac:dyDescent="0.25">
      <c r="A728" s="38"/>
      <c r="B728" s="28"/>
      <c r="C728" s="28"/>
      <c r="D728" s="28"/>
      <c r="E728" s="28"/>
    </row>
    <row r="729" spans="1:5" ht="14.25" customHeight="1" x14ac:dyDescent="0.25">
      <c r="A729" s="38"/>
      <c r="B729" s="28"/>
      <c r="C729" s="28"/>
      <c r="D729" s="28"/>
      <c r="E729" s="28"/>
    </row>
    <row r="730" spans="1:5" ht="14.25" customHeight="1" x14ac:dyDescent="0.25">
      <c r="A730" s="38"/>
      <c r="B730" s="28"/>
      <c r="C730" s="28"/>
      <c r="D730" s="28"/>
      <c r="E730" s="28"/>
    </row>
    <row r="731" spans="1:5" ht="14.25" customHeight="1" x14ac:dyDescent="0.25">
      <c r="A731" s="38"/>
      <c r="B731" s="28"/>
      <c r="C731" s="28"/>
      <c r="D731" s="28"/>
      <c r="E731" s="28"/>
    </row>
    <row r="732" spans="1:5" ht="14.25" customHeight="1" x14ac:dyDescent="0.25">
      <c r="A732" s="38"/>
      <c r="B732" s="28"/>
      <c r="C732" s="28"/>
      <c r="D732" s="28"/>
      <c r="E732" s="28"/>
    </row>
    <row r="733" spans="1:5" ht="14.25" customHeight="1" x14ac:dyDescent="0.25">
      <c r="A733" s="38"/>
      <c r="B733" s="28"/>
      <c r="C733" s="28"/>
      <c r="D733" s="28"/>
      <c r="E733" s="28"/>
    </row>
    <row r="734" spans="1:5" ht="14.25" customHeight="1" x14ac:dyDescent="0.25">
      <c r="A734" s="38"/>
      <c r="B734" s="28"/>
      <c r="C734" s="28"/>
      <c r="D734" s="28"/>
      <c r="E734" s="28"/>
    </row>
    <row r="735" spans="1:5" ht="14.25" customHeight="1" x14ac:dyDescent="0.25">
      <c r="A735" s="38"/>
      <c r="B735" s="28"/>
      <c r="C735" s="28"/>
      <c r="D735" s="28"/>
      <c r="E735" s="28"/>
    </row>
    <row r="736" spans="1:5" ht="14.25" customHeight="1" x14ac:dyDescent="0.25">
      <c r="A736" s="38"/>
      <c r="B736" s="28"/>
      <c r="C736" s="28"/>
      <c r="D736" s="28"/>
      <c r="E736" s="28"/>
    </row>
    <row r="737" spans="1:5" ht="14.25" customHeight="1" x14ac:dyDescent="0.25">
      <c r="A737" s="38"/>
      <c r="B737" s="28"/>
      <c r="C737" s="28"/>
      <c r="D737" s="28"/>
      <c r="E737" s="28"/>
    </row>
    <row r="738" spans="1:5" ht="14.25" customHeight="1" x14ac:dyDescent="0.25">
      <c r="A738" s="38"/>
      <c r="B738" s="28"/>
      <c r="C738" s="28"/>
      <c r="D738" s="28"/>
      <c r="E738" s="28"/>
    </row>
    <row r="739" spans="1:5" ht="14.25" customHeight="1" x14ac:dyDescent="0.25">
      <c r="A739" s="38"/>
      <c r="B739" s="28"/>
      <c r="C739" s="28"/>
      <c r="D739" s="28"/>
      <c r="E739" s="28"/>
    </row>
    <row r="740" spans="1:5" ht="14.25" customHeight="1" x14ac:dyDescent="0.25">
      <c r="A740" s="38"/>
      <c r="B740" s="28"/>
      <c r="C740" s="28"/>
      <c r="D740" s="28"/>
      <c r="E740" s="28"/>
    </row>
    <row r="741" spans="1:5" ht="14.25" customHeight="1" x14ac:dyDescent="0.25">
      <c r="A741" s="38"/>
      <c r="B741" s="28"/>
      <c r="C741" s="28"/>
      <c r="D741" s="28"/>
      <c r="E741" s="28"/>
    </row>
    <row r="742" spans="1:5" ht="14.25" customHeight="1" x14ac:dyDescent="0.25">
      <c r="A742" s="38"/>
      <c r="B742" s="28"/>
      <c r="C742" s="28"/>
      <c r="D742" s="28"/>
      <c r="E742" s="28"/>
    </row>
    <row r="743" spans="1:5" ht="14.25" customHeight="1" x14ac:dyDescent="0.25">
      <c r="A743" s="38"/>
      <c r="B743" s="28"/>
      <c r="C743" s="28"/>
      <c r="D743" s="28"/>
      <c r="E743" s="28"/>
    </row>
    <row r="744" spans="1:5" ht="14.25" customHeight="1" x14ac:dyDescent="0.25">
      <c r="A744" s="38"/>
      <c r="B744" s="28"/>
      <c r="C744" s="28"/>
      <c r="D744" s="28"/>
      <c r="E744" s="28"/>
    </row>
    <row r="745" spans="1:5" ht="14.25" customHeight="1" x14ac:dyDescent="0.25">
      <c r="A745" s="38"/>
      <c r="B745" s="28"/>
      <c r="C745" s="28"/>
      <c r="D745" s="28"/>
      <c r="E745" s="28"/>
    </row>
    <row r="746" spans="1:5" ht="14.25" customHeight="1" x14ac:dyDescent="0.25">
      <c r="A746" s="38"/>
      <c r="B746" s="28"/>
      <c r="C746" s="28"/>
      <c r="D746" s="28"/>
      <c r="E746" s="28"/>
    </row>
    <row r="747" spans="1:5" ht="14.25" customHeight="1" x14ac:dyDescent="0.25">
      <c r="A747" s="38"/>
      <c r="B747" s="28"/>
      <c r="C747" s="28"/>
      <c r="D747" s="28"/>
      <c r="E747" s="28"/>
    </row>
    <row r="748" spans="1:5" ht="14.25" customHeight="1" x14ac:dyDescent="0.25">
      <c r="A748" s="38"/>
      <c r="B748" s="28"/>
      <c r="C748" s="28"/>
      <c r="D748" s="28"/>
      <c r="E748" s="28"/>
    </row>
    <row r="749" spans="1:5" ht="14.25" customHeight="1" x14ac:dyDescent="0.25">
      <c r="A749" s="38"/>
      <c r="B749" s="28"/>
      <c r="C749" s="28"/>
      <c r="D749" s="28"/>
      <c r="E749" s="28"/>
    </row>
    <row r="750" spans="1:5" ht="14.25" customHeight="1" x14ac:dyDescent="0.25">
      <c r="A750" s="38"/>
      <c r="B750" s="28"/>
      <c r="C750" s="28"/>
      <c r="D750" s="28"/>
      <c r="E750" s="28"/>
    </row>
    <row r="751" spans="1:5" ht="14.25" customHeight="1" x14ac:dyDescent="0.25">
      <c r="A751" s="38"/>
      <c r="B751" s="28"/>
      <c r="C751" s="28"/>
      <c r="D751" s="28"/>
      <c r="E751" s="28"/>
    </row>
    <row r="752" spans="1:5" ht="14.25" customHeight="1" x14ac:dyDescent="0.25">
      <c r="A752" s="38"/>
      <c r="B752" s="28"/>
      <c r="C752" s="28"/>
      <c r="D752" s="28"/>
      <c r="E752" s="28"/>
    </row>
    <row r="753" spans="1:5" ht="14.25" customHeight="1" x14ac:dyDescent="0.25">
      <c r="A753" s="38"/>
      <c r="B753" s="28"/>
      <c r="C753" s="28"/>
      <c r="D753" s="28"/>
      <c r="E753" s="28"/>
    </row>
    <row r="754" spans="1:5" ht="14.25" customHeight="1" x14ac:dyDescent="0.25">
      <c r="A754" s="38"/>
      <c r="B754" s="28"/>
      <c r="C754" s="28"/>
      <c r="D754" s="28"/>
      <c r="E754" s="28"/>
    </row>
    <row r="755" spans="1:5" ht="14.25" customHeight="1" x14ac:dyDescent="0.25">
      <c r="A755" s="38"/>
      <c r="B755" s="28"/>
      <c r="C755" s="28"/>
      <c r="D755" s="28"/>
      <c r="E755" s="28"/>
    </row>
    <row r="756" spans="1:5" ht="14.25" customHeight="1" x14ac:dyDescent="0.25">
      <c r="A756" s="38"/>
      <c r="B756" s="28"/>
      <c r="C756" s="28"/>
      <c r="D756" s="28"/>
      <c r="E756" s="28"/>
    </row>
    <row r="757" spans="1:5" ht="14.25" customHeight="1" x14ac:dyDescent="0.25">
      <c r="A757" s="38"/>
      <c r="B757" s="28"/>
      <c r="C757" s="28"/>
      <c r="D757" s="28"/>
      <c r="E757" s="28"/>
    </row>
    <row r="758" spans="1:5" ht="14.25" customHeight="1" x14ac:dyDescent="0.25">
      <c r="A758" s="38"/>
      <c r="B758" s="28"/>
      <c r="C758" s="28"/>
      <c r="D758" s="28"/>
      <c r="E758" s="28"/>
    </row>
    <row r="759" spans="1:5" ht="14.25" customHeight="1" x14ac:dyDescent="0.25">
      <c r="A759" s="38"/>
      <c r="B759" s="28"/>
      <c r="C759" s="28"/>
      <c r="D759" s="28"/>
      <c r="E759" s="28"/>
    </row>
    <row r="760" spans="1:5" ht="14.25" customHeight="1" x14ac:dyDescent="0.25">
      <c r="A760" s="38"/>
      <c r="B760" s="28"/>
      <c r="C760" s="28"/>
      <c r="D760" s="28"/>
      <c r="E760" s="28"/>
    </row>
    <row r="761" spans="1:5" ht="14.25" customHeight="1" x14ac:dyDescent="0.25">
      <c r="A761" s="38"/>
      <c r="B761" s="28"/>
      <c r="C761" s="28"/>
      <c r="D761" s="28"/>
      <c r="E761" s="28"/>
    </row>
    <row r="762" spans="1:5" ht="14.25" customHeight="1" x14ac:dyDescent="0.25">
      <c r="A762" s="38"/>
      <c r="B762" s="28"/>
      <c r="C762" s="28"/>
      <c r="D762" s="28"/>
      <c r="E762" s="28"/>
    </row>
    <row r="763" spans="1:5" ht="14.25" customHeight="1" x14ac:dyDescent="0.25">
      <c r="A763" s="38"/>
      <c r="B763" s="28"/>
      <c r="C763" s="28"/>
      <c r="D763" s="28"/>
      <c r="E763" s="28"/>
    </row>
    <row r="764" spans="1:5" ht="14.25" customHeight="1" x14ac:dyDescent="0.25">
      <c r="A764" s="38"/>
      <c r="B764" s="28"/>
      <c r="C764" s="28"/>
      <c r="D764" s="28"/>
      <c r="E764" s="28"/>
    </row>
    <row r="765" spans="1:5" ht="14.25" customHeight="1" x14ac:dyDescent="0.25">
      <c r="A765" s="38"/>
      <c r="B765" s="28"/>
      <c r="C765" s="28"/>
      <c r="D765" s="28"/>
      <c r="E765" s="28"/>
    </row>
    <row r="766" spans="1:5" ht="14.25" customHeight="1" x14ac:dyDescent="0.25">
      <c r="A766" s="38"/>
      <c r="B766" s="28"/>
      <c r="C766" s="28"/>
      <c r="D766" s="28"/>
      <c r="E766" s="28"/>
    </row>
    <row r="767" spans="1:5" ht="14.25" customHeight="1" x14ac:dyDescent="0.25">
      <c r="A767" s="38"/>
      <c r="B767" s="28"/>
      <c r="C767" s="28"/>
      <c r="D767" s="28"/>
      <c r="E767" s="28"/>
    </row>
    <row r="768" spans="1:5" ht="14.25" customHeight="1" x14ac:dyDescent="0.25">
      <c r="A768" s="38"/>
      <c r="B768" s="28"/>
      <c r="C768" s="28"/>
      <c r="D768" s="28"/>
      <c r="E768" s="28"/>
    </row>
    <row r="769" spans="1:5" ht="14.25" customHeight="1" x14ac:dyDescent="0.25">
      <c r="A769" s="38"/>
      <c r="B769" s="28"/>
      <c r="C769" s="28"/>
      <c r="D769" s="28"/>
      <c r="E769" s="28"/>
    </row>
    <row r="770" spans="1:5" ht="14.25" customHeight="1" x14ac:dyDescent="0.25">
      <c r="A770" s="38"/>
      <c r="B770" s="28"/>
      <c r="C770" s="28"/>
      <c r="D770" s="28"/>
      <c r="E770" s="28"/>
    </row>
    <row r="771" spans="1:5" ht="14.25" customHeight="1" x14ac:dyDescent="0.25">
      <c r="A771" s="38"/>
      <c r="B771" s="28"/>
      <c r="C771" s="28"/>
      <c r="D771" s="28"/>
      <c r="E771" s="28"/>
    </row>
    <row r="772" spans="1:5" ht="14.25" customHeight="1" x14ac:dyDescent="0.25">
      <c r="A772" s="38"/>
      <c r="B772" s="28"/>
      <c r="C772" s="28"/>
      <c r="D772" s="28"/>
      <c r="E772" s="28"/>
    </row>
    <row r="773" spans="1:5" ht="14.25" customHeight="1" x14ac:dyDescent="0.25">
      <c r="A773" s="38"/>
      <c r="B773" s="28"/>
      <c r="C773" s="28"/>
      <c r="D773" s="28"/>
      <c r="E773" s="28"/>
    </row>
    <row r="774" spans="1:5" ht="14.25" customHeight="1" x14ac:dyDescent="0.25">
      <c r="A774" s="38"/>
      <c r="B774" s="28"/>
      <c r="C774" s="28"/>
      <c r="D774" s="28"/>
      <c r="E774" s="28"/>
    </row>
    <row r="775" spans="1:5" ht="14.25" customHeight="1" x14ac:dyDescent="0.25">
      <c r="A775" s="38"/>
      <c r="B775" s="28"/>
      <c r="C775" s="28"/>
      <c r="D775" s="28"/>
      <c r="E775" s="28"/>
    </row>
    <row r="776" spans="1:5" ht="14.25" customHeight="1" x14ac:dyDescent="0.25">
      <c r="A776" s="38"/>
      <c r="B776" s="28"/>
      <c r="C776" s="28"/>
      <c r="D776" s="28"/>
      <c r="E776" s="28"/>
    </row>
    <row r="777" spans="1:5" ht="14.25" customHeight="1" x14ac:dyDescent="0.25">
      <c r="A777" s="38"/>
      <c r="B777" s="28"/>
      <c r="C777" s="28"/>
      <c r="D777" s="28"/>
      <c r="E777" s="28"/>
    </row>
    <row r="778" spans="1:5" ht="14.25" customHeight="1" x14ac:dyDescent="0.25">
      <c r="A778" s="38"/>
      <c r="B778" s="28"/>
      <c r="C778" s="28"/>
      <c r="D778" s="28"/>
      <c r="E778" s="28"/>
    </row>
    <row r="779" spans="1:5" ht="14.25" customHeight="1" x14ac:dyDescent="0.25">
      <c r="A779" s="38"/>
      <c r="B779" s="28"/>
      <c r="C779" s="28"/>
      <c r="D779" s="28"/>
      <c r="E779" s="28"/>
    </row>
    <row r="780" spans="1:5" ht="14.25" customHeight="1" x14ac:dyDescent="0.25">
      <c r="A780" s="38"/>
      <c r="B780" s="28"/>
      <c r="C780" s="28"/>
      <c r="D780" s="28"/>
      <c r="E780" s="28"/>
    </row>
    <row r="781" spans="1:5" ht="14.25" customHeight="1" x14ac:dyDescent="0.25">
      <c r="A781" s="38"/>
      <c r="B781" s="28"/>
      <c r="C781" s="28"/>
      <c r="D781" s="28"/>
      <c r="E781" s="28"/>
    </row>
    <row r="782" spans="1:5" ht="14.25" customHeight="1" x14ac:dyDescent="0.25">
      <c r="A782" s="38"/>
      <c r="B782" s="28"/>
      <c r="C782" s="28"/>
      <c r="D782" s="28"/>
      <c r="E782" s="28"/>
    </row>
    <row r="783" spans="1:5" ht="14.25" customHeight="1" x14ac:dyDescent="0.25">
      <c r="A783" s="38"/>
      <c r="B783" s="28"/>
      <c r="C783" s="28"/>
      <c r="D783" s="28"/>
      <c r="E783" s="28"/>
    </row>
    <row r="784" spans="1:5" ht="14.25" customHeight="1" x14ac:dyDescent="0.25">
      <c r="A784" s="38"/>
      <c r="B784" s="28"/>
      <c r="C784" s="28"/>
      <c r="D784" s="28"/>
      <c r="E784" s="28"/>
    </row>
    <row r="785" spans="1:5" ht="14.25" customHeight="1" x14ac:dyDescent="0.25">
      <c r="A785" s="38"/>
      <c r="B785" s="28"/>
      <c r="C785" s="28"/>
      <c r="D785" s="28"/>
      <c r="E785" s="28"/>
    </row>
    <row r="786" spans="1:5" ht="14.25" customHeight="1" x14ac:dyDescent="0.25">
      <c r="A786" s="38"/>
      <c r="B786" s="28"/>
      <c r="C786" s="28"/>
      <c r="D786" s="28"/>
      <c r="E786" s="28"/>
    </row>
    <row r="787" spans="1:5" ht="14.25" customHeight="1" x14ac:dyDescent="0.25">
      <c r="A787" s="38"/>
      <c r="B787" s="28"/>
      <c r="C787" s="28"/>
      <c r="D787" s="28"/>
      <c r="E787" s="28"/>
    </row>
    <row r="788" spans="1:5" ht="14.25" customHeight="1" x14ac:dyDescent="0.25">
      <c r="A788" s="38"/>
      <c r="B788" s="28"/>
      <c r="C788" s="28"/>
      <c r="D788" s="28"/>
      <c r="E788" s="28"/>
    </row>
    <row r="789" spans="1:5" ht="14.25" customHeight="1" x14ac:dyDescent="0.25">
      <c r="A789" s="38"/>
      <c r="B789" s="28"/>
      <c r="C789" s="28"/>
      <c r="D789" s="28"/>
      <c r="E789" s="28"/>
    </row>
    <row r="790" spans="1:5" ht="14.25" customHeight="1" x14ac:dyDescent="0.25">
      <c r="A790" s="38"/>
      <c r="B790" s="28"/>
      <c r="C790" s="28"/>
      <c r="D790" s="28"/>
      <c r="E790" s="28"/>
    </row>
    <row r="791" spans="1:5" ht="14.25" customHeight="1" x14ac:dyDescent="0.25">
      <c r="A791" s="38"/>
      <c r="B791" s="28"/>
      <c r="C791" s="28"/>
      <c r="D791" s="28"/>
      <c r="E791" s="28"/>
    </row>
    <row r="792" spans="1:5" ht="14.25" customHeight="1" x14ac:dyDescent="0.25">
      <c r="A792" s="38"/>
      <c r="B792" s="28"/>
      <c r="C792" s="28"/>
      <c r="D792" s="28"/>
      <c r="E792" s="28"/>
    </row>
    <row r="793" spans="1:5" ht="14.25" customHeight="1" x14ac:dyDescent="0.25">
      <c r="A793" s="38"/>
      <c r="B793" s="28"/>
      <c r="C793" s="28"/>
      <c r="D793" s="28"/>
      <c r="E793" s="28"/>
    </row>
    <row r="794" spans="1:5" ht="14.25" customHeight="1" x14ac:dyDescent="0.25">
      <c r="A794" s="38"/>
      <c r="B794" s="28"/>
      <c r="C794" s="28"/>
      <c r="D794" s="28"/>
      <c r="E794" s="28"/>
    </row>
    <row r="795" spans="1:5" ht="14.25" customHeight="1" x14ac:dyDescent="0.25">
      <c r="A795" s="38"/>
      <c r="B795" s="28"/>
      <c r="C795" s="28"/>
      <c r="D795" s="28"/>
      <c r="E795" s="28"/>
    </row>
    <row r="796" spans="1:5" ht="14.25" customHeight="1" x14ac:dyDescent="0.25">
      <c r="A796" s="38"/>
      <c r="B796" s="28"/>
      <c r="C796" s="28"/>
      <c r="D796" s="28"/>
      <c r="E796" s="28"/>
    </row>
    <row r="797" spans="1:5" ht="14.25" customHeight="1" x14ac:dyDescent="0.25">
      <c r="A797" s="38"/>
      <c r="B797" s="28"/>
      <c r="C797" s="28"/>
      <c r="D797" s="28"/>
      <c r="E797" s="28"/>
    </row>
    <row r="798" spans="1:5" ht="14.25" customHeight="1" x14ac:dyDescent="0.25">
      <c r="A798" s="38"/>
      <c r="B798" s="28"/>
      <c r="C798" s="28"/>
      <c r="D798" s="28"/>
      <c r="E798" s="28"/>
    </row>
    <row r="799" spans="1:5" ht="14.25" customHeight="1" x14ac:dyDescent="0.25">
      <c r="A799" s="38"/>
      <c r="B799" s="28"/>
      <c r="C799" s="28"/>
      <c r="D799" s="28"/>
      <c r="E799" s="28"/>
    </row>
    <row r="800" spans="1:5" ht="14.25" customHeight="1" x14ac:dyDescent="0.25">
      <c r="A800" s="38"/>
      <c r="B800" s="28"/>
      <c r="C800" s="28"/>
      <c r="D800" s="28"/>
      <c r="E800" s="28"/>
    </row>
    <row r="801" spans="1:5" ht="14.25" customHeight="1" x14ac:dyDescent="0.25">
      <c r="A801" s="38"/>
      <c r="B801" s="28"/>
      <c r="C801" s="28"/>
      <c r="D801" s="28"/>
      <c r="E801" s="28"/>
    </row>
    <row r="802" spans="1:5" ht="14.25" customHeight="1" x14ac:dyDescent="0.25">
      <c r="A802" s="38"/>
      <c r="B802" s="28"/>
      <c r="C802" s="28"/>
      <c r="D802" s="28"/>
      <c r="E802" s="28"/>
    </row>
    <row r="803" spans="1:5" ht="14.25" customHeight="1" x14ac:dyDescent="0.25">
      <c r="A803" s="38"/>
      <c r="B803" s="28"/>
      <c r="C803" s="28"/>
      <c r="D803" s="28"/>
      <c r="E803" s="28"/>
    </row>
    <row r="804" spans="1:5" ht="14.25" customHeight="1" x14ac:dyDescent="0.25">
      <c r="A804" s="38"/>
      <c r="B804" s="28"/>
      <c r="C804" s="28"/>
      <c r="D804" s="28"/>
      <c r="E804" s="28"/>
    </row>
    <row r="805" spans="1:5" ht="14.25" customHeight="1" x14ac:dyDescent="0.25">
      <c r="A805" s="38"/>
      <c r="B805" s="28"/>
      <c r="C805" s="28"/>
      <c r="D805" s="28"/>
      <c r="E805" s="28"/>
    </row>
    <row r="806" spans="1:5" ht="14.25" customHeight="1" x14ac:dyDescent="0.25">
      <c r="A806" s="38"/>
      <c r="B806" s="28"/>
      <c r="C806" s="28"/>
      <c r="D806" s="28"/>
      <c r="E806" s="28"/>
    </row>
    <row r="807" spans="1:5" ht="14.25" customHeight="1" x14ac:dyDescent="0.25">
      <c r="A807" s="38"/>
      <c r="B807" s="28"/>
      <c r="C807" s="28"/>
      <c r="D807" s="28"/>
      <c r="E807" s="28"/>
    </row>
    <row r="808" spans="1:5" ht="14.25" customHeight="1" x14ac:dyDescent="0.25">
      <c r="A808" s="38"/>
      <c r="B808" s="28"/>
      <c r="C808" s="28"/>
      <c r="D808" s="28"/>
      <c r="E808" s="28"/>
    </row>
    <row r="809" spans="1:5" ht="14.25" customHeight="1" x14ac:dyDescent="0.25">
      <c r="A809" s="38"/>
      <c r="B809" s="28"/>
      <c r="C809" s="28"/>
      <c r="D809" s="28"/>
      <c r="E809" s="28"/>
    </row>
    <row r="810" spans="1:5" ht="14.25" customHeight="1" x14ac:dyDescent="0.25">
      <c r="A810" s="38"/>
      <c r="B810" s="28"/>
      <c r="C810" s="28"/>
      <c r="D810" s="28"/>
      <c r="E810" s="28"/>
    </row>
    <row r="811" spans="1:5" ht="14.25" customHeight="1" x14ac:dyDescent="0.25">
      <c r="A811" s="38"/>
      <c r="B811" s="28"/>
      <c r="C811" s="28"/>
      <c r="D811" s="28"/>
      <c r="E811" s="28"/>
    </row>
    <row r="812" spans="1:5" ht="14.25" customHeight="1" x14ac:dyDescent="0.25">
      <c r="A812" s="38"/>
      <c r="B812" s="28"/>
      <c r="C812" s="28"/>
      <c r="D812" s="28"/>
      <c r="E812" s="28"/>
    </row>
    <row r="813" spans="1:5" ht="14.25" customHeight="1" x14ac:dyDescent="0.25">
      <c r="A813" s="38"/>
      <c r="B813" s="28"/>
      <c r="C813" s="28"/>
      <c r="D813" s="28"/>
      <c r="E813" s="28"/>
    </row>
    <row r="814" spans="1:5" ht="14.25" customHeight="1" x14ac:dyDescent="0.25">
      <c r="A814" s="38"/>
      <c r="B814" s="28"/>
      <c r="C814" s="28"/>
      <c r="D814" s="28"/>
      <c r="E814" s="28"/>
    </row>
    <row r="815" spans="1:5" ht="14.25" customHeight="1" x14ac:dyDescent="0.25">
      <c r="A815" s="38"/>
      <c r="B815" s="28"/>
      <c r="C815" s="28"/>
      <c r="D815" s="28"/>
      <c r="E815" s="28"/>
    </row>
    <row r="816" spans="1:5" ht="14.25" customHeight="1" x14ac:dyDescent="0.25">
      <c r="A816" s="38"/>
      <c r="B816" s="28"/>
      <c r="C816" s="28"/>
      <c r="D816" s="28"/>
      <c r="E816" s="28"/>
    </row>
    <row r="817" spans="1:5" ht="14.25" customHeight="1" x14ac:dyDescent="0.25">
      <c r="A817" s="38"/>
      <c r="B817" s="28"/>
      <c r="C817" s="28"/>
      <c r="D817" s="28"/>
      <c r="E817" s="28"/>
    </row>
    <row r="818" spans="1:5" ht="14.25" customHeight="1" x14ac:dyDescent="0.25">
      <c r="A818" s="38"/>
      <c r="B818" s="28"/>
      <c r="C818" s="28"/>
      <c r="D818" s="28"/>
      <c r="E818" s="28"/>
    </row>
    <row r="819" spans="1:5" ht="14.25" customHeight="1" x14ac:dyDescent="0.25">
      <c r="A819" s="38"/>
      <c r="B819" s="28"/>
      <c r="C819" s="28"/>
      <c r="D819" s="28"/>
      <c r="E819" s="28"/>
    </row>
    <row r="820" spans="1:5" ht="14.25" customHeight="1" x14ac:dyDescent="0.25">
      <c r="A820" s="38"/>
      <c r="B820" s="28"/>
      <c r="C820" s="28"/>
      <c r="D820" s="28"/>
      <c r="E820" s="28"/>
    </row>
    <row r="821" spans="1:5" ht="14.25" customHeight="1" x14ac:dyDescent="0.25">
      <c r="A821" s="38"/>
      <c r="B821" s="28"/>
      <c r="C821" s="28"/>
      <c r="D821" s="28"/>
      <c r="E821" s="28"/>
    </row>
    <row r="822" spans="1:5" ht="14.25" customHeight="1" x14ac:dyDescent="0.25">
      <c r="A822" s="38"/>
      <c r="B822" s="28"/>
      <c r="C822" s="28"/>
      <c r="D822" s="28"/>
      <c r="E822" s="28"/>
    </row>
    <row r="823" spans="1:5" ht="14.25" customHeight="1" x14ac:dyDescent="0.25">
      <c r="A823" s="38"/>
      <c r="B823" s="28"/>
      <c r="C823" s="28"/>
      <c r="D823" s="28"/>
      <c r="E823" s="28"/>
    </row>
    <row r="824" spans="1:5" ht="14.25" customHeight="1" x14ac:dyDescent="0.25">
      <c r="A824" s="38"/>
      <c r="B824" s="28"/>
      <c r="C824" s="28"/>
      <c r="D824" s="28"/>
      <c r="E824" s="28"/>
    </row>
    <row r="825" spans="1:5" ht="14.25" customHeight="1" x14ac:dyDescent="0.25">
      <c r="A825" s="38"/>
      <c r="B825" s="28"/>
      <c r="C825" s="28"/>
      <c r="D825" s="28"/>
      <c r="E825" s="28"/>
    </row>
    <row r="826" spans="1:5" ht="14.25" customHeight="1" x14ac:dyDescent="0.25">
      <c r="A826" s="38"/>
      <c r="B826" s="28"/>
      <c r="C826" s="28"/>
      <c r="D826" s="28"/>
      <c r="E826" s="28"/>
    </row>
    <row r="827" spans="1:5" ht="14.25" customHeight="1" x14ac:dyDescent="0.25">
      <c r="A827" s="38"/>
      <c r="B827" s="28"/>
      <c r="C827" s="28"/>
      <c r="D827" s="28"/>
      <c r="E827" s="28"/>
    </row>
    <row r="828" spans="1:5" ht="14.25" customHeight="1" x14ac:dyDescent="0.25">
      <c r="A828" s="38"/>
      <c r="B828" s="28"/>
      <c r="C828" s="28"/>
      <c r="D828" s="28"/>
      <c r="E828" s="28"/>
    </row>
    <row r="829" spans="1:5" ht="14.25" customHeight="1" x14ac:dyDescent="0.25">
      <c r="A829" s="38"/>
      <c r="B829" s="28"/>
      <c r="C829" s="28"/>
      <c r="D829" s="28"/>
      <c r="E829" s="28"/>
    </row>
    <row r="830" spans="1:5" ht="14.25" customHeight="1" x14ac:dyDescent="0.25">
      <c r="A830" s="38"/>
      <c r="B830" s="28"/>
      <c r="C830" s="28"/>
      <c r="D830" s="28"/>
      <c r="E830" s="28"/>
    </row>
    <row r="831" spans="1:5" ht="14.25" customHeight="1" x14ac:dyDescent="0.25">
      <c r="A831" s="38"/>
      <c r="B831" s="28"/>
      <c r="C831" s="28"/>
      <c r="D831" s="28"/>
      <c r="E831" s="28"/>
    </row>
    <row r="832" spans="1:5" ht="14.25" customHeight="1" x14ac:dyDescent="0.25">
      <c r="A832" s="38"/>
      <c r="B832" s="28"/>
      <c r="C832" s="28"/>
      <c r="D832" s="28"/>
      <c r="E832" s="28"/>
    </row>
    <row r="833" spans="1:5" ht="14.25" customHeight="1" x14ac:dyDescent="0.25">
      <c r="A833" s="38"/>
      <c r="B833" s="28"/>
      <c r="C833" s="28"/>
      <c r="D833" s="28"/>
      <c r="E833" s="28"/>
    </row>
    <row r="834" spans="1:5" ht="14.25" customHeight="1" x14ac:dyDescent="0.25">
      <c r="A834" s="38"/>
      <c r="B834" s="28"/>
      <c r="C834" s="28"/>
      <c r="D834" s="28"/>
      <c r="E834" s="28"/>
    </row>
    <row r="835" spans="1:5" ht="14.25" customHeight="1" x14ac:dyDescent="0.25">
      <c r="A835" s="38"/>
      <c r="B835" s="28"/>
      <c r="C835" s="28"/>
      <c r="D835" s="28"/>
      <c r="E835" s="28"/>
    </row>
    <row r="836" spans="1:5" ht="14.25" customHeight="1" x14ac:dyDescent="0.25">
      <c r="A836" s="38"/>
      <c r="B836" s="28"/>
      <c r="C836" s="28"/>
      <c r="D836" s="28"/>
      <c r="E836" s="28"/>
    </row>
    <row r="837" spans="1:5" ht="14.25" customHeight="1" x14ac:dyDescent="0.25">
      <c r="A837" s="38"/>
      <c r="B837" s="28"/>
      <c r="C837" s="28"/>
      <c r="D837" s="28"/>
      <c r="E837" s="28"/>
    </row>
    <row r="838" spans="1:5" ht="14.25" customHeight="1" x14ac:dyDescent="0.25">
      <c r="A838" s="38"/>
      <c r="B838" s="28"/>
      <c r="C838" s="28"/>
      <c r="D838" s="28"/>
      <c r="E838" s="28"/>
    </row>
    <row r="839" spans="1:5" ht="14.25" customHeight="1" x14ac:dyDescent="0.25">
      <c r="A839" s="38"/>
      <c r="B839" s="28"/>
      <c r="C839" s="28"/>
      <c r="D839" s="28"/>
      <c r="E839" s="28"/>
    </row>
    <row r="840" spans="1:5" ht="14.25" customHeight="1" x14ac:dyDescent="0.25">
      <c r="A840" s="38"/>
      <c r="B840" s="28"/>
      <c r="C840" s="28"/>
      <c r="D840" s="28"/>
      <c r="E840" s="28"/>
    </row>
    <row r="841" spans="1:5" ht="14.25" customHeight="1" x14ac:dyDescent="0.25">
      <c r="A841" s="38"/>
      <c r="B841" s="28"/>
      <c r="C841" s="28"/>
      <c r="D841" s="28"/>
      <c r="E841" s="28"/>
    </row>
    <row r="842" spans="1:5" ht="14.25" customHeight="1" x14ac:dyDescent="0.25">
      <c r="A842" s="38"/>
      <c r="B842" s="28"/>
      <c r="C842" s="28"/>
      <c r="D842" s="28"/>
      <c r="E842" s="28"/>
    </row>
    <row r="843" spans="1:5" ht="14.25" customHeight="1" x14ac:dyDescent="0.25">
      <c r="A843" s="38"/>
      <c r="B843" s="28"/>
      <c r="C843" s="28"/>
      <c r="D843" s="28"/>
      <c r="E843" s="28"/>
    </row>
    <row r="844" spans="1:5" ht="14.25" customHeight="1" x14ac:dyDescent="0.25">
      <c r="A844" s="38"/>
      <c r="B844" s="28"/>
      <c r="C844" s="28"/>
      <c r="D844" s="28"/>
      <c r="E844" s="28"/>
    </row>
    <row r="845" spans="1:5" ht="14.25" customHeight="1" x14ac:dyDescent="0.25">
      <c r="A845" s="38"/>
      <c r="B845" s="28"/>
      <c r="C845" s="28"/>
      <c r="D845" s="28"/>
      <c r="E845" s="28"/>
    </row>
    <row r="846" spans="1:5" ht="14.25" customHeight="1" x14ac:dyDescent="0.25">
      <c r="A846" s="38"/>
      <c r="B846" s="28"/>
      <c r="C846" s="28"/>
      <c r="D846" s="28"/>
      <c r="E846" s="28"/>
    </row>
    <row r="847" spans="1:5" ht="14.25" customHeight="1" x14ac:dyDescent="0.25">
      <c r="A847" s="38"/>
      <c r="B847" s="28"/>
      <c r="C847" s="28"/>
      <c r="D847" s="28"/>
      <c r="E847" s="28"/>
    </row>
    <row r="848" spans="1:5" ht="14.25" customHeight="1" x14ac:dyDescent="0.25">
      <c r="A848" s="38"/>
      <c r="B848" s="28"/>
      <c r="C848" s="28"/>
      <c r="D848" s="28"/>
      <c r="E848" s="28"/>
    </row>
    <row r="849" spans="1:5" ht="14.25" customHeight="1" x14ac:dyDescent="0.25">
      <c r="A849" s="38"/>
      <c r="B849" s="28"/>
      <c r="C849" s="28"/>
      <c r="D849" s="28"/>
      <c r="E849" s="28"/>
    </row>
    <row r="850" spans="1:5" ht="14.25" customHeight="1" x14ac:dyDescent="0.25">
      <c r="A850" s="38"/>
      <c r="B850" s="28"/>
      <c r="C850" s="28"/>
      <c r="D850" s="28"/>
      <c r="E850" s="28"/>
    </row>
    <row r="851" spans="1:5" ht="14.25" customHeight="1" x14ac:dyDescent="0.25">
      <c r="A851" s="38"/>
      <c r="B851" s="28"/>
      <c r="C851" s="28"/>
      <c r="D851" s="28"/>
      <c r="E851" s="28"/>
    </row>
    <row r="852" spans="1:5" ht="14.25" customHeight="1" x14ac:dyDescent="0.25">
      <c r="A852" s="38"/>
      <c r="B852" s="28"/>
      <c r="C852" s="28"/>
      <c r="D852" s="28"/>
      <c r="E852" s="28"/>
    </row>
    <row r="853" spans="1:5" ht="14.25" customHeight="1" x14ac:dyDescent="0.25">
      <c r="A853" s="38"/>
      <c r="B853" s="28"/>
      <c r="C853" s="28"/>
      <c r="D853" s="28"/>
      <c r="E853" s="28"/>
    </row>
    <row r="854" spans="1:5" ht="14.25" customHeight="1" x14ac:dyDescent="0.25">
      <c r="A854" s="38"/>
      <c r="B854" s="28"/>
      <c r="C854" s="28"/>
      <c r="D854" s="28"/>
      <c r="E854" s="28"/>
    </row>
    <row r="855" spans="1:5" ht="14.25" customHeight="1" x14ac:dyDescent="0.25">
      <c r="A855" s="38"/>
      <c r="B855" s="28"/>
      <c r="C855" s="28"/>
      <c r="D855" s="28"/>
      <c r="E855" s="28"/>
    </row>
    <row r="856" spans="1:5" ht="14.25" customHeight="1" x14ac:dyDescent="0.25">
      <c r="A856" s="38"/>
      <c r="B856" s="28"/>
      <c r="C856" s="28"/>
      <c r="D856" s="28"/>
      <c r="E856" s="28"/>
    </row>
    <row r="857" spans="1:5" ht="14.25" customHeight="1" x14ac:dyDescent="0.25">
      <c r="A857" s="38"/>
      <c r="B857" s="28"/>
      <c r="C857" s="28"/>
      <c r="D857" s="28"/>
      <c r="E857" s="28"/>
    </row>
    <row r="858" spans="1:5" ht="14.25" customHeight="1" x14ac:dyDescent="0.25">
      <c r="A858" s="38"/>
      <c r="B858" s="28"/>
      <c r="C858" s="28"/>
      <c r="D858" s="28"/>
      <c r="E858" s="28"/>
    </row>
    <row r="859" spans="1:5" ht="14.25" customHeight="1" x14ac:dyDescent="0.25">
      <c r="A859" s="38"/>
      <c r="B859" s="28"/>
      <c r="C859" s="28"/>
      <c r="D859" s="28"/>
      <c r="E859" s="28"/>
    </row>
    <row r="860" spans="1:5" ht="14.25" customHeight="1" x14ac:dyDescent="0.25">
      <c r="A860" s="38"/>
      <c r="B860" s="28"/>
      <c r="C860" s="28"/>
      <c r="D860" s="28"/>
      <c r="E860" s="28"/>
    </row>
    <row r="861" spans="1:5" ht="14.25" customHeight="1" x14ac:dyDescent="0.25">
      <c r="A861" s="38"/>
      <c r="B861" s="28"/>
      <c r="C861" s="28"/>
      <c r="D861" s="28"/>
      <c r="E861" s="28"/>
    </row>
    <row r="862" spans="1:5" ht="14.25" customHeight="1" x14ac:dyDescent="0.25">
      <c r="A862" s="38"/>
      <c r="B862" s="28"/>
      <c r="C862" s="28"/>
      <c r="D862" s="28"/>
      <c r="E862" s="28"/>
    </row>
    <row r="863" spans="1:5" ht="14.25" customHeight="1" x14ac:dyDescent="0.25">
      <c r="A863" s="38"/>
      <c r="B863" s="28"/>
      <c r="C863" s="28"/>
      <c r="D863" s="28"/>
      <c r="E863" s="28"/>
    </row>
    <row r="864" spans="1:5" ht="14.25" customHeight="1" x14ac:dyDescent="0.25">
      <c r="A864" s="38"/>
      <c r="B864" s="28"/>
      <c r="C864" s="28"/>
      <c r="D864" s="28"/>
      <c r="E864" s="28"/>
    </row>
    <row r="865" spans="1:5" ht="14.25" customHeight="1" x14ac:dyDescent="0.25">
      <c r="A865" s="38"/>
      <c r="B865" s="28"/>
      <c r="C865" s="28"/>
      <c r="D865" s="28"/>
      <c r="E865" s="28"/>
    </row>
    <row r="866" spans="1:5" ht="14.25" customHeight="1" x14ac:dyDescent="0.25">
      <c r="A866" s="38"/>
      <c r="B866" s="28"/>
      <c r="C866" s="28"/>
      <c r="D866" s="28"/>
      <c r="E866" s="28"/>
    </row>
    <row r="867" spans="1:5" ht="14.25" customHeight="1" x14ac:dyDescent="0.25">
      <c r="A867" s="38"/>
      <c r="B867" s="28"/>
      <c r="C867" s="28"/>
      <c r="D867" s="28"/>
      <c r="E867" s="28"/>
    </row>
    <row r="868" spans="1:5" ht="14.25" customHeight="1" x14ac:dyDescent="0.25">
      <c r="A868" s="38"/>
      <c r="B868" s="28"/>
      <c r="C868" s="28"/>
      <c r="D868" s="28"/>
      <c r="E868" s="28"/>
    </row>
    <row r="869" spans="1:5" ht="14.25" customHeight="1" x14ac:dyDescent="0.25">
      <c r="A869" s="38"/>
      <c r="B869" s="28"/>
      <c r="C869" s="28"/>
      <c r="D869" s="28"/>
      <c r="E869" s="28"/>
    </row>
    <row r="870" spans="1:5" ht="14.25" customHeight="1" x14ac:dyDescent="0.25">
      <c r="A870" s="38"/>
      <c r="B870" s="28"/>
      <c r="C870" s="28"/>
      <c r="D870" s="28"/>
      <c r="E870" s="28"/>
    </row>
    <row r="871" spans="1:5" ht="14.25" customHeight="1" x14ac:dyDescent="0.25">
      <c r="A871" s="38"/>
      <c r="B871" s="28"/>
      <c r="C871" s="28"/>
      <c r="D871" s="28"/>
      <c r="E871" s="28"/>
    </row>
    <row r="872" spans="1:5" ht="14.25" customHeight="1" x14ac:dyDescent="0.25">
      <c r="A872" s="38"/>
      <c r="B872" s="28"/>
      <c r="C872" s="28"/>
      <c r="D872" s="28"/>
      <c r="E872" s="28"/>
    </row>
    <row r="873" spans="1:5" ht="14.25" customHeight="1" x14ac:dyDescent="0.25">
      <c r="A873" s="38"/>
      <c r="B873" s="28"/>
      <c r="C873" s="28"/>
      <c r="D873" s="28"/>
      <c r="E873" s="28"/>
    </row>
    <row r="874" spans="1:5" ht="14.25" customHeight="1" x14ac:dyDescent="0.25">
      <c r="A874" s="38"/>
      <c r="B874" s="28"/>
      <c r="C874" s="28"/>
      <c r="D874" s="28"/>
      <c r="E874" s="28"/>
    </row>
    <row r="875" spans="1:5" ht="14.25" customHeight="1" x14ac:dyDescent="0.25">
      <c r="A875" s="38"/>
      <c r="B875" s="28"/>
      <c r="C875" s="28"/>
      <c r="D875" s="28"/>
      <c r="E875" s="28"/>
    </row>
    <row r="876" spans="1:5" ht="14.25" customHeight="1" x14ac:dyDescent="0.25">
      <c r="A876" s="38"/>
      <c r="B876" s="28"/>
      <c r="C876" s="28"/>
      <c r="D876" s="28"/>
      <c r="E876" s="28"/>
    </row>
    <row r="877" spans="1:5" ht="14.25" customHeight="1" x14ac:dyDescent="0.25">
      <c r="A877" s="38"/>
      <c r="B877" s="28"/>
      <c r="C877" s="28"/>
      <c r="D877" s="28"/>
      <c r="E877" s="28"/>
    </row>
    <row r="878" spans="1:5" ht="14.25" customHeight="1" x14ac:dyDescent="0.25">
      <c r="A878" s="38"/>
      <c r="B878" s="28"/>
      <c r="C878" s="28"/>
      <c r="D878" s="28"/>
      <c r="E878" s="28"/>
    </row>
    <row r="879" spans="1:5" ht="14.25" customHeight="1" x14ac:dyDescent="0.25">
      <c r="A879" s="38"/>
      <c r="B879" s="28"/>
      <c r="C879" s="28"/>
      <c r="D879" s="28"/>
      <c r="E879" s="28"/>
    </row>
    <row r="880" spans="1:5" ht="14.25" customHeight="1" x14ac:dyDescent="0.25">
      <c r="A880" s="38"/>
      <c r="B880" s="28"/>
      <c r="C880" s="28"/>
      <c r="D880" s="28"/>
      <c r="E880" s="28"/>
    </row>
    <row r="881" spans="1:5" ht="14.25" customHeight="1" x14ac:dyDescent="0.25">
      <c r="A881" s="38"/>
      <c r="B881" s="28"/>
      <c r="C881" s="28"/>
      <c r="D881" s="28"/>
      <c r="E881" s="28"/>
    </row>
    <row r="882" spans="1:5" ht="14.25" customHeight="1" x14ac:dyDescent="0.25">
      <c r="A882" s="38"/>
      <c r="B882" s="28"/>
      <c r="C882" s="28"/>
      <c r="D882" s="28"/>
      <c r="E882" s="28"/>
    </row>
    <row r="883" spans="1:5" ht="14.25" customHeight="1" x14ac:dyDescent="0.25">
      <c r="A883" s="38"/>
      <c r="B883" s="28"/>
      <c r="C883" s="28"/>
      <c r="D883" s="28"/>
      <c r="E883" s="28"/>
    </row>
    <row r="884" spans="1:5" ht="14.25" customHeight="1" x14ac:dyDescent="0.25">
      <c r="A884" s="38"/>
      <c r="B884" s="28"/>
      <c r="C884" s="28"/>
      <c r="D884" s="28"/>
      <c r="E884" s="28"/>
    </row>
    <row r="885" spans="1:5" ht="14.25" customHeight="1" x14ac:dyDescent="0.25">
      <c r="A885" s="38"/>
      <c r="B885" s="28"/>
      <c r="C885" s="28"/>
      <c r="D885" s="28"/>
      <c r="E885" s="28"/>
    </row>
    <row r="886" spans="1:5" ht="14.25" customHeight="1" x14ac:dyDescent="0.25">
      <c r="A886" s="38"/>
      <c r="B886" s="28"/>
      <c r="C886" s="28"/>
      <c r="D886" s="28"/>
      <c r="E886" s="28"/>
    </row>
    <row r="887" spans="1:5" ht="14.25" customHeight="1" x14ac:dyDescent="0.25">
      <c r="A887" s="38"/>
      <c r="B887" s="28"/>
      <c r="C887" s="28"/>
      <c r="D887" s="28"/>
      <c r="E887" s="28"/>
    </row>
    <row r="888" spans="1:5" ht="14.25" customHeight="1" x14ac:dyDescent="0.25">
      <c r="A888" s="38"/>
      <c r="B888" s="28"/>
      <c r="C888" s="28"/>
      <c r="D888" s="28"/>
      <c r="E888" s="28"/>
    </row>
    <row r="889" spans="1:5" ht="14.25" customHeight="1" x14ac:dyDescent="0.25">
      <c r="A889" s="38"/>
      <c r="B889" s="28"/>
      <c r="C889" s="28"/>
      <c r="D889" s="28"/>
      <c r="E889" s="28"/>
    </row>
    <row r="890" spans="1:5" ht="14.25" customHeight="1" x14ac:dyDescent="0.25">
      <c r="A890" s="38"/>
      <c r="B890" s="28"/>
      <c r="C890" s="28"/>
      <c r="D890" s="28"/>
      <c r="E890" s="28"/>
    </row>
    <row r="891" spans="1:5" ht="14.25" customHeight="1" x14ac:dyDescent="0.25">
      <c r="A891" s="38"/>
      <c r="B891" s="28"/>
      <c r="C891" s="28"/>
      <c r="D891" s="28"/>
      <c r="E891" s="28"/>
    </row>
    <row r="892" spans="1:5" ht="14.25" customHeight="1" x14ac:dyDescent="0.25">
      <c r="A892" s="38"/>
      <c r="B892" s="28"/>
      <c r="C892" s="28"/>
      <c r="D892" s="28"/>
      <c r="E892" s="28"/>
    </row>
    <row r="893" spans="1:5" ht="14.25" customHeight="1" x14ac:dyDescent="0.25">
      <c r="A893" s="38"/>
      <c r="B893" s="28"/>
      <c r="C893" s="28"/>
      <c r="D893" s="28"/>
      <c r="E893" s="28"/>
    </row>
    <row r="894" spans="1:5" ht="14.25" customHeight="1" x14ac:dyDescent="0.25">
      <c r="A894" s="38"/>
      <c r="B894" s="28"/>
      <c r="C894" s="28"/>
      <c r="D894" s="28"/>
      <c r="E894" s="28"/>
    </row>
    <row r="895" spans="1:5" ht="14.25" customHeight="1" x14ac:dyDescent="0.25">
      <c r="A895" s="38"/>
      <c r="B895" s="28"/>
      <c r="C895" s="28"/>
      <c r="D895" s="28"/>
      <c r="E895" s="28"/>
    </row>
    <row r="896" spans="1:5" ht="14.25" customHeight="1" x14ac:dyDescent="0.25">
      <c r="A896" s="38"/>
      <c r="B896" s="28"/>
      <c r="C896" s="28"/>
      <c r="D896" s="28"/>
      <c r="E896" s="28"/>
    </row>
    <row r="897" spans="1:5" ht="14.25" customHeight="1" x14ac:dyDescent="0.25">
      <c r="A897" s="38"/>
      <c r="B897" s="28"/>
      <c r="C897" s="28"/>
      <c r="D897" s="28"/>
      <c r="E897" s="28"/>
    </row>
    <row r="898" spans="1:5" ht="14.25" customHeight="1" x14ac:dyDescent="0.25">
      <c r="A898" s="38"/>
      <c r="B898" s="28"/>
      <c r="C898" s="28"/>
      <c r="D898" s="28"/>
      <c r="E898" s="28"/>
    </row>
    <row r="899" spans="1:5" ht="14.25" customHeight="1" x14ac:dyDescent="0.25">
      <c r="A899" s="38"/>
      <c r="B899" s="28"/>
      <c r="C899" s="28"/>
      <c r="D899" s="28"/>
      <c r="E899" s="28"/>
    </row>
    <row r="900" spans="1:5" ht="14.25" customHeight="1" x14ac:dyDescent="0.25">
      <c r="A900" s="38"/>
      <c r="B900" s="28"/>
      <c r="C900" s="28"/>
      <c r="D900" s="28"/>
      <c r="E900" s="28"/>
    </row>
    <row r="901" spans="1:5" ht="14.25" customHeight="1" x14ac:dyDescent="0.25">
      <c r="A901" s="38"/>
      <c r="B901" s="28"/>
      <c r="C901" s="28"/>
      <c r="D901" s="28"/>
      <c r="E901" s="28"/>
    </row>
    <row r="902" spans="1:5" ht="14.25" customHeight="1" x14ac:dyDescent="0.25">
      <c r="A902" s="38"/>
      <c r="B902" s="28"/>
      <c r="C902" s="28"/>
      <c r="D902" s="28"/>
      <c r="E902" s="28"/>
    </row>
    <row r="903" spans="1:5" ht="14.25" customHeight="1" x14ac:dyDescent="0.25">
      <c r="A903" s="38"/>
      <c r="B903" s="28"/>
      <c r="C903" s="28"/>
      <c r="D903" s="28"/>
      <c r="E903" s="28"/>
    </row>
    <row r="904" spans="1:5" ht="14.25" customHeight="1" x14ac:dyDescent="0.25">
      <c r="A904" s="38"/>
      <c r="B904" s="28"/>
      <c r="C904" s="28"/>
      <c r="D904" s="28"/>
      <c r="E904" s="28"/>
    </row>
    <row r="905" spans="1:5" ht="14.25" customHeight="1" x14ac:dyDescent="0.25">
      <c r="A905" s="38"/>
      <c r="B905" s="28"/>
      <c r="C905" s="28"/>
      <c r="D905" s="28"/>
      <c r="E905" s="28"/>
    </row>
    <row r="906" spans="1:5" ht="14.25" customHeight="1" x14ac:dyDescent="0.25">
      <c r="A906" s="38"/>
      <c r="B906" s="28"/>
      <c r="C906" s="28"/>
      <c r="D906" s="28"/>
      <c r="E906" s="28"/>
    </row>
    <row r="907" spans="1:5" ht="14.25" customHeight="1" x14ac:dyDescent="0.25">
      <c r="A907" s="38"/>
      <c r="B907" s="28"/>
      <c r="C907" s="28"/>
      <c r="D907" s="28"/>
      <c r="E907" s="28"/>
    </row>
    <row r="908" spans="1:5" ht="14.25" customHeight="1" x14ac:dyDescent="0.25">
      <c r="A908" s="38"/>
      <c r="B908" s="28"/>
      <c r="C908" s="28"/>
      <c r="D908" s="28"/>
      <c r="E908" s="28"/>
    </row>
    <row r="909" spans="1:5" ht="14.25" customHeight="1" x14ac:dyDescent="0.25">
      <c r="A909" s="38"/>
      <c r="B909" s="28"/>
      <c r="C909" s="28"/>
      <c r="D909" s="28"/>
      <c r="E909" s="28"/>
    </row>
    <row r="910" spans="1:5" ht="14.25" customHeight="1" x14ac:dyDescent="0.25">
      <c r="A910" s="38"/>
      <c r="B910" s="28"/>
      <c r="C910" s="28"/>
      <c r="D910" s="28"/>
      <c r="E910" s="28"/>
    </row>
    <row r="911" spans="1:5" ht="14.25" customHeight="1" x14ac:dyDescent="0.25">
      <c r="A911" s="38"/>
      <c r="B911" s="28"/>
      <c r="C911" s="28"/>
      <c r="D911" s="28"/>
      <c r="E911" s="28"/>
    </row>
    <row r="912" spans="1:5" ht="14.25" customHeight="1" x14ac:dyDescent="0.25">
      <c r="A912" s="38"/>
      <c r="B912" s="28"/>
      <c r="C912" s="28"/>
      <c r="D912" s="28"/>
      <c r="E912" s="28"/>
    </row>
    <row r="913" spans="1:5" ht="14.25" customHeight="1" x14ac:dyDescent="0.25">
      <c r="A913" s="38"/>
      <c r="B913" s="28"/>
      <c r="C913" s="28"/>
      <c r="D913" s="28"/>
      <c r="E913" s="28"/>
    </row>
    <row r="914" spans="1:5" ht="14.25" customHeight="1" x14ac:dyDescent="0.25">
      <c r="A914" s="38"/>
      <c r="B914" s="28"/>
      <c r="C914" s="28"/>
      <c r="D914" s="28"/>
      <c r="E914" s="28"/>
    </row>
    <row r="915" spans="1:5" ht="14.25" customHeight="1" x14ac:dyDescent="0.25">
      <c r="A915" s="38"/>
      <c r="B915" s="28"/>
      <c r="C915" s="28"/>
      <c r="D915" s="28"/>
      <c r="E915" s="28"/>
    </row>
    <row r="916" spans="1:5" ht="14.25" customHeight="1" x14ac:dyDescent="0.25">
      <c r="A916" s="38"/>
      <c r="B916" s="28"/>
      <c r="C916" s="28"/>
      <c r="D916" s="28"/>
      <c r="E916" s="28"/>
    </row>
    <row r="917" spans="1:5" ht="14.25" customHeight="1" x14ac:dyDescent="0.25">
      <c r="A917" s="38"/>
      <c r="B917" s="28"/>
      <c r="C917" s="28"/>
      <c r="D917" s="28"/>
      <c r="E917" s="28"/>
    </row>
    <row r="918" spans="1:5" ht="14.25" customHeight="1" x14ac:dyDescent="0.25">
      <c r="A918" s="38"/>
      <c r="B918" s="28"/>
      <c r="C918" s="28"/>
      <c r="D918" s="28"/>
      <c r="E918" s="28"/>
    </row>
    <row r="919" spans="1:5" ht="14.25" customHeight="1" x14ac:dyDescent="0.25">
      <c r="A919" s="38"/>
      <c r="B919" s="28"/>
      <c r="C919" s="28"/>
      <c r="D919" s="28"/>
      <c r="E919" s="28"/>
    </row>
    <row r="920" spans="1:5" ht="14.25" customHeight="1" x14ac:dyDescent="0.25">
      <c r="A920" s="38"/>
      <c r="B920" s="28"/>
      <c r="C920" s="28"/>
      <c r="D920" s="28"/>
      <c r="E920" s="28"/>
    </row>
    <row r="921" spans="1:5" ht="14.25" customHeight="1" x14ac:dyDescent="0.25">
      <c r="A921" s="38"/>
      <c r="B921" s="28"/>
      <c r="C921" s="28"/>
      <c r="D921" s="28"/>
      <c r="E921" s="28"/>
    </row>
    <row r="922" spans="1:5" ht="14.25" customHeight="1" x14ac:dyDescent="0.25">
      <c r="A922" s="38"/>
      <c r="B922" s="28"/>
      <c r="C922" s="28"/>
      <c r="D922" s="28"/>
      <c r="E922" s="28"/>
    </row>
    <row r="923" spans="1:5" ht="14.25" customHeight="1" x14ac:dyDescent="0.25">
      <c r="A923" s="38"/>
      <c r="B923" s="28"/>
      <c r="C923" s="28"/>
      <c r="D923" s="28"/>
      <c r="E923" s="28"/>
    </row>
    <row r="924" spans="1:5" ht="14.25" customHeight="1" x14ac:dyDescent="0.25">
      <c r="A924" s="38"/>
      <c r="B924" s="28"/>
      <c r="C924" s="28"/>
      <c r="D924" s="28"/>
      <c r="E924" s="28"/>
    </row>
    <row r="925" spans="1:5" ht="14.25" customHeight="1" x14ac:dyDescent="0.25">
      <c r="A925" s="38"/>
      <c r="B925" s="28"/>
      <c r="C925" s="28"/>
      <c r="D925" s="28"/>
      <c r="E925" s="28"/>
    </row>
    <row r="926" spans="1:5" ht="14.25" customHeight="1" x14ac:dyDescent="0.25">
      <c r="A926" s="38"/>
      <c r="B926" s="28"/>
      <c r="C926" s="28"/>
      <c r="D926" s="28"/>
      <c r="E926" s="28"/>
    </row>
    <row r="927" spans="1:5" ht="14.25" customHeight="1" x14ac:dyDescent="0.25">
      <c r="A927" s="38"/>
      <c r="B927" s="28"/>
      <c r="C927" s="28"/>
      <c r="D927" s="28"/>
      <c r="E927" s="28"/>
    </row>
    <row r="928" spans="1:5" ht="14.25" customHeight="1" x14ac:dyDescent="0.25">
      <c r="A928" s="38"/>
      <c r="B928" s="28"/>
      <c r="C928" s="28"/>
      <c r="D928" s="28"/>
      <c r="E928" s="28"/>
    </row>
    <row r="929" spans="1:5" ht="14.25" customHeight="1" x14ac:dyDescent="0.25">
      <c r="A929" s="38"/>
      <c r="B929" s="28"/>
      <c r="C929" s="28"/>
      <c r="D929" s="28"/>
      <c r="E929" s="28"/>
    </row>
    <row r="930" spans="1:5" ht="14.25" customHeight="1" x14ac:dyDescent="0.25">
      <c r="A930" s="38"/>
      <c r="B930" s="28"/>
      <c r="C930" s="28"/>
      <c r="D930" s="28"/>
      <c r="E930" s="28"/>
    </row>
    <row r="931" spans="1:5" ht="14.25" customHeight="1" x14ac:dyDescent="0.25">
      <c r="A931" s="38"/>
      <c r="B931" s="28"/>
      <c r="C931" s="28"/>
      <c r="D931" s="28"/>
      <c r="E931" s="28"/>
    </row>
    <row r="932" spans="1:5" ht="14.25" customHeight="1" x14ac:dyDescent="0.25">
      <c r="A932" s="38"/>
      <c r="B932" s="28"/>
      <c r="C932" s="28"/>
      <c r="D932" s="28"/>
      <c r="E932" s="28"/>
    </row>
    <row r="933" spans="1:5" ht="14.25" customHeight="1" x14ac:dyDescent="0.25">
      <c r="A933" s="38"/>
      <c r="B933" s="28"/>
      <c r="C933" s="28"/>
      <c r="D933" s="28"/>
      <c r="E933" s="28"/>
    </row>
    <row r="934" spans="1:5" ht="14.25" customHeight="1" x14ac:dyDescent="0.25">
      <c r="A934" s="38"/>
      <c r="B934" s="28"/>
      <c r="C934" s="28"/>
      <c r="D934" s="28"/>
      <c r="E934" s="28"/>
    </row>
    <row r="935" spans="1:5" ht="14.25" customHeight="1" x14ac:dyDescent="0.25">
      <c r="A935" s="38"/>
      <c r="B935" s="28"/>
      <c r="C935" s="28"/>
      <c r="D935" s="28"/>
      <c r="E935" s="28"/>
    </row>
    <row r="936" spans="1:5" ht="14.25" customHeight="1" x14ac:dyDescent="0.25">
      <c r="A936" s="38"/>
      <c r="B936" s="28"/>
      <c r="C936" s="28"/>
      <c r="D936" s="28"/>
      <c r="E936" s="28"/>
    </row>
    <row r="937" spans="1:5" ht="14.25" customHeight="1" x14ac:dyDescent="0.25">
      <c r="A937" s="38"/>
      <c r="B937" s="28"/>
      <c r="C937" s="28"/>
      <c r="D937" s="28"/>
      <c r="E937" s="28"/>
    </row>
    <row r="938" spans="1:5" ht="14.25" customHeight="1" x14ac:dyDescent="0.25">
      <c r="A938" s="38"/>
      <c r="B938" s="28"/>
      <c r="C938" s="28"/>
      <c r="D938" s="28"/>
      <c r="E938" s="28"/>
    </row>
    <row r="939" spans="1:5" ht="14.25" customHeight="1" x14ac:dyDescent="0.25">
      <c r="A939" s="38"/>
      <c r="B939" s="28"/>
      <c r="C939" s="28"/>
      <c r="D939" s="28"/>
      <c r="E939" s="28"/>
    </row>
    <row r="940" spans="1:5" ht="14.25" customHeight="1" x14ac:dyDescent="0.25">
      <c r="A940" s="38"/>
      <c r="B940" s="28"/>
      <c r="C940" s="28"/>
      <c r="D940" s="28"/>
      <c r="E940" s="28"/>
    </row>
    <row r="941" spans="1:5" ht="14.25" customHeight="1" x14ac:dyDescent="0.25">
      <c r="A941" s="38"/>
      <c r="B941" s="28"/>
      <c r="C941" s="28"/>
      <c r="D941" s="28"/>
      <c r="E941" s="28"/>
    </row>
    <row r="942" spans="1:5" ht="14.25" customHeight="1" x14ac:dyDescent="0.25">
      <c r="A942" s="38"/>
      <c r="B942" s="28"/>
      <c r="C942" s="28"/>
      <c r="D942" s="28"/>
      <c r="E942" s="28"/>
    </row>
    <row r="943" spans="1:5" ht="14.25" customHeight="1" x14ac:dyDescent="0.25">
      <c r="A943" s="38"/>
      <c r="B943" s="28"/>
      <c r="C943" s="28"/>
      <c r="D943" s="28"/>
      <c r="E943" s="28"/>
    </row>
    <row r="944" spans="1:5" ht="14.25" customHeight="1" x14ac:dyDescent="0.25">
      <c r="A944" s="38"/>
      <c r="B944" s="28"/>
      <c r="C944" s="28"/>
      <c r="D944" s="28"/>
      <c r="E944" s="28"/>
    </row>
    <row r="945" spans="1:5" ht="14.25" customHeight="1" x14ac:dyDescent="0.25">
      <c r="A945" s="38"/>
      <c r="B945" s="28"/>
      <c r="C945" s="28"/>
      <c r="D945" s="28"/>
      <c r="E945" s="28"/>
    </row>
    <row r="946" spans="1:5" ht="14.25" customHeight="1" x14ac:dyDescent="0.25">
      <c r="A946" s="38"/>
      <c r="B946" s="28"/>
      <c r="C946" s="28"/>
      <c r="D946" s="28"/>
      <c r="E946" s="28"/>
    </row>
    <row r="947" spans="1:5" ht="14.25" customHeight="1" x14ac:dyDescent="0.25">
      <c r="A947" s="38"/>
      <c r="B947" s="28"/>
      <c r="C947" s="28"/>
      <c r="D947" s="28"/>
      <c r="E947" s="28"/>
    </row>
    <row r="948" spans="1:5" ht="14.25" customHeight="1" x14ac:dyDescent="0.25">
      <c r="A948" s="38"/>
      <c r="B948" s="28"/>
      <c r="C948" s="28"/>
      <c r="D948" s="28"/>
      <c r="E948" s="28"/>
    </row>
    <row r="949" spans="1:5" ht="14.25" customHeight="1" x14ac:dyDescent="0.25">
      <c r="A949" s="38"/>
      <c r="B949" s="28"/>
      <c r="C949" s="28"/>
      <c r="D949" s="28"/>
      <c r="E949" s="28"/>
    </row>
    <row r="950" spans="1:5" ht="14.25" customHeight="1" x14ac:dyDescent="0.25">
      <c r="A950" s="38"/>
      <c r="B950" s="28"/>
      <c r="C950" s="28"/>
      <c r="D950" s="28"/>
      <c r="E950" s="28"/>
    </row>
    <row r="951" spans="1:5" ht="14.25" customHeight="1" x14ac:dyDescent="0.25">
      <c r="A951" s="38"/>
      <c r="B951" s="28"/>
      <c r="C951" s="28"/>
      <c r="D951" s="28"/>
      <c r="E951" s="28"/>
    </row>
    <row r="952" spans="1:5" ht="14.25" customHeight="1" x14ac:dyDescent="0.25">
      <c r="A952" s="38"/>
      <c r="B952" s="28"/>
      <c r="C952" s="28"/>
      <c r="D952" s="28"/>
      <c r="E952" s="28"/>
    </row>
    <row r="953" spans="1:5" ht="14.25" customHeight="1" x14ac:dyDescent="0.25">
      <c r="A953" s="38"/>
      <c r="B953" s="28"/>
      <c r="C953" s="28"/>
      <c r="D953" s="28"/>
      <c r="E953" s="28"/>
    </row>
    <row r="954" spans="1:5" ht="14.25" customHeight="1" x14ac:dyDescent="0.25">
      <c r="A954" s="38"/>
      <c r="B954" s="28"/>
      <c r="C954" s="28"/>
      <c r="D954" s="28"/>
      <c r="E954" s="28"/>
    </row>
    <row r="955" spans="1:5" ht="14.25" customHeight="1" x14ac:dyDescent="0.25">
      <c r="A955" s="38"/>
      <c r="B955" s="28"/>
      <c r="C955" s="28"/>
      <c r="D955" s="28"/>
      <c r="E955" s="28"/>
    </row>
    <row r="956" spans="1:5" ht="14.25" customHeight="1" x14ac:dyDescent="0.25">
      <c r="A956" s="38"/>
      <c r="B956" s="28"/>
      <c r="C956" s="28"/>
      <c r="D956" s="28"/>
      <c r="E956" s="28"/>
    </row>
    <row r="957" spans="1:5" ht="14.25" customHeight="1" x14ac:dyDescent="0.25">
      <c r="A957" s="38"/>
      <c r="B957" s="28"/>
      <c r="C957" s="28"/>
      <c r="D957" s="28"/>
      <c r="E957" s="28"/>
    </row>
    <row r="958" spans="1:5" ht="14.25" customHeight="1" x14ac:dyDescent="0.25">
      <c r="A958" s="38"/>
      <c r="B958" s="28"/>
      <c r="C958" s="28"/>
      <c r="D958" s="28"/>
      <c r="E958" s="28"/>
    </row>
    <row r="959" spans="1:5" ht="14.25" customHeight="1" x14ac:dyDescent="0.25">
      <c r="A959" s="38"/>
      <c r="B959" s="28"/>
      <c r="C959" s="28"/>
      <c r="D959" s="28"/>
      <c r="E959" s="28"/>
    </row>
    <row r="960" spans="1:5" ht="14.25" customHeight="1" x14ac:dyDescent="0.25">
      <c r="A960" s="38"/>
      <c r="B960" s="28"/>
      <c r="C960" s="28"/>
      <c r="D960" s="28"/>
      <c r="E960" s="28"/>
    </row>
    <row r="961" spans="1:5" ht="14.25" customHeight="1" x14ac:dyDescent="0.25">
      <c r="A961" s="38"/>
      <c r="B961" s="28"/>
      <c r="C961" s="28"/>
      <c r="D961" s="28"/>
      <c r="E961" s="28"/>
    </row>
    <row r="962" spans="1:5" ht="14.25" customHeight="1" x14ac:dyDescent="0.25">
      <c r="A962" s="38"/>
      <c r="B962" s="28"/>
      <c r="C962" s="28"/>
      <c r="D962" s="28"/>
      <c r="E962" s="28"/>
    </row>
    <row r="963" spans="1:5" ht="14.25" customHeight="1" x14ac:dyDescent="0.25">
      <c r="A963" s="38"/>
      <c r="B963" s="28"/>
      <c r="C963" s="28"/>
      <c r="D963" s="28"/>
      <c r="E963" s="28"/>
    </row>
    <row r="964" spans="1:5" ht="14.25" customHeight="1" x14ac:dyDescent="0.25">
      <c r="A964" s="38"/>
      <c r="B964" s="28"/>
      <c r="C964" s="28"/>
      <c r="D964" s="28"/>
      <c r="E964" s="28"/>
    </row>
    <row r="965" spans="1:5" ht="14.25" customHeight="1" x14ac:dyDescent="0.25">
      <c r="A965" s="38"/>
      <c r="B965" s="28"/>
      <c r="C965" s="28"/>
      <c r="D965" s="28"/>
      <c r="E965" s="28"/>
    </row>
    <row r="966" spans="1:5" ht="14.25" customHeight="1" x14ac:dyDescent="0.25">
      <c r="A966" s="38"/>
      <c r="B966" s="28"/>
      <c r="C966" s="28"/>
      <c r="D966" s="28"/>
      <c r="E966" s="28"/>
    </row>
    <row r="967" spans="1:5" ht="14.25" customHeight="1" x14ac:dyDescent="0.25">
      <c r="A967" s="38"/>
      <c r="B967" s="28"/>
      <c r="C967" s="28"/>
      <c r="D967" s="28"/>
      <c r="E967" s="28"/>
    </row>
    <row r="968" spans="1:5" ht="14.25" customHeight="1" x14ac:dyDescent="0.25">
      <c r="A968" s="38"/>
      <c r="B968" s="28"/>
      <c r="C968" s="28"/>
      <c r="D968" s="28"/>
      <c r="E968" s="28"/>
    </row>
    <row r="969" spans="1:5" ht="14.25" customHeight="1" x14ac:dyDescent="0.25">
      <c r="A969" s="38"/>
      <c r="B969" s="28"/>
      <c r="C969" s="28"/>
      <c r="D969" s="28"/>
      <c r="E969" s="28"/>
    </row>
    <row r="970" spans="1:5" ht="14.25" customHeight="1" x14ac:dyDescent="0.25">
      <c r="A970" s="38"/>
      <c r="B970" s="28"/>
      <c r="C970" s="28"/>
      <c r="D970" s="28"/>
      <c r="E970" s="28"/>
    </row>
    <row r="971" spans="1:5" ht="14.25" customHeight="1" x14ac:dyDescent="0.25">
      <c r="A971" s="38"/>
      <c r="B971" s="28"/>
      <c r="C971" s="28"/>
      <c r="D971" s="28"/>
      <c r="E971" s="28"/>
    </row>
    <row r="972" spans="1:5" ht="14.25" customHeight="1" x14ac:dyDescent="0.25">
      <c r="A972" s="38"/>
      <c r="B972" s="28"/>
      <c r="C972" s="28"/>
      <c r="D972" s="28"/>
      <c r="E972" s="28"/>
    </row>
    <row r="973" spans="1:5" ht="14.25" customHeight="1" x14ac:dyDescent="0.25">
      <c r="A973" s="38"/>
      <c r="B973" s="28"/>
      <c r="C973" s="28"/>
      <c r="D973" s="28"/>
      <c r="E973" s="28"/>
    </row>
    <row r="974" spans="1:5" ht="14.25" customHeight="1" x14ac:dyDescent="0.25">
      <c r="A974" s="38"/>
      <c r="B974" s="28"/>
      <c r="C974" s="28"/>
      <c r="D974" s="28"/>
      <c r="E974" s="28"/>
    </row>
    <row r="975" spans="1:5" ht="14.25" customHeight="1" x14ac:dyDescent="0.25">
      <c r="A975" s="38"/>
      <c r="B975" s="28"/>
      <c r="C975" s="28"/>
      <c r="D975" s="28"/>
      <c r="E975" s="28"/>
    </row>
    <row r="976" spans="1:5" ht="14.25" customHeight="1" x14ac:dyDescent="0.25">
      <c r="A976" s="38"/>
      <c r="B976" s="28"/>
      <c r="C976" s="28"/>
      <c r="D976" s="28"/>
      <c r="E976" s="28"/>
    </row>
    <row r="977" spans="1:5" ht="14.25" customHeight="1" x14ac:dyDescent="0.25">
      <c r="A977" s="38"/>
      <c r="B977" s="28"/>
      <c r="C977" s="28"/>
      <c r="D977" s="28"/>
      <c r="E977" s="28"/>
    </row>
    <row r="978" spans="1:5" ht="14.25" customHeight="1" x14ac:dyDescent="0.25">
      <c r="A978" s="38"/>
      <c r="B978" s="28"/>
      <c r="C978" s="28"/>
      <c r="D978" s="28"/>
      <c r="E978" s="28"/>
    </row>
    <row r="979" spans="1:5" ht="14.25" customHeight="1" x14ac:dyDescent="0.25">
      <c r="A979" s="38"/>
      <c r="B979" s="28"/>
      <c r="C979" s="28"/>
      <c r="D979" s="28"/>
      <c r="E979" s="28"/>
    </row>
    <row r="980" spans="1:5" ht="14.25" customHeight="1" x14ac:dyDescent="0.25">
      <c r="A980" s="38"/>
      <c r="B980" s="28"/>
      <c r="C980" s="28"/>
      <c r="D980" s="28"/>
      <c r="E980" s="28"/>
    </row>
    <row r="981" spans="1:5" ht="14.25" customHeight="1" x14ac:dyDescent="0.25">
      <c r="A981" s="38"/>
      <c r="B981" s="28"/>
      <c r="C981" s="28"/>
      <c r="D981" s="28"/>
      <c r="E981" s="28"/>
    </row>
    <row r="982" spans="1:5" ht="14.25" customHeight="1" x14ac:dyDescent="0.25">
      <c r="A982" s="38"/>
      <c r="B982" s="28"/>
      <c r="C982" s="28"/>
      <c r="D982" s="28"/>
      <c r="E982" s="28"/>
    </row>
    <row r="983" spans="1:5" ht="14.25" customHeight="1" x14ac:dyDescent="0.25">
      <c r="A983" s="38"/>
      <c r="B983" s="28"/>
      <c r="C983" s="28"/>
      <c r="D983" s="28"/>
      <c r="E983" s="28"/>
    </row>
    <row r="984" spans="1:5" ht="14.25" customHeight="1" x14ac:dyDescent="0.25">
      <c r="A984" s="38"/>
      <c r="B984" s="28"/>
      <c r="C984" s="28"/>
      <c r="D984" s="28"/>
      <c r="E984" s="28"/>
    </row>
    <row r="985" spans="1:5" ht="14.25" customHeight="1" x14ac:dyDescent="0.25">
      <c r="A985" s="38"/>
      <c r="B985" s="28"/>
      <c r="C985" s="28"/>
      <c r="D985" s="28"/>
      <c r="E985" s="28"/>
    </row>
    <row r="986" spans="1:5" ht="14.25" customHeight="1" x14ac:dyDescent="0.25">
      <c r="A986" s="38"/>
      <c r="B986" s="28"/>
      <c r="C986" s="28"/>
      <c r="D986" s="28"/>
      <c r="E986" s="28"/>
    </row>
    <row r="987" spans="1:5" ht="14.25" customHeight="1" x14ac:dyDescent="0.25">
      <c r="A987" s="38"/>
      <c r="B987" s="28"/>
      <c r="C987" s="28"/>
      <c r="D987" s="28"/>
      <c r="E987" s="28"/>
    </row>
    <row r="988" spans="1:5" ht="14.25" customHeight="1" x14ac:dyDescent="0.25">
      <c r="A988" s="38"/>
      <c r="B988" s="28"/>
      <c r="C988" s="28"/>
      <c r="D988" s="28"/>
      <c r="E988" s="28"/>
    </row>
    <row r="989" spans="1:5" ht="14.25" customHeight="1" x14ac:dyDescent="0.25">
      <c r="A989" s="38"/>
      <c r="B989" s="28"/>
      <c r="C989" s="28"/>
      <c r="D989" s="28"/>
      <c r="E989" s="28"/>
    </row>
    <row r="990" spans="1:5" ht="14.25" customHeight="1" x14ac:dyDescent="0.25">
      <c r="A990" s="38"/>
      <c r="B990" s="28"/>
      <c r="C990" s="28"/>
      <c r="D990" s="28"/>
      <c r="E990" s="28"/>
    </row>
    <row r="991" spans="1:5" ht="14.25" customHeight="1" x14ac:dyDescent="0.25">
      <c r="A991" s="38"/>
      <c r="B991" s="28"/>
      <c r="C991" s="28"/>
      <c r="D991" s="28"/>
      <c r="E991" s="28"/>
    </row>
    <row r="992" spans="1:5" ht="14.25" customHeight="1" x14ac:dyDescent="0.25">
      <c r="A992" s="38"/>
      <c r="B992" s="28"/>
      <c r="C992" s="28"/>
      <c r="D992" s="28"/>
      <c r="E992" s="28"/>
    </row>
    <row r="993" spans="1:5" ht="14.25" customHeight="1" x14ac:dyDescent="0.25">
      <c r="A993" s="38"/>
      <c r="B993" s="28"/>
      <c r="C993" s="28"/>
      <c r="D993" s="28"/>
      <c r="E993" s="28"/>
    </row>
    <row r="994" spans="1:5" ht="14.25" customHeight="1" x14ac:dyDescent="0.25">
      <c r="A994" s="38"/>
      <c r="B994" s="28"/>
      <c r="C994" s="28"/>
      <c r="D994" s="28"/>
      <c r="E994" s="28"/>
    </row>
    <row r="995" spans="1:5" ht="14.25" customHeight="1" x14ac:dyDescent="0.25">
      <c r="A995" s="38"/>
      <c r="B995" s="28"/>
      <c r="C995" s="28"/>
      <c r="D995" s="28"/>
      <c r="E995" s="28"/>
    </row>
    <row r="996" spans="1:5" ht="14.25" customHeight="1" x14ac:dyDescent="0.25">
      <c r="A996" s="38"/>
      <c r="B996" s="28"/>
      <c r="C996" s="28"/>
      <c r="D996" s="28"/>
      <c r="E996" s="28"/>
    </row>
    <row r="997" spans="1:5" ht="14.25" customHeight="1" x14ac:dyDescent="0.25">
      <c r="A997" s="38"/>
      <c r="B997" s="28"/>
      <c r="C997" s="28"/>
      <c r="D997" s="28"/>
      <c r="E997" s="28"/>
    </row>
    <row r="998" spans="1:5" ht="14.25" customHeight="1" x14ac:dyDescent="0.25">
      <c r="A998" s="38"/>
      <c r="B998" s="28"/>
      <c r="C998" s="28"/>
      <c r="D998" s="28"/>
      <c r="E998" s="28"/>
    </row>
    <row r="999" spans="1:5" ht="14.25" customHeight="1" x14ac:dyDescent="0.25">
      <c r="A999" s="38"/>
      <c r="B999" s="28"/>
      <c r="C999" s="28"/>
      <c r="D999" s="28"/>
      <c r="E999" s="28"/>
    </row>
    <row r="1000" spans="1:5" ht="14.25" customHeight="1" x14ac:dyDescent="0.25">
      <c r="A1000" s="38"/>
      <c r="B1000" s="28"/>
      <c r="C1000" s="28"/>
      <c r="D1000" s="28"/>
      <c r="E1000" s="28"/>
    </row>
  </sheetData>
  <dataValidations count="1">
    <dataValidation type="list" allowBlank="1" showErrorMessage="1" sqref="B2:D56 F2:F56">
      <formula1>#REF!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27"/>
  <sheetViews>
    <sheetView workbookViewId="0">
      <pane ySplit="1" topLeftCell="A29" activePane="bottomLeft" state="frozen"/>
      <selection pane="bottomLeft" activeCell="C70" sqref="C70"/>
    </sheetView>
  </sheetViews>
  <sheetFormatPr defaultColWidth="14.42578125" defaultRowHeight="15" customHeight="1" x14ac:dyDescent="0.25"/>
  <cols>
    <col min="1" max="1" width="18.28515625" customWidth="1"/>
    <col min="2" max="2" width="18.7109375" customWidth="1"/>
    <col min="3" max="3" width="12.5703125" customWidth="1"/>
    <col min="4" max="4" width="17.7109375" customWidth="1"/>
    <col min="5" max="5" width="12.7109375" customWidth="1"/>
    <col min="6" max="6" width="18.85546875" customWidth="1"/>
    <col min="7" max="10" width="26.28515625" customWidth="1"/>
    <col min="11" max="17" width="16.5703125" customWidth="1"/>
    <col min="18" max="18" width="19.42578125" customWidth="1"/>
    <col min="19" max="19" width="19.7109375" customWidth="1"/>
    <col min="20" max="26" width="8.7109375" customWidth="1"/>
  </cols>
  <sheetData>
    <row r="1" spans="1:26" ht="21" customHeight="1" x14ac:dyDescent="0.25">
      <c r="A1" s="105" t="s">
        <v>153</v>
      </c>
      <c r="B1" s="106" t="s">
        <v>154</v>
      </c>
      <c r="C1" s="100" t="s">
        <v>1</v>
      </c>
      <c r="D1" s="100" t="s">
        <v>2</v>
      </c>
      <c r="E1" s="100" t="s">
        <v>3</v>
      </c>
      <c r="F1" s="100" t="s">
        <v>4</v>
      </c>
      <c r="G1" s="100" t="s">
        <v>5</v>
      </c>
      <c r="H1" s="100" t="s">
        <v>7</v>
      </c>
      <c r="I1" s="100" t="s">
        <v>155</v>
      </c>
      <c r="J1" s="100" t="s">
        <v>156</v>
      </c>
      <c r="K1" s="100" t="s">
        <v>157</v>
      </c>
      <c r="L1" s="100" t="s">
        <v>158</v>
      </c>
      <c r="M1" s="100" t="s">
        <v>159</v>
      </c>
      <c r="N1" s="100" t="s">
        <v>160</v>
      </c>
      <c r="O1" s="100" t="s">
        <v>161</v>
      </c>
      <c r="P1" s="107" t="s">
        <v>162</v>
      </c>
      <c r="Q1" s="107" t="s">
        <v>163</v>
      </c>
      <c r="R1" s="100" t="s">
        <v>164</v>
      </c>
      <c r="S1" s="100" t="s">
        <v>165</v>
      </c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08">
        <v>45690</v>
      </c>
      <c r="B2" s="109">
        <v>45696</v>
      </c>
      <c r="C2" s="78" t="str">
        <f>"Q" &amp; CHOOSE(MONTH(Returns!$A2), "1", "1", "1", "2", "2", "2", "3", "3", "3", "4", "4", "4") &amp; "_" &amp; YEAR(Returns!$A2)</f>
        <v>Q1_2025</v>
      </c>
      <c r="D2" s="80" t="s">
        <v>58</v>
      </c>
      <c r="E2" s="81" t="s">
        <v>14</v>
      </c>
      <c r="F2" s="82" t="s">
        <v>15</v>
      </c>
      <c r="G2" s="82" t="s">
        <v>35</v>
      </c>
      <c r="H2" s="82" t="s">
        <v>43</v>
      </c>
      <c r="I2" s="82" t="s">
        <v>166</v>
      </c>
      <c r="J2" s="82" t="s">
        <v>167</v>
      </c>
      <c r="K2" s="82" t="s">
        <v>168</v>
      </c>
      <c r="L2" s="85">
        <v>1</v>
      </c>
      <c r="M2" s="85">
        <v>1</v>
      </c>
      <c r="N2" s="82">
        <v>6</v>
      </c>
      <c r="O2" s="82">
        <v>6</v>
      </c>
      <c r="P2" s="110">
        <v>349</v>
      </c>
      <c r="Q2" s="110"/>
      <c r="R2" s="82">
        <v>0</v>
      </c>
      <c r="S2" s="82">
        <v>349</v>
      </c>
    </row>
    <row r="3" spans="1:26" ht="14.25" customHeight="1" x14ac:dyDescent="0.25">
      <c r="A3" s="108">
        <v>45681</v>
      </c>
      <c r="B3" s="109">
        <v>45698</v>
      </c>
      <c r="C3" s="78" t="str">
        <f>"Q" &amp; CHOOSE(MONTH(Returns!$A3), "1", "1", "1", "2", "2", "2", "3", "3", "3", "4", "4", "4") &amp; "_" &amp; YEAR(Returns!$A3)</f>
        <v>Q1_2025</v>
      </c>
      <c r="D3" s="80" t="s">
        <v>62</v>
      </c>
      <c r="E3" s="81" t="s">
        <v>14</v>
      </c>
      <c r="F3" s="82" t="s">
        <v>15</v>
      </c>
      <c r="G3" s="82" t="s">
        <v>16</v>
      </c>
      <c r="H3" s="82" t="s">
        <v>23</v>
      </c>
      <c r="I3" s="82" t="s">
        <v>169</v>
      </c>
      <c r="J3" s="82" t="s">
        <v>170</v>
      </c>
      <c r="K3" s="82" t="s">
        <v>168</v>
      </c>
      <c r="L3" s="85">
        <v>1</v>
      </c>
      <c r="M3" s="85">
        <v>1</v>
      </c>
      <c r="N3" s="82">
        <v>1</v>
      </c>
      <c r="O3" s="82">
        <v>1</v>
      </c>
      <c r="P3" s="110">
        <v>299</v>
      </c>
      <c r="Q3" s="110"/>
      <c r="R3" s="82">
        <v>0</v>
      </c>
      <c r="S3" s="82">
        <v>299</v>
      </c>
    </row>
    <row r="4" spans="1:26" ht="14.25" customHeight="1" x14ac:dyDescent="0.25">
      <c r="A4" s="108">
        <v>45688</v>
      </c>
      <c r="B4" s="109">
        <v>45701</v>
      </c>
      <c r="C4" s="78" t="str">
        <f>"Q" &amp; CHOOSE(MONTH(Returns!$A4), "1", "1", "1", "2", "2", "2", "3", "3", "3", "4", "4", "4") &amp; "_" &amp; YEAR(Returns!$A4)</f>
        <v>Q1_2025</v>
      </c>
      <c r="D4" s="80" t="s">
        <v>62</v>
      </c>
      <c r="E4" s="81" t="s">
        <v>14</v>
      </c>
      <c r="F4" s="82" t="s">
        <v>15</v>
      </c>
      <c r="G4" s="82" t="s">
        <v>16</v>
      </c>
      <c r="H4" s="82" t="s">
        <v>41</v>
      </c>
      <c r="I4" s="82" t="s">
        <v>169</v>
      </c>
      <c r="J4" s="82" t="s">
        <v>170</v>
      </c>
      <c r="K4" s="82" t="s">
        <v>171</v>
      </c>
      <c r="L4" s="85">
        <v>1</v>
      </c>
      <c r="M4" s="85">
        <v>1</v>
      </c>
      <c r="N4" s="82">
        <v>1</v>
      </c>
      <c r="O4" s="82">
        <v>1</v>
      </c>
      <c r="P4" s="110">
        <v>279</v>
      </c>
      <c r="Q4" s="110"/>
      <c r="R4" s="82">
        <v>55.7</v>
      </c>
      <c r="S4" s="82">
        <v>279</v>
      </c>
    </row>
    <row r="5" spans="1:26" ht="14.25" customHeight="1" x14ac:dyDescent="0.25">
      <c r="A5" s="108">
        <v>45688</v>
      </c>
      <c r="B5" s="109">
        <v>45701</v>
      </c>
      <c r="C5" s="78" t="str">
        <f>"Q" &amp; CHOOSE(MONTH(Returns!$A5), "1", "1", "1", "2", "2", "2", "3", "3", "3", "4", "4", "4") &amp; "_" &amp; YEAR(Returns!$A5)</f>
        <v>Q1_2025</v>
      </c>
      <c r="D5" s="80" t="s">
        <v>13</v>
      </c>
      <c r="E5" s="81" t="s">
        <v>30</v>
      </c>
      <c r="F5" s="82" t="s">
        <v>15</v>
      </c>
      <c r="G5" s="82" t="s">
        <v>37</v>
      </c>
      <c r="H5" s="82" t="s">
        <v>38</v>
      </c>
      <c r="I5" s="82" t="s">
        <v>169</v>
      </c>
      <c r="J5" s="82" t="s">
        <v>170</v>
      </c>
      <c r="K5" s="82" t="s">
        <v>172</v>
      </c>
      <c r="L5" s="85">
        <v>1</v>
      </c>
      <c r="M5" s="85">
        <v>1</v>
      </c>
      <c r="N5" s="82">
        <v>1</v>
      </c>
      <c r="O5" s="82">
        <v>1</v>
      </c>
      <c r="P5" s="110">
        <v>179</v>
      </c>
      <c r="Q5" s="110"/>
      <c r="R5" s="82">
        <v>0</v>
      </c>
      <c r="S5" s="82">
        <v>179</v>
      </c>
    </row>
    <row r="6" spans="1:26" ht="14.25" customHeight="1" x14ac:dyDescent="0.25">
      <c r="A6" s="108">
        <v>45687</v>
      </c>
      <c r="B6" s="109">
        <v>45701</v>
      </c>
      <c r="C6" s="78" t="str">
        <f>"Q" &amp; CHOOSE(MONTH(Returns!$A6), "1", "1", "1", "2", "2", "2", "3", "3", "3", "4", "4", "4") &amp; "_" &amp; YEAR(Returns!$A6)</f>
        <v>Q1_2025</v>
      </c>
      <c r="D6" s="80" t="s">
        <v>13</v>
      </c>
      <c r="E6" s="81" t="s">
        <v>30</v>
      </c>
      <c r="F6" s="82" t="s">
        <v>15</v>
      </c>
      <c r="G6" s="82" t="s">
        <v>37</v>
      </c>
      <c r="H6" s="82" t="s">
        <v>38</v>
      </c>
      <c r="I6" s="82" t="s">
        <v>169</v>
      </c>
      <c r="J6" s="82" t="s">
        <v>170</v>
      </c>
      <c r="K6" s="82" t="s">
        <v>172</v>
      </c>
      <c r="L6" s="85">
        <v>1</v>
      </c>
      <c r="M6" s="85">
        <v>1</v>
      </c>
      <c r="N6" s="82">
        <v>1</v>
      </c>
      <c r="O6" s="82">
        <v>1</v>
      </c>
      <c r="P6" s="110">
        <v>179</v>
      </c>
      <c r="Q6" s="110"/>
      <c r="R6" s="82">
        <v>0</v>
      </c>
      <c r="S6" s="82">
        <v>179</v>
      </c>
    </row>
    <row r="7" spans="1:26" ht="14.25" customHeight="1" x14ac:dyDescent="0.25">
      <c r="A7" s="108">
        <v>45687</v>
      </c>
      <c r="B7" s="109">
        <v>45705</v>
      </c>
      <c r="C7" s="78" t="str">
        <f>"Q" &amp; CHOOSE(MONTH(Returns!$A7), "1", "1", "1", "2", "2", "2", "3", "3", "3", "4", "4", "4") &amp; "_" &amp; YEAR(Returns!$A7)</f>
        <v>Q1_2025</v>
      </c>
      <c r="D7" s="80" t="s">
        <v>57</v>
      </c>
      <c r="E7" s="81" t="s">
        <v>14</v>
      </c>
      <c r="F7" s="82" t="s">
        <v>15</v>
      </c>
      <c r="G7" s="82" t="s">
        <v>39</v>
      </c>
      <c r="H7" s="82" t="s">
        <v>40</v>
      </c>
      <c r="I7" s="82" t="s">
        <v>169</v>
      </c>
      <c r="J7" s="82" t="s">
        <v>170</v>
      </c>
      <c r="K7" s="82" t="s">
        <v>172</v>
      </c>
      <c r="L7" s="85">
        <v>1</v>
      </c>
      <c r="M7" s="85">
        <v>1</v>
      </c>
      <c r="N7" s="82">
        <v>1</v>
      </c>
      <c r="O7" s="82">
        <v>1</v>
      </c>
      <c r="P7" s="110">
        <v>635</v>
      </c>
      <c r="Q7" s="110"/>
      <c r="R7" s="82">
        <v>0</v>
      </c>
      <c r="S7" s="82">
        <v>635</v>
      </c>
    </row>
    <row r="8" spans="1:26" ht="14.25" customHeight="1" x14ac:dyDescent="0.25">
      <c r="A8" s="108">
        <v>45687</v>
      </c>
      <c r="B8" s="109">
        <v>45707</v>
      </c>
      <c r="C8" s="78" t="str">
        <f>"Q" &amp; CHOOSE(MONTH(Returns!$A8), "1", "1", "1", "2", "2", "2", "3", "3", "3", "4", "4", "4") &amp; "_" &amp; YEAR(Returns!$A8)</f>
        <v>Q1_2025</v>
      </c>
      <c r="D8" s="80" t="s">
        <v>13</v>
      </c>
      <c r="E8" s="81" t="s">
        <v>30</v>
      </c>
      <c r="F8" s="82" t="s">
        <v>15</v>
      </c>
      <c r="G8" s="82" t="s">
        <v>37</v>
      </c>
      <c r="H8" s="82" t="s">
        <v>38</v>
      </c>
      <c r="I8" s="82" t="s">
        <v>166</v>
      </c>
      <c r="J8" s="82" t="s">
        <v>173</v>
      </c>
      <c r="K8" s="82" t="s">
        <v>172</v>
      </c>
      <c r="L8" s="85">
        <v>1</v>
      </c>
      <c r="M8" s="85">
        <v>1</v>
      </c>
      <c r="N8" s="82">
        <v>1</v>
      </c>
      <c r="O8" s="82">
        <v>1</v>
      </c>
      <c r="P8" s="110">
        <v>179</v>
      </c>
      <c r="Q8" s="110"/>
      <c r="R8" s="82">
        <v>0</v>
      </c>
      <c r="S8" s="82">
        <v>179</v>
      </c>
    </row>
    <row r="9" spans="1:26" ht="14.25" customHeight="1" x14ac:dyDescent="0.25">
      <c r="A9" s="108">
        <v>45695</v>
      </c>
      <c r="B9" s="109">
        <v>45708</v>
      </c>
      <c r="C9" s="78" t="str">
        <f>"Q" &amp; CHOOSE(MONTH(Returns!$A9), "1", "1", "1", "2", "2", "2", "3", "3", "3", "4", "4", "4") &amp; "_" &amp; YEAR(Returns!$A9)</f>
        <v>Q1_2025</v>
      </c>
      <c r="D9" s="80" t="s">
        <v>64</v>
      </c>
      <c r="E9" s="81" t="s">
        <v>14</v>
      </c>
      <c r="F9" s="82" t="s">
        <v>15</v>
      </c>
      <c r="G9" s="82" t="s">
        <v>16</v>
      </c>
      <c r="H9" s="82" t="s">
        <v>18</v>
      </c>
      <c r="I9" s="82" t="s">
        <v>169</v>
      </c>
      <c r="J9" s="82" t="s">
        <v>170</v>
      </c>
      <c r="K9" s="82" t="s">
        <v>171</v>
      </c>
      <c r="L9" s="85">
        <v>1</v>
      </c>
      <c r="M9" s="85">
        <v>1</v>
      </c>
      <c r="N9" s="82">
        <v>1</v>
      </c>
      <c r="O9" s="82">
        <v>1</v>
      </c>
      <c r="P9" s="110">
        <v>284</v>
      </c>
      <c r="Q9" s="110"/>
      <c r="R9" s="82">
        <v>70.36</v>
      </c>
      <c r="S9" s="82">
        <v>284</v>
      </c>
    </row>
    <row r="10" spans="1:26" ht="14.25" customHeight="1" x14ac:dyDescent="0.25">
      <c r="A10" s="108">
        <v>45695</v>
      </c>
      <c r="B10" s="109">
        <v>45712</v>
      </c>
      <c r="C10" s="78" t="str">
        <f>"Q" &amp; CHOOSE(MONTH(Returns!$A10), "1", "1", "1", "2", "2", "2", "3", "3", "3", "4", "4", "4") &amp; "_" &amp; YEAR(Returns!$A10)</f>
        <v>Q1_2025</v>
      </c>
      <c r="D10" s="80" t="s">
        <v>56</v>
      </c>
      <c r="E10" s="81" t="s">
        <v>14</v>
      </c>
      <c r="F10" s="82" t="s">
        <v>15</v>
      </c>
      <c r="G10" s="82" t="s">
        <v>24</v>
      </c>
      <c r="H10" s="82" t="s">
        <v>52</v>
      </c>
      <c r="I10" s="82" t="s">
        <v>166</v>
      </c>
      <c r="J10" s="82" t="s">
        <v>170</v>
      </c>
      <c r="K10" s="82" t="s">
        <v>174</v>
      </c>
      <c r="L10" s="85">
        <v>1</v>
      </c>
      <c r="M10" s="85">
        <v>1</v>
      </c>
      <c r="N10" s="82">
        <v>0</v>
      </c>
      <c r="O10" s="82">
        <v>5</v>
      </c>
      <c r="P10" s="110">
        <v>419</v>
      </c>
      <c r="Q10" s="110"/>
      <c r="R10" s="82">
        <v>265.93</v>
      </c>
      <c r="S10" s="82">
        <v>414</v>
      </c>
    </row>
    <row r="11" spans="1:26" ht="14.25" customHeight="1" x14ac:dyDescent="0.25">
      <c r="A11" s="108">
        <v>45691</v>
      </c>
      <c r="B11" s="109">
        <v>45710</v>
      </c>
      <c r="C11" s="78" t="str">
        <f>"Q" &amp; CHOOSE(MONTH(Returns!$A11), "1", "1", "1", "2", "2", "2", "3", "3", "3", "4", "4", "4") &amp; "_" &amp; YEAR(Returns!$A11)</f>
        <v>Q1_2025</v>
      </c>
      <c r="D11" s="80" t="s">
        <v>175</v>
      </c>
      <c r="E11" s="81" t="s">
        <v>14</v>
      </c>
      <c r="F11" s="82" t="s">
        <v>15</v>
      </c>
      <c r="G11" s="82" t="s">
        <v>24</v>
      </c>
      <c r="H11" s="82" t="s">
        <v>52</v>
      </c>
      <c r="I11" s="82" t="s">
        <v>166</v>
      </c>
      <c r="J11" s="82" t="s">
        <v>176</v>
      </c>
      <c r="K11" s="82" t="s">
        <v>168</v>
      </c>
      <c r="L11" s="85">
        <v>1</v>
      </c>
      <c r="M11" s="85">
        <v>1</v>
      </c>
      <c r="N11" s="82">
        <v>0</v>
      </c>
      <c r="O11" s="82">
        <v>5</v>
      </c>
      <c r="P11" s="110">
        <v>399</v>
      </c>
      <c r="Q11" s="110"/>
      <c r="R11" s="82">
        <v>235.53</v>
      </c>
      <c r="S11" s="82">
        <v>399</v>
      </c>
    </row>
    <row r="12" spans="1:26" ht="14.25" customHeight="1" x14ac:dyDescent="0.25">
      <c r="A12" s="108">
        <v>45707</v>
      </c>
      <c r="B12" s="109">
        <v>45723</v>
      </c>
      <c r="C12" s="78" t="str">
        <f>"Q" &amp; CHOOSE(MONTH(Returns!$A12), "1", "1", "1", "2", "2", "2", "3", "3", "3", "4", "4", "4") &amp; "_" &amp; YEAR(Returns!$A12)</f>
        <v>Q1_2025</v>
      </c>
      <c r="D12" s="80" t="s">
        <v>82</v>
      </c>
      <c r="E12" s="81" t="s">
        <v>14</v>
      </c>
      <c r="F12" s="82" t="s">
        <v>15</v>
      </c>
      <c r="G12" s="82" t="s">
        <v>24</v>
      </c>
      <c r="H12" s="82" t="s">
        <v>52</v>
      </c>
      <c r="I12" s="82" t="s">
        <v>169</v>
      </c>
      <c r="J12" s="82" t="s">
        <v>170</v>
      </c>
      <c r="K12" s="82" t="s">
        <v>172</v>
      </c>
      <c r="L12" s="85">
        <v>1</v>
      </c>
      <c r="M12" s="85">
        <v>1</v>
      </c>
      <c r="N12" s="82">
        <v>5</v>
      </c>
      <c r="O12" s="82">
        <v>5</v>
      </c>
      <c r="P12" s="110">
        <v>479</v>
      </c>
      <c r="Q12" s="110">
        <v>5</v>
      </c>
      <c r="R12" s="82">
        <v>0</v>
      </c>
      <c r="S12" s="82">
        <v>479</v>
      </c>
    </row>
    <row r="13" spans="1:26" ht="14.25" customHeight="1" x14ac:dyDescent="0.25">
      <c r="A13" s="108">
        <v>45706</v>
      </c>
      <c r="B13" s="109">
        <v>45723</v>
      </c>
      <c r="C13" s="78" t="str">
        <f>"Q" &amp; CHOOSE(MONTH(Returns!$A13), "1", "1", "1", "2", "2", "2", "3", "3", "3", "4", "4", "4") &amp; "_" &amp; YEAR(Returns!$A13)</f>
        <v>Q1_2025</v>
      </c>
      <c r="D13" s="80" t="s">
        <v>60</v>
      </c>
      <c r="E13" s="81" t="s">
        <v>14</v>
      </c>
      <c r="F13" s="82" t="s">
        <v>15</v>
      </c>
      <c r="G13" s="82" t="s">
        <v>35</v>
      </c>
      <c r="H13" s="82" t="s">
        <v>52</v>
      </c>
      <c r="I13" s="82" t="s">
        <v>166</v>
      </c>
      <c r="J13" s="82" t="s">
        <v>167</v>
      </c>
      <c r="K13" s="82" t="s">
        <v>172</v>
      </c>
      <c r="L13" s="85">
        <v>1</v>
      </c>
      <c r="M13" s="85">
        <v>1</v>
      </c>
      <c r="N13" s="82">
        <v>5</v>
      </c>
      <c r="O13" s="82">
        <v>5</v>
      </c>
      <c r="P13" s="110">
        <v>299</v>
      </c>
      <c r="Q13" s="110">
        <v>5</v>
      </c>
      <c r="R13" s="82">
        <v>0</v>
      </c>
      <c r="S13" s="82">
        <v>294</v>
      </c>
    </row>
    <row r="14" spans="1:26" ht="14.25" customHeight="1" x14ac:dyDescent="0.25">
      <c r="A14" s="108">
        <v>45705</v>
      </c>
      <c r="B14" s="109">
        <v>45719</v>
      </c>
      <c r="C14" s="78" t="str">
        <f>"Q" &amp; CHOOSE(MONTH(Returns!$A14), "1", "1", "1", "2", "2", "2", "3", "3", "3", "4", "4", "4") &amp; "_" &amp; YEAR(Returns!$A14)</f>
        <v>Q1_2025</v>
      </c>
      <c r="D14" s="80" t="s">
        <v>56</v>
      </c>
      <c r="E14" s="81" t="s">
        <v>14</v>
      </c>
      <c r="F14" s="82" t="s">
        <v>15</v>
      </c>
      <c r="G14" s="82" t="s">
        <v>24</v>
      </c>
      <c r="H14" s="82" t="s">
        <v>52</v>
      </c>
      <c r="I14" s="82" t="s">
        <v>169</v>
      </c>
      <c r="J14" s="82" t="s">
        <v>170</v>
      </c>
      <c r="K14" s="82" t="s">
        <v>172</v>
      </c>
      <c r="L14" s="85">
        <v>1</v>
      </c>
      <c r="M14" s="85">
        <v>1</v>
      </c>
      <c r="N14" s="82">
        <v>3</v>
      </c>
      <c r="O14" s="82">
        <v>3</v>
      </c>
      <c r="P14" s="110">
        <v>294</v>
      </c>
      <c r="Q14" s="110">
        <v>3</v>
      </c>
      <c r="R14" s="82">
        <v>0</v>
      </c>
      <c r="S14" s="82">
        <v>294</v>
      </c>
    </row>
    <row r="15" spans="1:26" ht="14.25" customHeight="1" x14ac:dyDescent="0.25">
      <c r="A15" s="108">
        <v>45703</v>
      </c>
      <c r="B15" s="109">
        <v>45719</v>
      </c>
      <c r="C15" s="78" t="str">
        <f>"Q" &amp; CHOOSE(MONTH(Returns!$A15), "1", "1", "1", "2", "2", "2", "3", "3", "3", "4", "4", "4") &amp; "_" &amp; YEAR(Returns!$A15)</f>
        <v>Q1_2025</v>
      </c>
      <c r="D15" s="80" t="s">
        <v>75</v>
      </c>
      <c r="E15" s="81" t="s">
        <v>14</v>
      </c>
      <c r="F15" s="82" t="s">
        <v>15</v>
      </c>
      <c r="G15" s="82" t="s">
        <v>24</v>
      </c>
      <c r="H15" s="82" t="s">
        <v>52</v>
      </c>
      <c r="I15" s="82" t="s">
        <v>169</v>
      </c>
      <c r="J15" s="82" t="s">
        <v>170</v>
      </c>
      <c r="K15" s="82" t="s">
        <v>172</v>
      </c>
      <c r="L15" s="85">
        <v>1</v>
      </c>
      <c r="M15" s="85">
        <v>1</v>
      </c>
      <c r="N15" s="82">
        <v>2</v>
      </c>
      <c r="O15" s="82">
        <v>2</v>
      </c>
      <c r="P15" s="110">
        <v>245</v>
      </c>
      <c r="Q15" s="110">
        <v>2</v>
      </c>
      <c r="R15" s="82">
        <v>0</v>
      </c>
      <c r="S15" s="82">
        <v>245</v>
      </c>
    </row>
    <row r="16" spans="1:26" ht="14.25" customHeight="1" x14ac:dyDescent="0.25">
      <c r="A16" s="108">
        <v>45710</v>
      </c>
      <c r="B16" s="109">
        <v>45724</v>
      </c>
      <c r="C16" s="78" t="str">
        <f>"Q" &amp; CHOOSE(MONTH(Returns!$A16), "1", "1", "1", "2", "2", "2", "3", "3", "3", "4", "4", "4") &amp; "_" &amp; YEAR(Returns!$A16)</f>
        <v>Q1_2025</v>
      </c>
      <c r="D16" s="80" t="s">
        <v>71</v>
      </c>
      <c r="E16" s="81" t="s">
        <v>14</v>
      </c>
      <c r="F16" s="82" t="s">
        <v>15</v>
      </c>
      <c r="G16" s="82" t="s">
        <v>24</v>
      </c>
      <c r="H16" s="82" t="s">
        <v>25</v>
      </c>
      <c r="I16" s="82" t="s">
        <v>169</v>
      </c>
      <c r="J16" s="82" t="s">
        <v>170</v>
      </c>
      <c r="K16" s="82" t="s">
        <v>172</v>
      </c>
      <c r="L16" s="85">
        <v>1</v>
      </c>
      <c r="M16" s="85">
        <v>1</v>
      </c>
      <c r="N16" s="82">
        <v>3</v>
      </c>
      <c r="O16" s="82">
        <v>3</v>
      </c>
      <c r="P16" s="110">
        <v>329</v>
      </c>
      <c r="Q16" s="110">
        <v>3</v>
      </c>
      <c r="R16" s="82">
        <v>0</v>
      </c>
      <c r="S16" s="82">
        <v>329</v>
      </c>
    </row>
    <row r="17" spans="1:19" ht="14.25" customHeight="1" x14ac:dyDescent="0.25">
      <c r="A17" s="108">
        <v>45705</v>
      </c>
      <c r="B17" s="109">
        <v>45715</v>
      </c>
      <c r="C17" s="78" t="str">
        <f>"Q" &amp; CHOOSE(MONTH(Returns!$A17), "1", "1", "1", "2", "2", "2", "3", "3", "3", "4", "4", "4") &amp; "_" &amp; YEAR(Returns!$A17)</f>
        <v>Q1_2025</v>
      </c>
      <c r="D17" s="80" t="s">
        <v>60</v>
      </c>
      <c r="E17" s="81" t="s">
        <v>14</v>
      </c>
      <c r="F17" s="82" t="s">
        <v>15</v>
      </c>
      <c r="G17" s="82" t="s">
        <v>24</v>
      </c>
      <c r="H17" s="82" t="s">
        <v>25</v>
      </c>
      <c r="I17" s="82" t="s">
        <v>169</v>
      </c>
      <c r="J17" s="82" t="s">
        <v>170</v>
      </c>
      <c r="K17" s="82" t="s">
        <v>172</v>
      </c>
      <c r="L17" s="85">
        <v>1</v>
      </c>
      <c r="M17" s="85">
        <v>1</v>
      </c>
      <c r="N17" s="82">
        <v>3</v>
      </c>
      <c r="O17" s="82">
        <v>3</v>
      </c>
      <c r="P17" s="110">
        <v>314</v>
      </c>
      <c r="Q17" s="110">
        <v>3</v>
      </c>
      <c r="R17" s="82">
        <v>0</v>
      </c>
      <c r="S17" s="82">
        <v>314</v>
      </c>
    </row>
    <row r="18" spans="1:19" ht="14.25" customHeight="1" x14ac:dyDescent="0.25">
      <c r="A18" s="108">
        <v>45703</v>
      </c>
      <c r="B18" s="109">
        <v>45719</v>
      </c>
      <c r="C18" s="78" t="str">
        <f>"Q" &amp; CHOOSE(MONTH(Returns!$A18), "1", "1", "1", "2", "2", "2", "3", "3", "3", "4", "4", "4") &amp; "_" &amp; YEAR(Returns!$A18)</f>
        <v>Q1_2025</v>
      </c>
      <c r="D18" s="80" t="s">
        <v>62</v>
      </c>
      <c r="E18" s="81" t="s">
        <v>14</v>
      </c>
      <c r="F18" s="82" t="s">
        <v>15</v>
      </c>
      <c r="G18" s="82" t="s">
        <v>35</v>
      </c>
      <c r="H18" s="82" t="s">
        <v>67</v>
      </c>
      <c r="I18" s="82" t="s">
        <v>166</v>
      </c>
      <c r="J18" s="82" t="s">
        <v>170</v>
      </c>
      <c r="K18" s="82" t="s">
        <v>172</v>
      </c>
      <c r="L18" s="85">
        <v>1</v>
      </c>
      <c r="M18" s="85">
        <v>1</v>
      </c>
      <c r="N18" s="82">
        <v>3</v>
      </c>
      <c r="O18" s="82">
        <v>3</v>
      </c>
      <c r="P18" s="110">
        <v>199</v>
      </c>
      <c r="Q18" s="110">
        <v>3</v>
      </c>
      <c r="R18" s="82">
        <v>0</v>
      </c>
      <c r="S18" s="82">
        <v>199</v>
      </c>
    </row>
    <row r="19" spans="1:19" ht="14.25" customHeight="1" x14ac:dyDescent="0.25">
      <c r="A19" s="108">
        <v>45715</v>
      </c>
      <c r="B19" s="109">
        <v>45731</v>
      </c>
      <c r="C19" s="78" t="str">
        <f>"Q" &amp; CHOOSE(MONTH(Returns!$A19), "1", "1", "1", "2", "2", "2", "3", "3", "3", "4", "4", "4") &amp; "_" &amp; YEAR(Returns!$A19)</f>
        <v>Q1_2025</v>
      </c>
      <c r="D19" s="80" t="s">
        <v>58</v>
      </c>
      <c r="E19" s="81" t="s">
        <v>14</v>
      </c>
      <c r="F19" s="82" t="s">
        <v>15</v>
      </c>
      <c r="G19" s="82" t="s">
        <v>24</v>
      </c>
      <c r="H19" s="82" t="s">
        <v>52</v>
      </c>
      <c r="I19" s="82" t="s">
        <v>166</v>
      </c>
      <c r="J19" s="82" t="s">
        <v>177</v>
      </c>
      <c r="K19" s="82" t="s">
        <v>174</v>
      </c>
      <c r="L19" s="85">
        <v>2</v>
      </c>
      <c r="M19" s="85">
        <v>2</v>
      </c>
      <c r="N19" s="82">
        <v>8</v>
      </c>
      <c r="O19" s="82">
        <v>10</v>
      </c>
      <c r="P19" s="110">
        <v>968.6</v>
      </c>
      <c r="Q19" s="110">
        <v>0</v>
      </c>
      <c r="R19" s="82">
        <v>0</v>
      </c>
      <c r="S19" s="82">
        <v>0</v>
      </c>
    </row>
    <row r="20" spans="1:19" ht="14.25" customHeight="1" x14ac:dyDescent="0.25">
      <c r="A20" s="108">
        <v>45733</v>
      </c>
      <c r="B20" s="109">
        <v>45743</v>
      </c>
      <c r="C20" s="78" t="str">
        <f>"Q" &amp; CHOOSE(MONTH(Returns!$A20), "1", "1", "1", "2", "2", "2", "3", "3", "3", "4", "4", "4") &amp; "_" &amp; YEAR(Returns!$A20)</f>
        <v>Q1_2025</v>
      </c>
      <c r="D20" s="80" t="s">
        <v>60</v>
      </c>
      <c r="E20" s="81" t="s">
        <v>14</v>
      </c>
      <c r="F20" s="82" t="s">
        <v>15</v>
      </c>
      <c r="G20" s="82" t="s">
        <v>24</v>
      </c>
      <c r="H20" s="82" t="s">
        <v>25</v>
      </c>
      <c r="I20" s="82" t="s">
        <v>169</v>
      </c>
      <c r="J20" s="82" t="s">
        <v>170</v>
      </c>
      <c r="K20" s="82" t="s">
        <v>172</v>
      </c>
      <c r="L20" s="85">
        <v>1</v>
      </c>
      <c r="M20" s="85">
        <v>1</v>
      </c>
      <c r="N20" s="82">
        <v>3</v>
      </c>
      <c r="O20" s="82">
        <v>3</v>
      </c>
      <c r="P20" s="110">
        <v>369</v>
      </c>
      <c r="Q20" s="110">
        <v>3</v>
      </c>
      <c r="R20" s="82">
        <v>0</v>
      </c>
      <c r="S20" s="82">
        <v>369</v>
      </c>
    </row>
    <row r="21" spans="1:19" ht="14.25" customHeight="1" x14ac:dyDescent="0.25">
      <c r="A21" s="108">
        <v>45728</v>
      </c>
      <c r="B21" s="109">
        <v>45743</v>
      </c>
      <c r="C21" s="78" t="str">
        <f>"Q" &amp; CHOOSE(MONTH(Returns!$A21), "1", "1", "1", "2", "2", "2", "3", "3", "3", "4", "4", "4") &amp; "_" &amp; YEAR(Returns!$A21)</f>
        <v>Q1_2025</v>
      </c>
      <c r="D21" s="80" t="s">
        <v>69</v>
      </c>
      <c r="E21" s="81" t="s">
        <v>14</v>
      </c>
      <c r="F21" s="82" t="s">
        <v>15</v>
      </c>
      <c r="G21" s="82" t="s">
        <v>24</v>
      </c>
      <c r="H21" s="82" t="s">
        <v>25</v>
      </c>
      <c r="I21" s="82" t="s">
        <v>169</v>
      </c>
      <c r="J21" s="82" t="s">
        <v>170</v>
      </c>
      <c r="K21" s="82" t="s">
        <v>172</v>
      </c>
      <c r="L21" s="85">
        <v>1</v>
      </c>
      <c r="M21" s="85">
        <v>1</v>
      </c>
      <c r="N21" s="82">
        <v>3</v>
      </c>
      <c r="O21" s="82">
        <v>3</v>
      </c>
      <c r="P21" s="110">
        <v>369</v>
      </c>
      <c r="Q21" s="110">
        <v>3</v>
      </c>
      <c r="R21" s="82">
        <v>0</v>
      </c>
      <c r="S21" s="82">
        <v>369</v>
      </c>
    </row>
    <row r="22" spans="1:19" ht="14.25" customHeight="1" x14ac:dyDescent="0.25">
      <c r="A22" s="108">
        <v>45721</v>
      </c>
      <c r="B22" s="109">
        <v>45734</v>
      </c>
      <c r="C22" s="78" t="str">
        <f>"Q" &amp; CHOOSE(MONTH(Returns!$A22), "1", "1", "1", "2", "2", "2", "3", "3", "3", "4", "4", "4") &amp; "_" &amp; YEAR(Returns!$A22)</f>
        <v>Q1_2025</v>
      </c>
      <c r="D22" s="80" t="s">
        <v>60</v>
      </c>
      <c r="E22" s="81" t="s">
        <v>14</v>
      </c>
      <c r="F22" s="82" t="s">
        <v>15</v>
      </c>
      <c r="G22" s="82" t="s">
        <v>35</v>
      </c>
      <c r="H22" s="82" t="s">
        <v>97</v>
      </c>
      <c r="I22" s="82" t="s">
        <v>166</v>
      </c>
      <c r="J22" s="82" t="s">
        <v>167</v>
      </c>
      <c r="K22" s="82" t="s">
        <v>172</v>
      </c>
      <c r="L22" s="85">
        <v>1</v>
      </c>
      <c r="M22" s="85">
        <v>1</v>
      </c>
      <c r="N22" s="82">
        <v>5</v>
      </c>
      <c r="O22" s="82">
        <v>5</v>
      </c>
      <c r="P22" s="110">
        <v>399</v>
      </c>
      <c r="Q22" s="110">
        <v>5</v>
      </c>
      <c r="R22" s="82">
        <v>0</v>
      </c>
      <c r="S22" s="82">
        <v>399</v>
      </c>
    </row>
    <row r="23" spans="1:19" ht="14.25" customHeight="1" x14ac:dyDescent="0.25">
      <c r="A23" s="108">
        <v>45727</v>
      </c>
      <c r="B23" s="109">
        <v>45742</v>
      </c>
      <c r="C23" s="78" t="str">
        <f>"Q" &amp; CHOOSE(MONTH(Returns!$A23), "1", "1", "1", "2", "2", "2", "3", "3", "3", "4", "4", "4") &amp; "_" &amp; YEAR(Returns!$A23)</f>
        <v>Q1_2025</v>
      </c>
      <c r="D23" s="80" t="s">
        <v>66</v>
      </c>
      <c r="E23" s="81" t="s">
        <v>14</v>
      </c>
      <c r="F23" s="82" t="s">
        <v>15</v>
      </c>
      <c r="G23" s="82" t="s">
        <v>35</v>
      </c>
      <c r="H23" s="82" t="s">
        <v>83</v>
      </c>
      <c r="I23" s="82" t="s">
        <v>166</v>
      </c>
      <c r="J23" s="82" t="s">
        <v>167</v>
      </c>
      <c r="K23" s="82" t="s">
        <v>172</v>
      </c>
      <c r="L23" s="85">
        <v>1</v>
      </c>
      <c r="M23" s="85">
        <v>1</v>
      </c>
      <c r="N23" s="82">
        <v>6</v>
      </c>
      <c r="O23" s="82">
        <v>6</v>
      </c>
      <c r="P23" s="110">
        <v>449</v>
      </c>
      <c r="Q23" s="110">
        <v>6</v>
      </c>
      <c r="R23" s="82">
        <v>0</v>
      </c>
      <c r="S23" s="82">
        <v>449</v>
      </c>
    </row>
    <row r="24" spans="1:19" ht="14.25" customHeight="1" x14ac:dyDescent="0.25">
      <c r="A24" s="108">
        <v>45719</v>
      </c>
      <c r="B24" s="109">
        <v>45734</v>
      </c>
      <c r="C24" s="78" t="str">
        <f>"Q" &amp; CHOOSE(MONTH(Returns!$A24), "1", "1", "1", "2", "2", "2", "3", "3", "3", "4", "4", "4") &amp; "_" &amp; YEAR(Returns!$A24)</f>
        <v>Q1_2025</v>
      </c>
      <c r="D24" s="80" t="s">
        <v>71</v>
      </c>
      <c r="E24" s="81" t="s">
        <v>14</v>
      </c>
      <c r="F24" s="82" t="s">
        <v>15</v>
      </c>
      <c r="G24" s="82" t="s">
        <v>35</v>
      </c>
      <c r="H24" s="82" t="s">
        <v>43</v>
      </c>
      <c r="I24" s="82" t="s">
        <v>169</v>
      </c>
      <c r="J24" s="82" t="s">
        <v>170</v>
      </c>
      <c r="K24" s="82" t="s">
        <v>172</v>
      </c>
      <c r="L24" s="85">
        <v>1</v>
      </c>
      <c r="M24" s="85">
        <v>1</v>
      </c>
      <c r="N24" s="82">
        <v>6</v>
      </c>
      <c r="O24" s="82">
        <v>6</v>
      </c>
      <c r="P24" s="110">
        <v>399</v>
      </c>
      <c r="Q24" s="110">
        <v>6</v>
      </c>
      <c r="R24" s="82">
        <v>0</v>
      </c>
      <c r="S24" s="82">
        <v>399</v>
      </c>
    </row>
    <row r="25" spans="1:19" ht="14.25" customHeight="1" x14ac:dyDescent="0.25">
      <c r="A25" s="108">
        <v>45744</v>
      </c>
      <c r="B25" s="109">
        <v>45755</v>
      </c>
      <c r="C25" s="78" t="str">
        <f>"Q" &amp; CHOOSE(MONTH(Returns!$A25), "1", "1", "1", "2", "2", "2", "3", "3", "3", "4", "4", "4") &amp; "_" &amp; YEAR(Returns!$A25)</f>
        <v>Q1_2025</v>
      </c>
      <c r="D25" s="80" t="s">
        <v>66</v>
      </c>
      <c r="E25" s="81" t="s">
        <v>14</v>
      </c>
      <c r="F25" s="82" t="s">
        <v>15</v>
      </c>
      <c r="G25" s="82" t="s">
        <v>87</v>
      </c>
      <c r="H25" s="82" t="s">
        <v>88</v>
      </c>
      <c r="I25" s="82" t="s">
        <v>169</v>
      </c>
      <c r="J25" s="82" t="s">
        <v>170</v>
      </c>
      <c r="K25" s="82" t="s">
        <v>168</v>
      </c>
      <c r="L25" s="85">
        <v>1</v>
      </c>
      <c r="M25" s="85">
        <v>1</v>
      </c>
      <c r="N25" s="82">
        <v>1</v>
      </c>
      <c r="O25" s="82">
        <v>1</v>
      </c>
      <c r="P25" s="110">
        <v>930</v>
      </c>
      <c r="Q25" s="110">
        <v>0</v>
      </c>
      <c r="R25" s="82">
        <v>129.44999999999999</v>
      </c>
      <c r="S25" s="82">
        <v>930</v>
      </c>
    </row>
    <row r="26" spans="1:19" ht="14.25" customHeight="1" x14ac:dyDescent="0.25">
      <c r="A26" s="108">
        <v>45737</v>
      </c>
      <c r="B26" s="109">
        <v>45748</v>
      </c>
      <c r="C26" s="78" t="str">
        <f>"Q" &amp; CHOOSE(MONTH(Returns!$A26), "1", "1", "1", "2", "2", "2", "3", "3", "3", "4", "4", "4") &amp; "_" &amp; YEAR(Returns!$A26)</f>
        <v>Q1_2025</v>
      </c>
      <c r="D26" s="80" t="s">
        <v>68</v>
      </c>
      <c r="E26" s="81" t="s">
        <v>14</v>
      </c>
      <c r="F26" s="82" t="s">
        <v>15</v>
      </c>
      <c r="G26" s="82" t="s">
        <v>87</v>
      </c>
      <c r="H26" s="82" t="s">
        <v>88</v>
      </c>
      <c r="I26" s="82" t="s">
        <v>166</v>
      </c>
      <c r="J26" s="82" t="s">
        <v>243</v>
      </c>
      <c r="K26" s="82" t="s">
        <v>168</v>
      </c>
      <c r="L26" s="85">
        <v>1</v>
      </c>
      <c r="M26" s="85">
        <v>1</v>
      </c>
      <c r="N26" s="82">
        <v>1</v>
      </c>
      <c r="O26" s="82">
        <v>1</v>
      </c>
      <c r="P26" s="110">
        <v>930</v>
      </c>
      <c r="Q26" s="110">
        <v>0</v>
      </c>
      <c r="R26" s="82">
        <v>126.19</v>
      </c>
      <c r="S26" s="82">
        <v>930</v>
      </c>
    </row>
    <row r="27" spans="1:19" ht="14.25" customHeight="1" x14ac:dyDescent="0.25">
      <c r="A27" s="108">
        <v>45748</v>
      </c>
      <c r="B27" s="109">
        <v>45755</v>
      </c>
      <c r="C27" s="78" t="str">
        <f>"Q" &amp; CHOOSE(MONTH(Returns!$A27), "1", "1", "1", "2", "2", "2", "3", "3", "3", "4", "4", "4") &amp; "_" &amp; YEAR(Returns!$A27)</f>
        <v>Q2_2025</v>
      </c>
      <c r="D27" s="80" t="s">
        <v>60</v>
      </c>
      <c r="E27" s="81" t="s">
        <v>14</v>
      </c>
      <c r="F27" s="82" t="s">
        <v>15</v>
      </c>
      <c r="G27" s="82" t="s">
        <v>87</v>
      </c>
      <c r="H27" s="82" t="s">
        <v>88</v>
      </c>
      <c r="I27" s="82" t="s">
        <v>169</v>
      </c>
      <c r="J27" s="82" t="s">
        <v>170</v>
      </c>
      <c r="K27" s="82" t="s">
        <v>168</v>
      </c>
      <c r="L27" s="85">
        <v>1</v>
      </c>
      <c r="M27" s="85">
        <v>1</v>
      </c>
      <c r="N27" s="82">
        <v>1</v>
      </c>
      <c r="O27" s="82">
        <v>1</v>
      </c>
      <c r="P27" s="110">
        <v>949</v>
      </c>
      <c r="Q27" s="110">
        <v>0</v>
      </c>
      <c r="R27" s="82">
        <v>0</v>
      </c>
      <c r="S27" s="82">
        <v>949</v>
      </c>
    </row>
    <row r="28" spans="1:19" ht="14.25" customHeight="1" x14ac:dyDescent="0.25">
      <c r="A28" s="108"/>
      <c r="B28" s="109"/>
      <c r="C28" s="78" t="str">
        <f>"Q" &amp; CHOOSE(MONTH(Returns!$A28), "1", "1", "1", "2", "2", "2", "3", "3", "3", "4", "4", "4") &amp; "_" &amp; YEAR(Returns!$A28)</f>
        <v>Q1_1900</v>
      </c>
      <c r="D28" s="80"/>
      <c r="E28" s="81"/>
      <c r="F28" s="82"/>
      <c r="G28" s="82"/>
      <c r="H28" s="82"/>
      <c r="I28" s="82"/>
      <c r="J28" s="82"/>
      <c r="K28" s="82"/>
      <c r="L28" s="85"/>
      <c r="M28" s="85"/>
      <c r="N28" s="82"/>
      <c r="O28" s="82"/>
      <c r="P28" s="110"/>
      <c r="Q28" s="110"/>
      <c r="R28" s="82"/>
      <c r="S28" s="82"/>
    </row>
    <row r="29" spans="1:19" ht="14.25" customHeight="1" x14ac:dyDescent="0.25">
      <c r="A29" s="108"/>
      <c r="B29" s="109"/>
      <c r="C29" s="78" t="str">
        <f>"Q" &amp; CHOOSE(MONTH(Returns!$A29), "1", "1", "1", "2", "2", "2", "3", "3", "3", "4", "4", "4") &amp; "_" &amp; YEAR(Returns!$A29)</f>
        <v>Q1_1900</v>
      </c>
      <c r="D29" s="80"/>
      <c r="E29" s="81"/>
      <c r="F29" s="82"/>
      <c r="G29" s="82"/>
      <c r="H29" s="82"/>
      <c r="I29" s="82"/>
      <c r="J29" s="82"/>
      <c r="K29" s="82"/>
      <c r="L29" s="85"/>
      <c r="M29" s="85"/>
      <c r="N29" s="82"/>
      <c r="O29" s="82"/>
      <c r="P29" s="110"/>
      <c r="Q29" s="110"/>
      <c r="R29" s="82"/>
      <c r="S29" s="82"/>
    </row>
    <row r="30" spans="1:19" ht="14.25" customHeight="1" x14ac:dyDescent="0.25">
      <c r="A30" s="108"/>
      <c r="B30" s="109"/>
      <c r="C30" s="78" t="str">
        <f>"Q" &amp; CHOOSE(MONTH(Returns!$A30), "1", "1", "1", "2", "2", "2", "3", "3", "3", "4", "4", "4") &amp; "_" &amp; YEAR(Returns!$A30)</f>
        <v>Q1_1900</v>
      </c>
      <c r="D30" s="80"/>
      <c r="E30" s="81"/>
      <c r="F30" s="82"/>
      <c r="G30" s="82"/>
      <c r="H30" s="82"/>
      <c r="I30" s="82"/>
      <c r="J30" s="82"/>
      <c r="K30" s="82"/>
      <c r="L30" s="85"/>
      <c r="M30" s="85"/>
      <c r="N30" s="82"/>
      <c r="O30" s="82"/>
      <c r="P30" s="110"/>
      <c r="Q30" s="110"/>
      <c r="R30" s="82"/>
      <c r="S30" s="82"/>
    </row>
    <row r="31" spans="1:19" ht="14.25" customHeight="1" x14ac:dyDescent="0.25">
      <c r="A31" s="108"/>
      <c r="B31" s="109"/>
      <c r="C31" s="78" t="str">
        <f>"Q" &amp; CHOOSE(MONTH(Returns!$A31), "1", "1", "1", "2", "2", "2", "3", "3", "3", "4", "4", "4") &amp; "_" &amp; YEAR(Returns!$A31)</f>
        <v>Q1_1900</v>
      </c>
      <c r="D31" s="80"/>
      <c r="E31" s="81"/>
      <c r="F31" s="82"/>
      <c r="G31" s="82"/>
      <c r="H31" s="82"/>
      <c r="I31" s="82"/>
      <c r="J31" s="82"/>
      <c r="K31" s="82"/>
      <c r="L31" s="85"/>
      <c r="M31" s="85"/>
      <c r="N31" s="82"/>
      <c r="O31" s="82"/>
      <c r="P31" s="110"/>
      <c r="Q31" s="110"/>
      <c r="R31" s="82"/>
      <c r="S31" s="82"/>
    </row>
    <row r="32" spans="1:19" ht="14.25" customHeight="1" x14ac:dyDescent="0.25">
      <c r="A32" s="108"/>
      <c r="B32" s="109"/>
      <c r="C32" s="78" t="str">
        <f>"Q" &amp; CHOOSE(MONTH(Returns!$A32), "1", "1", "1", "2", "2", "2", "3", "3", "3", "4", "4", "4") &amp; "_" &amp; YEAR(Returns!$A32)</f>
        <v>Q1_1900</v>
      </c>
      <c r="D32" s="80"/>
      <c r="E32" s="81"/>
      <c r="F32" s="82"/>
      <c r="G32" s="82"/>
      <c r="H32" s="82"/>
      <c r="I32" s="82"/>
      <c r="J32" s="82"/>
      <c r="K32" s="82"/>
      <c r="L32" s="85"/>
      <c r="M32" s="85"/>
      <c r="N32" s="82"/>
      <c r="O32" s="82"/>
      <c r="P32" s="110"/>
      <c r="Q32" s="110"/>
      <c r="R32" s="82"/>
      <c r="S32" s="82"/>
    </row>
    <row r="33" spans="1:19" ht="14.25" customHeight="1" x14ac:dyDescent="0.25">
      <c r="A33" s="108"/>
      <c r="B33" s="109"/>
      <c r="C33" s="78" t="str">
        <f>"Q" &amp; CHOOSE(MONTH(Returns!$A33), "1", "1", "1", "2", "2", "2", "3", "3", "3", "4", "4", "4") &amp; "_" &amp; YEAR(Returns!$A33)</f>
        <v>Q1_1900</v>
      </c>
      <c r="D33" s="80"/>
      <c r="E33" s="81"/>
      <c r="F33" s="82"/>
      <c r="G33" s="82"/>
      <c r="H33" s="82"/>
      <c r="I33" s="82"/>
      <c r="J33" s="82"/>
      <c r="K33" s="82"/>
      <c r="L33" s="85"/>
      <c r="M33" s="85"/>
      <c r="N33" s="82"/>
      <c r="O33" s="82"/>
      <c r="P33" s="110"/>
      <c r="Q33" s="110"/>
      <c r="R33" s="82"/>
      <c r="S33" s="82"/>
    </row>
    <row r="34" spans="1:19" ht="14.25" customHeight="1" x14ac:dyDescent="0.25">
      <c r="A34" s="108"/>
      <c r="B34" s="109"/>
      <c r="C34" s="78" t="str">
        <f>"Q" &amp; CHOOSE(MONTH(Returns!$A34), "1", "1", "1", "2", "2", "2", "3", "3", "3", "4", "4", "4") &amp; "_" &amp; YEAR(Returns!$A34)</f>
        <v>Q1_1900</v>
      </c>
      <c r="D34" s="80"/>
      <c r="E34" s="81"/>
      <c r="F34" s="82"/>
      <c r="G34" s="82"/>
      <c r="H34" s="82"/>
      <c r="I34" s="82"/>
      <c r="J34" s="82"/>
      <c r="K34" s="82"/>
      <c r="L34" s="85"/>
      <c r="M34" s="85"/>
      <c r="N34" s="82"/>
      <c r="O34" s="82"/>
      <c r="P34" s="110"/>
      <c r="Q34" s="110"/>
      <c r="R34" s="82"/>
      <c r="S34" s="82"/>
    </row>
    <row r="35" spans="1:19" ht="14.25" customHeight="1" x14ac:dyDescent="0.25">
      <c r="A35" s="108"/>
      <c r="B35" s="109"/>
      <c r="C35" s="78" t="str">
        <f>"Q" &amp; CHOOSE(MONTH(Returns!$A35), "1", "1", "1", "2", "2", "2", "3", "3", "3", "4", "4", "4") &amp; "_" &amp; YEAR(Returns!$A35)</f>
        <v>Q1_1900</v>
      </c>
      <c r="D35" s="80"/>
      <c r="E35" s="81"/>
      <c r="F35" s="82"/>
      <c r="G35" s="82"/>
      <c r="H35" s="82"/>
      <c r="I35" s="82"/>
      <c r="J35" s="82"/>
      <c r="K35" s="82"/>
      <c r="L35" s="85"/>
      <c r="M35" s="85"/>
      <c r="N35" s="82"/>
      <c r="O35" s="82"/>
      <c r="P35" s="110"/>
      <c r="Q35" s="110"/>
      <c r="R35" s="82"/>
      <c r="S35" s="82"/>
    </row>
    <row r="36" spans="1:19" ht="14.25" customHeight="1" x14ac:dyDescent="0.25">
      <c r="A36" s="108"/>
      <c r="B36" s="109"/>
      <c r="C36" s="78" t="str">
        <f>"Q" &amp; CHOOSE(MONTH(Returns!$A36), "1", "1", "1", "2", "2", "2", "3", "3", "3", "4", "4", "4") &amp; "_" &amp; YEAR(Returns!$A36)</f>
        <v>Q1_1900</v>
      </c>
      <c r="D36" s="80"/>
      <c r="E36" s="81"/>
      <c r="F36" s="82"/>
      <c r="G36" s="82"/>
      <c r="H36" s="82"/>
      <c r="I36" s="82"/>
      <c r="J36" s="82"/>
      <c r="K36" s="82"/>
      <c r="L36" s="85"/>
      <c r="M36" s="85"/>
      <c r="N36" s="82"/>
      <c r="O36" s="82"/>
      <c r="P36" s="110"/>
      <c r="Q36" s="110"/>
      <c r="R36" s="82"/>
      <c r="S36" s="82"/>
    </row>
    <row r="37" spans="1:19" ht="14.25" customHeight="1" x14ac:dyDescent="0.25">
      <c r="A37" s="108"/>
      <c r="B37" s="109"/>
      <c r="C37" s="78" t="str">
        <f>"Q" &amp; CHOOSE(MONTH(Returns!$A37), "1", "1", "1", "2", "2", "2", "3", "3", "3", "4", "4", "4") &amp; "_" &amp; YEAR(Returns!$A37)</f>
        <v>Q1_1900</v>
      </c>
      <c r="D37" s="80"/>
      <c r="E37" s="81"/>
      <c r="F37" s="82"/>
      <c r="G37" s="82"/>
      <c r="H37" s="82"/>
      <c r="I37" s="82"/>
      <c r="J37" s="82"/>
      <c r="K37" s="82"/>
      <c r="L37" s="85"/>
      <c r="M37" s="85"/>
      <c r="N37" s="82"/>
      <c r="O37" s="82"/>
      <c r="P37" s="110"/>
      <c r="Q37" s="110"/>
      <c r="R37" s="82"/>
      <c r="S37" s="82"/>
    </row>
    <row r="38" spans="1:19" ht="14.25" customHeight="1" x14ac:dyDescent="0.25">
      <c r="A38" s="108"/>
      <c r="B38" s="109"/>
      <c r="C38" s="78" t="str">
        <f>"Q" &amp; CHOOSE(MONTH(Returns!$A38), "1", "1", "1", "2", "2", "2", "3", "3", "3", "4", "4", "4") &amp; "_" &amp; YEAR(Returns!$A38)</f>
        <v>Q1_1900</v>
      </c>
      <c r="D38" s="80"/>
      <c r="E38" s="81"/>
      <c r="F38" s="82"/>
      <c r="G38" s="82"/>
      <c r="H38" s="82"/>
      <c r="I38" s="82"/>
      <c r="J38" s="82"/>
      <c r="K38" s="82"/>
      <c r="L38" s="85"/>
      <c r="M38" s="85"/>
      <c r="N38" s="82"/>
      <c r="O38" s="82"/>
      <c r="P38" s="110"/>
      <c r="Q38" s="110"/>
      <c r="R38" s="82"/>
      <c r="S38" s="82"/>
    </row>
    <row r="39" spans="1:19" ht="14.25" customHeight="1" x14ac:dyDescent="0.25">
      <c r="A39" s="108"/>
      <c r="B39" s="109"/>
      <c r="C39" s="78" t="str">
        <f>"Q" &amp; CHOOSE(MONTH(Returns!$A39), "1", "1", "1", "2", "2", "2", "3", "3", "3", "4", "4", "4") &amp; "_" &amp; YEAR(Returns!$A39)</f>
        <v>Q1_1900</v>
      </c>
      <c r="D39" s="80"/>
      <c r="E39" s="81"/>
      <c r="F39" s="82"/>
      <c r="G39" s="82"/>
      <c r="H39" s="82"/>
      <c r="I39" s="82"/>
      <c r="J39" s="82"/>
      <c r="K39" s="82"/>
      <c r="L39" s="85"/>
      <c r="M39" s="85"/>
      <c r="N39" s="82"/>
      <c r="O39" s="82"/>
      <c r="P39" s="110"/>
      <c r="Q39" s="110"/>
      <c r="R39" s="82"/>
      <c r="S39" s="82"/>
    </row>
    <row r="40" spans="1:19" ht="14.25" customHeight="1" x14ac:dyDescent="0.25">
      <c r="A40" s="108"/>
      <c r="B40" s="109"/>
      <c r="C40" s="78" t="str">
        <f>"Q" &amp; CHOOSE(MONTH(Returns!$A40), "1", "1", "1", "2", "2", "2", "3", "3", "3", "4", "4", "4") &amp; "_" &amp; YEAR(Returns!$A40)</f>
        <v>Q1_1900</v>
      </c>
      <c r="D40" s="80"/>
      <c r="E40" s="81"/>
      <c r="F40" s="82"/>
      <c r="G40" s="82"/>
      <c r="H40" s="82"/>
      <c r="I40" s="82"/>
      <c r="J40" s="82"/>
      <c r="K40" s="82"/>
      <c r="L40" s="85"/>
      <c r="M40" s="85"/>
      <c r="N40" s="82"/>
      <c r="O40" s="82"/>
      <c r="P40" s="110"/>
      <c r="Q40" s="110"/>
      <c r="R40" s="82"/>
      <c r="S40" s="82"/>
    </row>
    <row r="41" spans="1:19" ht="14.25" customHeight="1" x14ac:dyDescent="0.25">
      <c r="A41" s="108"/>
      <c r="B41" s="109"/>
      <c r="C41" s="78" t="str">
        <f>"Q" &amp; CHOOSE(MONTH(Returns!$A41), "1", "1", "1", "2", "2", "2", "3", "3", "3", "4", "4", "4") &amp; "_" &amp; YEAR(Returns!$A41)</f>
        <v>Q1_1900</v>
      </c>
      <c r="D41" s="80"/>
      <c r="E41" s="81"/>
      <c r="F41" s="82"/>
      <c r="G41" s="82"/>
      <c r="H41" s="82"/>
      <c r="I41" s="82"/>
      <c r="J41" s="82"/>
      <c r="K41" s="82"/>
      <c r="L41" s="85"/>
      <c r="M41" s="85"/>
      <c r="N41" s="82"/>
      <c r="O41" s="82"/>
      <c r="P41" s="110"/>
      <c r="Q41" s="110"/>
      <c r="R41" s="82"/>
      <c r="S41" s="82"/>
    </row>
    <row r="42" spans="1:19" ht="14.25" customHeight="1" x14ac:dyDescent="0.25">
      <c r="A42" s="108"/>
      <c r="B42" s="109"/>
      <c r="C42" s="78" t="str">
        <f>"Q" &amp; CHOOSE(MONTH(Returns!$A42), "1", "1", "1", "2", "2", "2", "3", "3", "3", "4", "4", "4") &amp; "_" &amp; YEAR(Returns!$A42)</f>
        <v>Q1_1900</v>
      </c>
      <c r="D42" s="80"/>
      <c r="E42" s="81"/>
      <c r="F42" s="82"/>
      <c r="G42" s="82"/>
      <c r="H42" s="82"/>
      <c r="I42" s="82"/>
      <c r="J42" s="82"/>
      <c r="K42" s="82"/>
      <c r="L42" s="85"/>
      <c r="M42" s="85"/>
      <c r="N42" s="82"/>
      <c r="O42" s="82"/>
      <c r="P42" s="110"/>
      <c r="Q42" s="110"/>
      <c r="R42" s="82"/>
      <c r="S42" s="82"/>
    </row>
    <row r="43" spans="1:19" ht="14.25" customHeight="1" x14ac:dyDescent="0.25">
      <c r="A43" s="108"/>
      <c r="B43" s="109"/>
      <c r="C43" s="78" t="str">
        <f>"Q" &amp; CHOOSE(MONTH(Returns!$A43), "1", "1", "1", "2", "2", "2", "3", "3", "3", "4", "4", "4") &amp; "_" &amp; YEAR(Returns!$A43)</f>
        <v>Q1_1900</v>
      </c>
      <c r="D43" s="80"/>
      <c r="E43" s="81"/>
      <c r="F43" s="82"/>
      <c r="G43" s="82"/>
      <c r="H43" s="82"/>
      <c r="I43" s="82"/>
      <c r="J43" s="82"/>
      <c r="K43" s="82"/>
      <c r="L43" s="85"/>
      <c r="M43" s="85"/>
      <c r="N43" s="82"/>
      <c r="O43" s="82"/>
      <c r="P43" s="110"/>
      <c r="Q43" s="110"/>
      <c r="R43" s="82"/>
      <c r="S43" s="82"/>
    </row>
    <row r="44" spans="1:19" ht="14.25" customHeight="1" x14ac:dyDescent="0.25">
      <c r="A44" s="108"/>
      <c r="B44" s="109"/>
      <c r="C44" s="78" t="str">
        <f>"Q" &amp; CHOOSE(MONTH(Returns!$A44), "1", "1", "1", "2", "2", "2", "3", "3", "3", "4", "4", "4") &amp; "_" &amp; YEAR(Returns!$A44)</f>
        <v>Q1_1900</v>
      </c>
      <c r="D44" s="80"/>
      <c r="E44" s="81"/>
      <c r="F44" s="82"/>
      <c r="G44" s="82"/>
      <c r="H44" s="82"/>
      <c r="I44" s="82"/>
      <c r="J44" s="82"/>
      <c r="K44" s="82"/>
      <c r="L44" s="85"/>
      <c r="M44" s="85"/>
      <c r="N44" s="82"/>
      <c r="O44" s="82"/>
      <c r="P44" s="110"/>
      <c r="Q44" s="110"/>
      <c r="R44" s="82"/>
      <c r="S44" s="82"/>
    </row>
    <row r="45" spans="1:19" ht="14.25" customHeight="1" x14ac:dyDescent="0.25">
      <c r="A45" s="108"/>
      <c r="B45" s="109"/>
      <c r="C45" s="78" t="str">
        <f>"Q" &amp; CHOOSE(MONTH(Returns!$A45), "1", "1", "1", "2", "2", "2", "3", "3", "3", "4", "4", "4") &amp; "_" &amp; YEAR(Returns!$A45)</f>
        <v>Q1_1900</v>
      </c>
      <c r="D45" s="80"/>
      <c r="E45" s="81"/>
      <c r="F45" s="82"/>
      <c r="G45" s="82"/>
      <c r="H45" s="82"/>
      <c r="I45" s="82"/>
      <c r="J45" s="82"/>
      <c r="K45" s="82"/>
      <c r="L45" s="85"/>
      <c r="M45" s="85"/>
      <c r="N45" s="82"/>
      <c r="O45" s="82"/>
      <c r="P45" s="110"/>
      <c r="Q45" s="110"/>
      <c r="R45" s="82"/>
      <c r="S45" s="82"/>
    </row>
    <row r="46" spans="1:19" ht="14.25" customHeight="1" x14ac:dyDescent="0.25">
      <c r="A46" s="108"/>
      <c r="B46" s="109"/>
      <c r="C46" s="78" t="str">
        <f>"Q" &amp; CHOOSE(MONTH(Returns!$A46), "1", "1", "1", "2", "2", "2", "3", "3", "3", "4", "4", "4") &amp; "_" &amp; YEAR(Returns!$A46)</f>
        <v>Q1_1900</v>
      </c>
      <c r="D46" s="80"/>
      <c r="E46" s="81"/>
      <c r="F46" s="82"/>
      <c r="G46" s="82"/>
      <c r="H46" s="82"/>
      <c r="I46" s="82"/>
      <c r="J46" s="82"/>
      <c r="K46" s="82"/>
      <c r="L46" s="85"/>
      <c r="M46" s="85"/>
      <c r="N46" s="82"/>
      <c r="O46" s="82"/>
      <c r="P46" s="110"/>
      <c r="Q46" s="110"/>
      <c r="R46" s="82"/>
      <c r="S46" s="82"/>
    </row>
    <row r="47" spans="1:19" ht="14.25" customHeight="1" x14ac:dyDescent="0.25">
      <c r="A47" s="108"/>
      <c r="B47" s="109"/>
      <c r="C47" s="78" t="str">
        <f>"Q" &amp; CHOOSE(MONTH(Returns!$A47), "1", "1", "1", "2", "2", "2", "3", "3", "3", "4", "4", "4") &amp; "_" &amp; YEAR(Returns!$A47)</f>
        <v>Q1_1900</v>
      </c>
      <c r="D47" s="80"/>
      <c r="E47" s="81"/>
      <c r="F47" s="82"/>
      <c r="G47" s="82"/>
      <c r="H47" s="82"/>
      <c r="I47" s="82"/>
      <c r="J47" s="82"/>
      <c r="K47" s="82"/>
      <c r="L47" s="85"/>
      <c r="M47" s="85"/>
      <c r="N47" s="82"/>
      <c r="O47" s="82"/>
      <c r="P47" s="110"/>
      <c r="Q47" s="110"/>
      <c r="R47" s="82"/>
      <c r="S47" s="82"/>
    </row>
    <row r="48" spans="1:19" ht="14.25" customHeight="1" x14ac:dyDescent="0.25">
      <c r="A48" s="108"/>
      <c r="B48" s="109"/>
      <c r="C48" s="78" t="str">
        <f>"Q" &amp; CHOOSE(MONTH(Returns!$A48), "1", "1", "1", "2", "2", "2", "3", "3", "3", "4", "4", "4") &amp; "_" &amp; YEAR(Returns!$A48)</f>
        <v>Q1_1900</v>
      </c>
      <c r="D48" s="80"/>
      <c r="E48" s="81"/>
      <c r="F48" s="82"/>
      <c r="G48" s="82"/>
      <c r="H48" s="82"/>
      <c r="I48" s="82"/>
      <c r="J48" s="82"/>
      <c r="K48" s="82"/>
      <c r="L48" s="85"/>
      <c r="M48" s="85"/>
      <c r="N48" s="82"/>
      <c r="O48" s="82"/>
      <c r="P48" s="110"/>
      <c r="Q48" s="110"/>
      <c r="R48" s="82"/>
      <c r="S48" s="82"/>
    </row>
    <row r="49" spans="1:19" ht="14.25" customHeight="1" x14ac:dyDescent="0.25">
      <c r="A49" s="108"/>
      <c r="B49" s="109"/>
      <c r="C49" s="78" t="str">
        <f>"Q" &amp; CHOOSE(MONTH(Returns!$A49), "1", "1", "1", "2", "2", "2", "3", "3", "3", "4", "4", "4") &amp; "_" &amp; YEAR(Returns!$A49)</f>
        <v>Q1_1900</v>
      </c>
      <c r="D49" s="80"/>
      <c r="E49" s="81"/>
      <c r="F49" s="82"/>
      <c r="G49" s="82"/>
      <c r="H49" s="82"/>
      <c r="I49" s="82"/>
      <c r="J49" s="82"/>
      <c r="K49" s="82"/>
      <c r="L49" s="85"/>
      <c r="M49" s="85"/>
      <c r="N49" s="82"/>
      <c r="O49" s="82"/>
      <c r="P49" s="110"/>
      <c r="Q49" s="110"/>
      <c r="R49" s="82"/>
      <c r="S49" s="82"/>
    </row>
    <row r="50" spans="1:19" ht="14.25" customHeight="1" x14ac:dyDescent="0.25">
      <c r="A50" s="108"/>
      <c r="B50" s="109"/>
      <c r="C50" s="78" t="str">
        <f>"Q" &amp; CHOOSE(MONTH(Returns!$A50), "1", "1", "1", "2", "2", "2", "3", "3", "3", "4", "4", "4") &amp; "_" &amp; YEAR(Returns!$A50)</f>
        <v>Q1_1900</v>
      </c>
      <c r="D50" s="80"/>
      <c r="E50" s="81"/>
      <c r="F50" s="82"/>
      <c r="G50" s="82"/>
      <c r="H50" s="82"/>
      <c r="I50" s="82"/>
      <c r="J50" s="82"/>
      <c r="K50" s="82"/>
      <c r="L50" s="85"/>
      <c r="M50" s="85"/>
      <c r="N50" s="82"/>
      <c r="O50" s="82"/>
      <c r="P50" s="110"/>
      <c r="Q50" s="110"/>
      <c r="R50" s="82"/>
      <c r="S50" s="82"/>
    </row>
    <row r="51" spans="1:19" ht="14.25" customHeight="1" x14ac:dyDescent="0.25">
      <c r="A51" s="108"/>
      <c r="B51" s="109"/>
      <c r="C51" s="78" t="str">
        <f>"Q" &amp; CHOOSE(MONTH(Returns!$A51), "1", "1", "1", "2", "2", "2", "3", "3", "3", "4", "4", "4") &amp; "_" &amp; YEAR(Returns!$A51)</f>
        <v>Q1_1900</v>
      </c>
      <c r="D51" s="80"/>
      <c r="E51" s="81"/>
      <c r="F51" s="82"/>
      <c r="G51" s="82"/>
      <c r="H51" s="82"/>
      <c r="I51" s="82"/>
      <c r="J51" s="82"/>
      <c r="K51" s="82"/>
      <c r="L51" s="85"/>
      <c r="M51" s="85"/>
      <c r="N51" s="82"/>
      <c r="O51" s="82"/>
      <c r="P51" s="110"/>
      <c r="Q51" s="110"/>
      <c r="R51" s="82"/>
      <c r="S51" s="82"/>
    </row>
    <row r="52" spans="1:19" ht="14.25" customHeight="1" x14ac:dyDescent="0.25">
      <c r="A52" s="108"/>
      <c r="B52" s="109"/>
      <c r="C52" s="78" t="str">
        <f>"Q" &amp; CHOOSE(MONTH(Returns!$A52), "1", "1", "1", "2", "2", "2", "3", "3", "3", "4", "4", "4") &amp; "_" &amp; YEAR(Returns!$A52)</f>
        <v>Q1_1900</v>
      </c>
      <c r="D52" s="80"/>
      <c r="E52" s="81"/>
      <c r="F52" s="82"/>
      <c r="G52" s="82"/>
      <c r="H52" s="82"/>
      <c r="I52" s="82"/>
      <c r="J52" s="82"/>
      <c r="K52" s="82"/>
      <c r="L52" s="85"/>
      <c r="M52" s="85"/>
      <c r="N52" s="82"/>
      <c r="O52" s="82"/>
      <c r="P52" s="110"/>
      <c r="Q52" s="110"/>
      <c r="R52" s="82"/>
      <c r="S52" s="82"/>
    </row>
    <row r="53" spans="1:19" ht="14.25" customHeight="1" x14ac:dyDescent="0.25">
      <c r="A53" s="108"/>
      <c r="B53" s="109"/>
      <c r="C53" s="78" t="str">
        <f>"Q" &amp; CHOOSE(MONTH(Returns!$A53), "1", "1", "1", "2", "2", "2", "3", "3", "3", "4", "4", "4") &amp; "_" &amp; YEAR(Returns!$A53)</f>
        <v>Q1_1900</v>
      </c>
      <c r="D53" s="80"/>
      <c r="E53" s="81"/>
      <c r="F53" s="82"/>
      <c r="G53" s="82"/>
      <c r="H53" s="82"/>
      <c r="I53" s="82"/>
      <c r="J53" s="82"/>
      <c r="K53" s="82"/>
      <c r="L53" s="85"/>
      <c r="M53" s="85"/>
      <c r="N53" s="82"/>
      <c r="O53" s="82"/>
      <c r="P53" s="110"/>
      <c r="Q53" s="110"/>
      <c r="R53" s="82"/>
      <c r="S53" s="82"/>
    </row>
    <row r="54" spans="1:19" ht="14.25" customHeight="1" x14ac:dyDescent="0.25">
      <c r="A54" s="108"/>
      <c r="B54" s="109"/>
      <c r="C54" s="78" t="str">
        <f>"Q" &amp; CHOOSE(MONTH(Returns!$A54), "1", "1", "1", "2", "2", "2", "3", "3", "3", "4", "4", "4") &amp; "_" &amp; YEAR(Returns!$A54)</f>
        <v>Q1_1900</v>
      </c>
      <c r="D54" s="80"/>
      <c r="E54" s="81"/>
      <c r="F54" s="82"/>
      <c r="G54" s="82"/>
      <c r="H54" s="82"/>
      <c r="I54" s="82"/>
      <c r="J54" s="82"/>
      <c r="K54" s="82"/>
      <c r="L54" s="85"/>
      <c r="M54" s="85"/>
      <c r="N54" s="82"/>
      <c r="O54" s="82"/>
      <c r="P54" s="110"/>
      <c r="Q54" s="110"/>
      <c r="R54" s="82"/>
      <c r="S54" s="82"/>
    </row>
    <row r="55" spans="1:19" ht="14.25" customHeight="1" x14ac:dyDescent="0.25">
      <c r="A55" s="108"/>
      <c r="B55" s="109"/>
      <c r="C55" s="78" t="str">
        <f>"Q" &amp; CHOOSE(MONTH(Returns!$A55), "1", "1", "1", "2", "2", "2", "3", "3", "3", "4", "4", "4") &amp; "_" &amp; YEAR(Returns!$A55)</f>
        <v>Q1_1900</v>
      </c>
      <c r="D55" s="80"/>
      <c r="E55" s="81"/>
      <c r="F55" s="82"/>
      <c r="G55" s="82"/>
      <c r="H55" s="82"/>
      <c r="I55" s="82"/>
      <c r="J55" s="82"/>
      <c r="K55" s="82"/>
      <c r="L55" s="85"/>
      <c r="M55" s="85"/>
      <c r="N55" s="82"/>
      <c r="O55" s="82"/>
      <c r="P55" s="110"/>
      <c r="Q55" s="110"/>
      <c r="R55" s="82"/>
      <c r="S55" s="82"/>
    </row>
    <row r="56" spans="1:19" ht="14.25" customHeight="1" x14ac:dyDescent="0.25">
      <c r="A56" s="108"/>
      <c r="B56" s="109"/>
      <c r="C56" s="78" t="str">
        <f>"Q" &amp; CHOOSE(MONTH(Returns!$A56), "1", "1", "1", "2", "2", "2", "3", "3", "3", "4", "4", "4") &amp; "_" &amp; YEAR(Returns!$A56)</f>
        <v>Q1_1900</v>
      </c>
      <c r="D56" s="80"/>
      <c r="E56" s="81"/>
      <c r="F56" s="82"/>
      <c r="G56" s="82"/>
      <c r="H56" s="82"/>
      <c r="I56" s="82"/>
      <c r="J56" s="82"/>
      <c r="K56" s="82"/>
      <c r="L56" s="85"/>
      <c r="M56" s="85"/>
      <c r="N56" s="82"/>
      <c r="O56" s="82"/>
      <c r="P56" s="110"/>
      <c r="Q56" s="110"/>
      <c r="R56" s="82"/>
      <c r="S56" s="82"/>
    </row>
    <row r="57" spans="1:19" ht="14.25" customHeight="1" x14ac:dyDescent="0.25">
      <c r="A57" s="108"/>
      <c r="B57" s="109"/>
      <c r="C57" s="78" t="str">
        <f>"Q" &amp; CHOOSE(MONTH(Returns!$A57), "1", "1", "1", "2", "2", "2", "3", "3", "3", "4", "4", "4") &amp; "_" &amp; YEAR(Returns!$A57)</f>
        <v>Q1_1900</v>
      </c>
      <c r="D57" s="80"/>
      <c r="E57" s="81"/>
      <c r="F57" s="82"/>
      <c r="G57" s="82"/>
      <c r="H57" s="82"/>
      <c r="I57" s="82"/>
      <c r="J57" s="82"/>
      <c r="K57" s="82"/>
      <c r="L57" s="85"/>
      <c r="M57" s="85"/>
      <c r="N57" s="82"/>
      <c r="O57" s="82"/>
      <c r="P57" s="110"/>
      <c r="Q57" s="110"/>
      <c r="R57" s="82"/>
      <c r="S57" s="82"/>
    </row>
    <row r="58" spans="1:19" ht="14.25" customHeight="1" x14ac:dyDescent="0.25">
      <c r="A58" s="108"/>
      <c r="B58" s="109"/>
      <c r="C58" s="78" t="str">
        <f>"Q" &amp; CHOOSE(MONTH(Returns!$A58), "1", "1", "1", "2", "2", "2", "3", "3", "3", "4", "4", "4") &amp; "_" &amp; YEAR(Returns!$A58)</f>
        <v>Q1_1900</v>
      </c>
      <c r="D58" s="80"/>
      <c r="E58" s="81"/>
      <c r="F58" s="82"/>
      <c r="G58" s="82"/>
      <c r="H58" s="82"/>
      <c r="I58" s="82"/>
      <c r="J58" s="82"/>
      <c r="K58" s="82"/>
      <c r="L58" s="85"/>
      <c r="M58" s="85"/>
      <c r="N58" s="82"/>
      <c r="O58" s="82"/>
      <c r="P58" s="110"/>
      <c r="Q58" s="110"/>
      <c r="R58" s="82"/>
      <c r="S58" s="82"/>
    </row>
    <row r="59" spans="1:19" ht="14.25" customHeight="1" x14ac:dyDescent="0.25">
      <c r="A59" s="108"/>
      <c r="B59" s="109"/>
      <c r="C59" s="78" t="str">
        <f>"Q" &amp; CHOOSE(MONTH(Returns!$A59), "1", "1", "1", "2", "2", "2", "3", "3", "3", "4", "4", "4") &amp; "_" &amp; YEAR(Returns!$A59)</f>
        <v>Q1_1900</v>
      </c>
      <c r="D59" s="80"/>
      <c r="E59" s="81"/>
      <c r="F59" s="82"/>
      <c r="G59" s="82"/>
      <c r="H59" s="82"/>
      <c r="I59" s="82"/>
      <c r="J59" s="82"/>
      <c r="K59" s="82"/>
      <c r="L59" s="85"/>
      <c r="M59" s="85"/>
      <c r="N59" s="82"/>
      <c r="O59" s="82"/>
      <c r="P59" s="110"/>
      <c r="Q59" s="110"/>
      <c r="R59" s="82"/>
      <c r="S59" s="82"/>
    </row>
    <row r="60" spans="1:19" ht="14.25" customHeight="1" x14ac:dyDescent="0.25">
      <c r="A60" s="108"/>
      <c r="B60" s="109"/>
      <c r="C60" s="78" t="str">
        <f>"Q" &amp; CHOOSE(MONTH(Returns!$A60), "1", "1", "1", "2", "2", "2", "3", "3", "3", "4", "4", "4") &amp; "_" &amp; YEAR(Returns!$A60)</f>
        <v>Q1_1900</v>
      </c>
      <c r="D60" s="80"/>
      <c r="E60" s="81"/>
      <c r="F60" s="82"/>
      <c r="G60" s="82"/>
      <c r="H60" s="82"/>
      <c r="I60" s="82"/>
      <c r="J60" s="82"/>
      <c r="K60" s="82"/>
      <c r="L60" s="85"/>
      <c r="M60" s="85"/>
      <c r="N60" s="82"/>
      <c r="O60" s="82"/>
      <c r="P60" s="110"/>
      <c r="Q60" s="110"/>
      <c r="R60" s="82"/>
      <c r="S60" s="82"/>
    </row>
    <row r="61" spans="1:19" ht="14.25" customHeight="1" x14ac:dyDescent="0.25">
      <c r="A61" s="108"/>
      <c r="B61" s="109"/>
      <c r="C61" s="78" t="str">
        <f>"Q" &amp; CHOOSE(MONTH(Returns!$A61), "1", "1", "1", "2", "2", "2", "3", "3", "3", "4", "4", "4") &amp; "_" &amp; YEAR(Returns!$A61)</f>
        <v>Q1_1900</v>
      </c>
      <c r="D61" s="80"/>
      <c r="E61" s="81"/>
      <c r="F61" s="82"/>
      <c r="G61" s="82"/>
      <c r="H61" s="82"/>
      <c r="I61" s="82"/>
      <c r="J61" s="82"/>
      <c r="K61" s="82"/>
      <c r="L61" s="85"/>
      <c r="M61" s="85"/>
      <c r="N61" s="82"/>
      <c r="O61" s="82"/>
      <c r="P61" s="110"/>
      <c r="Q61" s="110"/>
      <c r="R61" s="82"/>
      <c r="S61" s="82"/>
    </row>
    <row r="62" spans="1:19" ht="14.25" customHeight="1" x14ac:dyDescent="0.25">
      <c r="A62" s="108"/>
      <c r="B62" s="109"/>
      <c r="C62" s="78" t="str">
        <f>"Q" &amp; CHOOSE(MONTH(Returns!$A62), "1", "1", "1", "2", "2", "2", "3", "3", "3", "4", "4", "4") &amp; "_" &amp; YEAR(Returns!$A62)</f>
        <v>Q1_1900</v>
      </c>
      <c r="D62" s="80"/>
      <c r="E62" s="81"/>
      <c r="F62" s="82"/>
      <c r="G62" s="82"/>
      <c r="H62" s="82"/>
      <c r="I62" s="82"/>
      <c r="J62" s="82"/>
      <c r="K62" s="82"/>
      <c r="L62" s="85"/>
      <c r="M62" s="85"/>
      <c r="N62" s="82"/>
      <c r="O62" s="82"/>
      <c r="P62" s="110"/>
      <c r="Q62" s="110"/>
      <c r="R62" s="82"/>
      <c r="S62" s="82"/>
    </row>
    <row r="63" spans="1:19" ht="14.25" customHeight="1" x14ac:dyDescent="0.25">
      <c r="A63" s="108"/>
      <c r="B63" s="109"/>
      <c r="C63" s="78" t="str">
        <f>"Q" &amp; CHOOSE(MONTH(Returns!$A63), "1", "1", "1", "2", "2", "2", "3", "3", "3", "4", "4", "4") &amp; "_" &amp; YEAR(Returns!$A63)</f>
        <v>Q1_1900</v>
      </c>
      <c r="D63" s="80"/>
      <c r="E63" s="81"/>
      <c r="F63" s="82"/>
      <c r="G63" s="82"/>
      <c r="H63" s="82"/>
      <c r="I63" s="82"/>
      <c r="J63" s="82"/>
      <c r="K63" s="82"/>
      <c r="L63" s="85"/>
      <c r="M63" s="85"/>
      <c r="N63" s="82"/>
      <c r="O63" s="82"/>
      <c r="P63" s="110"/>
      <c r="Q63" s="110"/>
      <c r="R63" s="82"/>
      <c r="S63" s="82"/>
    </row>
    <row r="64" spans="1:19" ht="14.25" customHeight="1" x14ac:dyDescent="0.25">
      <c r="A64" s="108"/>
      <c r="B64" s="109"/>
      <c r="C64" s="78" t="str">
        <f>"Q" &amp; CHOOSE(MONTH(Returns!$A64), "1", "1", "1", "2", "2", "2", "3", "3", "3", "4", "4", "4") &amp; "_" &amp; YEAR(Returns!$A64)</f>
        <v>Q1_1900</v>
      </c>
      <c r="D64" s="80"/>
      <c r="E64" s="81"/>
      <c r="F64" s="82"/>
      <c r="G64" s="82"/>
      <c r="H64" s="82"/>
      <c r="I64" s="82"/>
      <c r="J64" s="82"/>
      <c r="K64" s="82"/>
      <c r="L64" s="85"/>
      <c r="M64" s="85"/>
      <c r="N64" s="82"/>
      <c r="O64" s="82"/>
      <c r="P64" s="110"/>
      <c r="Q64" s="110"/>
      <c r="R64" s="82"/>
      <c r="S64" s="82"/>
    </row>
    <row r="65" spans="1:19" ht="14.25" customHeight="1" x14ac:dyDescent="0.25">
      <c r="A65" s="108"/>
      <c r="B65" s="109"/>
      <c r="C65" s="78" t="str">
        <f>"Q" &amp; CHOOSE(MONTH(Returns!$A65), "1", "1", "1", "2", "2", "2", "3", "3", "3", "4", "4", "4") &amp; "_" &amp; YEAR(Returns!$A65)</f>
        <v>Q1_1900</v>
      </c>
      <c r="D65" s="80"/>
      <c r="E65" s="81"/>
      <c r="F65" s="82"/>
      <c r="G65" s="82"/>
      <c r="H65" s="82"/>
      <c r="I65" s="82"/>
      <c r="J65" s="82"/>
      <c r="K65" s="82"/>
      <c r="L65" s="85"/>
      <c r="M65" s="85"/>
      <c r="N65" s="82"/>
      <c r="O65" s="82"/>
      <c r="P65" s="110"/>
      <c r="Q65" s="110"/>
      <c r="R65" s="82"/>
      <c r="S65" s="82"/>
    </row>
    <row r="66" spans="1:19" ht="14.25" customHeight="1" x14ac:dyDescent="0.25">
      <c r="A66" s="108"/>
      <c r="B66" s="109"/>
      <c r="C66" s="78" t="str">
        <f>"Q" &amp; CHOOSE(MONTH(Returns!$A66), "1", "1", "1", "2", "2", "2", "3", "3", "3", "4", "4", "4") &amp; "_" &amp; YEAR(Returns!$A66)</f>
        <v>Q1_1900</v>
      </c>
      <c r="D66" s="80"/>
      <c r="E66" s="81"/>
      <c r="F66" s="82"/>
      <c r="G66" s="82"/>
      <c r="H66" s="82"/>
      <c r="I66" s="82"/>
      <c r="J66" s="82"/>
      <c r="K66" s="82"/>
      <c r="L66" s="85"/>
      <c r="M66" s="85"/>
      <c r="N66" s="82"/>
      <c r="O66" s="82"/>
      <c r="P66" s="110"/>
      <c r="Q66" s="110"/>
      <c r="R66" s="82"/>
      <c r="S66" s="82"/>
    </row>
    <row r="67" spans="1:19" ht="14.25" customHeight="1" x14ac:dyDescent="0.25">
      <c r="A67" s="108"/>
      <c r="B67" s="109"/>
      <c r="C67" s="78" t="str">
        <f>"Q" &amp; CHOOSE(MONTH(Returns!$A67), "1", "1", "1", "2", "2", "2", "3", "3", "3", "4", "4", "4") &amp; "_" &amp; YEAR(Returns!$A67)</f>
        <v>Q1_1900</v>
      </c>
      <c r="D67" s="80"/>
      <c r="E67" s="81"/>
      <c r="F67" s="82"/>
      <c r="G67" s="82"/>
      <c r="H67" s="82"/>
      <c r="I67" s="82"/>
      <c r="J67" s="82"/>
      <c r="K67" s="82"/>
      <c r="L67" s="85"/>
      <c r="M67" s="85"/>
      <c r="N67" s="82"/>
      <c r="O67" s="82"/>
      <c r="P67" s="110"/>
      <c r="Q67" s="110"/>
      <c r="R67" s="82"/>
      <c r="S67" s="82"/>
    </row>
    <row r="68" spans="1:19" ht="14.25" customHeight="1" x14ac:dyDescent="0.25">
      <c r="A68" s="108"/>
      <c r="B68" s="109"/>
      <c r="C68" s="78" t="str">
        <f>"Q" &amp; CHOOSE(MONTH(Returns!$A68), "1", "1", "1", "2", "2", "2", "3", "3", "3", "4", "4", "4") &amp; "_" &amp; YEAR(Returns!$A68)</f>
        <v>Q1_1900</v>
      </c>
      <c r="D68" s="80"/>
      <c r="E68" s="81"/>
      <c r="F68" s="82"/>
      <c r="G68" s="82"/>
      <c r="H68" s="82"/>
      <c r="I68" s="82"/>
      <c r="J68" s="82"/>
      <c r="K68" s="82"/>
      <c r="L68" s="85"/>
      <c r="M68" s="85"/>
      <c r="N68" s="82"/>
      <c r="O68" s="82"/>
      <c r="P68" s="110"/>
      <c r="Q68" s="110"/>
      <c r="R68" s="82"/>
      <c r="S68" s="82"/>
    </row>
    <row r="69" spans="1:19" ht="14.25" customHeight="1" x14ac:dyDescent="0.25">
      <c r="A69" s="108"/>
      <c r="B69" s="109"/>
      <c r="C69" s="78" t="str">
        <f>"Q" &amp; CHOOSE(MONTH(Returns!$A69), "1", "1", "1", "2", "2", "2", "3", "3", "3", "4", "4", "4") &amp; "_" &amp; YEAR(Returns!$A69)</f>
        <v>Q1_1900</v>
      </c>
      <c r="D69" s="80"/>
      <c r="E69" s="81"/>
      <c r="F69" s="82"/>
      <c r="G69" s="82"/>
      <c r="H69" s="82"/>
      <c r="I69" s="82"/>
      <c r="J69" s="82"/>
      <c r="K69" s="82"/>
      <c r="L69" s="85"/>
      <c r="M69" s="85"/>
      <c r="N69" s="82"/>
      <c r="O69" s="82"/>
      <c r="P69" s="110"/>
      <c r="Q69" s="110"/>
      <c r="R69" s="82"/>
      <c r="S69" s="82"/>
    </row>
    <row r="70" spans="1:19" ht="14.25" customHeight="1" x14ac:dyDescent="0.25">
      <c r="A70" s="108"/>
      <c r="B70" s="109"/>
      <c r="C70" s="78" t="str">
        <f>"Q" &amp; CHOOSE(MONTH(Returns!$A70), "1", "1", "1", "2", "2", "2", "3", "3", "3", "4", "4", "4") &amp; "_" &amp; YEAR(Returns!$A70)</f>
        <v>Q1_1900</v>
      </c>
      <c r="D70" s="80"/>
      <c r="E70" s="81"/>
      <c r="F70" s="82"/>
      <c r="G70" s="82"/>
      <c r="H70" s="82"/>
      <c r="I70" s="82"/>
      <c r="J70" s="82"/>
      <c r="K70" s="82"/>
      <c r="L70" s="85"/>
      <c r="M70" s="85"/>
      <c r="N70" s="82"/>
      <c r="O70" s="82"/>
      <c r="P70" s="110"/>
      <c r="Q70" s="110"/>
      <c r="R70" s="82"/>
      <c r="S70" s="82"/>
    </row>
    <row r="71" spans="1:19" ht="14.25" customHeight="1" x14ac:dyDescent="0.25">
      <c r="A71" s="108"/>
      <c r="B71" s="109"/>
      <c r="C71" s="78" t="str">
        <f>"Q" &amp; CHOOSE(MONTH(Returns!$A71), "1", "1", "1", "2", "2", "2", "3", "3", "3", "4", "4", "4") &amp; "_" &amp; YEAR(Returns!$A71)</f>
        <v>Q1_1900</v>
      </c>
      <c r="D71" s="80"/>
      <c r="E71" s="81"/>
      <c r="F71" s="82"/>
      <c r="G71" s="82"/>
      <c r="H71" s="82"/>
      <c r="I71" s="82"/>
      <c r="J71" s="82"/>
      <c r="K71" s="82"/>
      <c r="L71" s="85"/>
      <c r="M71" s="85"/>
      <c r="N71" s="82"/>
      <c r="O71" s="82"/>
      <c r="P71" s="110"/>
      <c r="Q71" s="110"/>
      <c r="R71" s="82"/>
      <c r="S71" s="82"/>
    </row>
    <row r="72" spans="1:19" ht="14.25" customHeight="1" x14ac:dyDescent="0.25">
      <c r="A72" s="108"/>
      <c r="B72" s="109"/>
      <c r="C72" s="78" t="str">
        <f>"Q" &amp; CHOOSE(MONTH(Returns!$A72), "1", "1", "1", "2", "2", "2", "3", "3", "3", "4", "4", "4") &amp; "_" &amp; YEAR(Returns!$A72)</f>
        <v>Q1_1900</v>
      </c>
      <c r="D72" s="80"/>
      <c r="E72" s="81"/>
      <c r="F72" s="82"/>
      <c r="G72" s="82"/>
      <c r="H72" s="82"/>
      <c r="I72" s="82"/>
      <c r="J72" s="82"/>
      <c r="K72" s="82"/>
      <c r="L72" s="85"/>
      <c r="M72" s="85"/>
      <c r="N72" s="82"/>
      <c r="O72" s="82"/>
      <c r="P72" s="110"/>
      <c r="Q72" s="110"/>
      <c r="R72" s="82"/>
      <c r="S72" s="82"/>
    </row>
    <row r="73" spans="1:19" ht="14.25" customHeight="1" x14ac:dyDescent="0.25">
      <c r="A73" s="108"/>
      <c r="B73" s="109"/>
      <c r="C73" s="78" t="str">
        <f>"Q" &amp; CHOOSE(MONTH(Returns!$A73), "1", "1", "1", "2", "2", "2", "3", "3", "3", "4", "4", "4") &amp; "_" &amp; YEAR(Returns!$A73)</f>
        <v>Q1_1900</v>
      </c>
      <c r="D73" s="80"/>
      <c r="E73" s="81"/>
      <c r="F73" s="82"/>
      <c r="G73" s="82"/>
      <c r="H73" s="82"/>
      <c r="I73" s="82"/>
      <c r="J73" s="82"/>
      <c r="K73" s="82"/>
      <c r="L73" s="85"/>
      <c r="M73" s="85"/>
      <c r="N73" s="82"/>
      <c r="O73" s="82"/>
      <c r="P73" s="110"/>
      <c r="Q73" s="110"/>
      <c r="R73" s="82"/>
      <c r="S73" s="82"/>
    </row>
    <row r="74" spans="1:19" ht="14.25" customHeight="1" x14ac:dyDescent="0.25">
      <c r="A74" s="108"/>
      <c r="B74" s="109"/>
      <c r="C74" s="78" t="str">
        <f>"Q" &amp; CHOOSE(MONTH(Returns!$A74), "1", "1", "1", "2", "2", "2", "3", "3", "3", "4", "4", "4") &amp; "_" &amp; YEAR(Returns!$A74)</f>
        <v>Q1_1900</v>
      </c>
      <c r="D74" s="80"/>
      <c r="E74" s="81"/>
      <c r="F74" s="82"/>
      <c r="G74" s="82"/>
      <c r="H74" s="82"/>
      <c r="I74" s="82"/>
      <c r="J74" s="82"/>
      <c r="K74" s="82"/>
      <c r="L74" s="85"/>
      <c r="M74" s="85"/>
      <c r="N74" s="82"/>
      <c r="O74" s="82"/>
      <c r="P74" s="110"/>
      <c r="Q74" s="110"/>
      <c r="R74" s="82"/>
      <c r="S74" s="82"/>
    </row>
    <row r="75" spans="1:19" ht="14.25" customHeight="1" x14ac:dyDescent="0.25">
      <c r="A75" s="108"/>
      <c r="B75" s="109"/>
      <c r="C75" s="78" t="str">
        <f>"Q" &amp; CHOOSE(MONTH(Returns!$A75), "1", "1", "1", "2", "2", "2", "3", "3", "3", "4", "4", "4") &amp; "_" &amp; YEAR(Returns!$A75)</f>
        <v>Q1_1900</v>
      </c>
      <c r="D75" s="80"/>
      <c r="E75" s="81"/>
      <c r="F75" s="82"/>
      <c r="G75" s="82"/>
      <c r="H75" s="82"/>
      <c r="I75" s="82"/>
      <c r="J75" s="82"/>
      <c r="K75" s="82"/>
      <c r="L75" s="85"/>
      <c r="M75" s="85"/>
      <c r="N75" s="82"/>
      <c r="O75" s="82"/>
      <c r="P75" s="110"/>
      <c r="Q75" s="110"/>
      <c r="R75" s="82"/>
      <c r="S75" s="82"/>
    </row>
    <row r="76" spans="1:19" ht="14.25" customHeight="1" x14ac:dyDescent="0.25">
      <c r="A76" s="108"/>
      <c r="B76" s="109"/>
      <c r="C76" s="78" t="str">
        <f>"Q" &amp; CHOOSE(MONTH(Returns!$A76), "1", "1", "1", "2", "2", "2", "3", "3", "3", "4", "4", "4") &amp; "_" &amp; YEAR(Returns!$A76)</f>
        <v>Q1_1900</v>
      </c>
      <c r="D76" s="80"/>
      <c r="E76" s="81"/>
      <c r="F76" s="82"/>
      <c r="G76" s="82"/>
      <c r="H76" s="82"/>
      <c r="I76" s="82"/>
      <c r="J76" s="82"/>
      <c r="K76" s="82"/>
      <c r="L76" s="85"/>
      <c r="M76" s="85"/>
      <c r="N76" s="82"/>
      <c r="O76" s="82"/>
      <c r="P76" s="110"/>
      <c r="Q76" s="110"/>
      <c r="R76" s="82"/>
      <c r="S76" s="82"/>
    </row>
    <row r="77" spans="1:19" ht="14.25" customHeight="1" x14ac:dyDescent="0.25">
      <c r="A77" s="108"/>
      <c r="B77" s="109"/>
      <c r="C77" s="78" t="str">
        <f>"Q" &amp; CHOOSE(MONTH(Returns!$A77), "1", "1", "1", "2", "2", "2", "3", "3", "3", "4", "4", "4") &amp; "_" &amp; YEAR(Returns!$A77)</f>
        <v>Q1_1900</v>
      </c>
      <c r="D77" s="80"/>
      <c r="E77" s="81"/>
      <c r="F77" s="82"/>
      <c r="G77" s="82"/>
      <c r="H77" s="82"/>
      <c r="I77" s="82"/>
      <c r="J77" s="82"/>
      <c r="K77" s="82"/>
      <c r="L77" s="85"/>
      <c r="M77" s="85"/>
      <c r="N77" s="82"/>
      <c r="O77" s="82"/>
      <c r="P77" s="110"/>
      <c r="Q77" s="110"/>
      <c r="R77" s="82"/>
      <c r="S77" s="82"/>
    </row>
    <row r="78" spans="1:19" ht="14.25" customHeight="1" x14ac:dyDescent="0.25">
      <c r="A78" s="108"/>
      <c r="B78" s="109"/>
      <c r="C78" s="78" t="str">
        <f>"Q" &amp; CHOOSE(MONTH(Returns!$A78), "1", "1", "1", "2", "2", "2", "3", "3", "3", "4", "4", "4") &amp; "_" &amp; YEAR(Returns!$A78)</f>
        <v>Q1_1900</v>
      </c>
      <c r="D78" s="80"/>
      <c r="E78" s="81"/>
      <c r="F78" s="82"/>
      <c r="G78" s="82"/>
      <c r="H78" s="82"/>
      <c r="I78" s="82"/>
      <c r="J78" s="82"/>
      <c r="K78" s="82"/>
      <c r="L78" s="85"/>
      <c r="M78" s="85"/>
      <c r="N78" s="82"/>
      <c r="O78" s="82"/>
      <c r="P78" s="110"/>
      <c r="Q78" s="110"/>
      <c r="R78" s="82"/>
      <c r="S78" s="82"/>
    </row>
    <row r="79" spans="1:19" ht="14.25" customHeight="1" x14ac:dyDescent="0.25">
      <c r="A79" s="108"/>
      <c r="B79" s="109"/>
      <c r="C79" s="78" t="str">
        <f>"Q" &amp; CHOOSE(MONTH(Returns!$A79), "1", "1", "1", "2", "2", "2", "3", "3", "3", "4", "4", "4") &amp; "_" &amp; YEAR(Returns!$A79)</f>
        <v>Q1_1900</v>
      </c>
      <c r="D79" s="80"/>
      <c r="E79" s="81"/>
      <c r="F79" s="82"/>
      <c r="G79" s="82"/>
      <c r="H79" s="82"/>
      <c r="I79" s="82"/>
      <c r="J79" s="82"/>
      <c r="K79" s="82"/>
      <c r="L79" s="85"/>
      <c r="M79" s="85"/>
      <c r="N79" s="82"/>
      <c r="O79" s="82"/>
      <c r="P79" s="110"/>
      <c r="Q79" s="110"/>
      <c r="R79" s="82"/>
      <c r="S79" s="82"/>
    </row>
    <row r="80" spans="1:19" ht="14.25" customHeight="1" x14ac:dyDescent="0.25">
      <c r="A80" s="108"/>
      <c r="B80" s="109"/>
      <c r="C80" s="78" t="str">
        <f>"Q" &amp; CHOOSE(MONTH(Returns!$A80), "1", "1", "1", "2", "2", "2", "3", "3", "3", "4", "4", "4") &amp; "_" &amp; YEAR(Returns!$A80)</f>
        <v>Q1_1900</v>
      </c>
      <c r="D80" s="80"/>
      <c r="E80" s="81"/>
      <c r="F80" s="82"/>
      <c r="G80" s="82"/>
      <c r="H80" s="82"/>
      <c r="I80" s="82"/>
      <c r="J80" s="82"/>
      <c r="K80" s="82"/>
      <c r="L80" s="85"/>
      <c r="M80" s="85"/>
      <c r="N80" s="82"/>
      <c r="O80" s="82"/>
      <c r="P80" s="110"/>
      <c r="Q80" s="110"/>
      <c r="R80" s="82"/>
      <c r="S80" s="82"/>
    </row>
    <row r="81" spans="1:19" ht="14.25" customHeight="1" x14ac:dyDescent="0.25">
      <c r="A81" s="108"/>
      <c r="B81" s="109"/>
      <c r="C81" s="78" t="str">
        <f>"Q" &amp; CHOOSE(MONTH(Returns!$A81), "1", "1", "1", "2", "2", "2", "3", "3", "3", "4", "4", "4") &amp; "_" &amp; YEAR(Returns!$A81)</f>
        <v>Q1_1900</v>
      </c>
      <c r="D81" s="80"/>
      <c r="E81" s="81"/>
      <c r="F81" s="82"/>
      <c r="G81" s="82"/>
      <c r="H81" s="82"/>
      <c r="I81" s="82"/>
      <c r="J81" s="82"/>
      <c r="K81" s="82"/>
      <c r="L81" s="85"/>
      <c r="M81" s="85"/>
      <c r="N81" s="82"/>
      <c r="O81" s="82"/>
      <c r="P81" s="110"/>
      <c r="Q81" s="110"/>
      <c r="R81" s="82"/>
      <c r="S81" s="82"/>
    </row>
    <row r="82" spans="1:19" ht="14.25" customHeight="1" x14ac:dyDescent="0.25">
      <c r="A82" s="108"/>
      <c r="B82" s="109"/>
      <c r="C82" s="78" t="str">
        <f>"Q" &amp; CHOOSE(MONTH(Returns!$A82), "1", "1", "1", "2", "2", "2", "3", "3", "3", "4", "4", "4") &amp; "_" &amp; YEAR(Returns!$A82)</f>
        <v>Q1_1900</v>
      </c>
      <c r="D82" s="80"/>
      <c r="E82" s="81"/>
      <c r="F82" s="82"/>
      <c r="G82" s="82"/>
      <c r="H82" s="82"/>
      <c r="I82" s="82"/>
      <c r="J82" s="82"/>
      <c r="K82" s="82"/>
      <c r="L82" s="85"/>
      <c r="M82" s="85"/>
      <c r="N82" s="82"/>
      <c r="O82" s="82"/>
      <c r="P82" s="110"/>
      <c r="Q82" s="110"/>
      <c r="R82" s="82"/>
      <c r="S82" s="82"/>
    </row>
    <row r="83" spans="1:19" ht="14.25" customHeight="1" x14ac:dyDescent="0.25">
      <c r="A83" s="108"/>
      <c r="B83" s="109"/>
      <c r="C83" s="78" t="str">
        <f>"Q" &amp; CHOOSE(MONTH(Returns!$A83), "1", "1", "1", "2", "2", "2", "3", "3", "3", "4", "4", "4") &amp; "_" &amp; YEAR(Returns!$A83)</f>
        <v>Q1_1900</v>
      </c>
      <c r="D83" s="80"/>
      <c r="E83" s="81"/>
      <c r="F83" s="82"/>
      <c r="G83" s="82"/>
      <c r="H83" s="82"/>
      <c r="I83" s="82"/>
      <c r="J83" s="82"/>
      <c r="K83" s="82"/>
      <c r="L83" s="85"/>
      <c r="M83" s="85"/>
      <c r="N83" s="82"/>
      <c r="O83" s="82"/>
      <c r="P83" s="110"/>
      <c r="Q83" s="110"/>
      <c r="R83" s="82"/>
      <c r="S83" s="82"/>
    </row>
    <row r="84" spans="1:19" ht="14.25" customHeight="1" x14ac:dyDescent="0.25">
      <c r="A84" s="108"/>
      <c r="B84" s="109"/>
      <c r="C84" s="78" t="str">
        <f>"Q" &amp; CHOOSE(MONTH(Returns!$A84), "1", "1", "1", "2", "2", "2", "3", "3", "3", "4", "4", "4") &amp; "_" &amp; YEAR(Returns!$A84)</f>
        <v>Q1_1900</v>
      </c>
      <c r="D84" s="80"/>
      <c r="E84" s="81"/>
      <c r="F84" s="82"/>
      <c r="G84" s="82"/>
      <c r="H84" s="82"/>
      <c r="I84" s="82"/>
      <c r="J84" s="82"/>
      <c r="K84" s="82"/>
      <c r="L84" s="85"/>
      <c r="M84" s="85"/>
      <c r="N84" s="82"/>
      <c r="O84" s="82"/>
      <c r="P84" s="110"/>
      <c r="Q84" s="110"/>
      <c r="R84" s="82"/>
      <c r="S84" s="82"/>
    </row>
    <row r="85" spans="1:19" ht="14.25" customHeight="1" x14ac:dyDescent="0.25">
      <c r="A85" s="108"/>
      <c r="B85" s="109"/>
      <c r="C85" s="78" t="str">
        <f>"Q" &amp; CHOOSE(MONTH(Returns!$A85), "1", "1", "1", "2", "2", "2", "3", "3", "3", "4", "4", "4") &amp; "_" &amp; YEAR(Returns!$A85)</f>
        <v>Q1_1900</v>
      </c>
      <c r="D85" s="80"/>
      <c r="E85" s="81"/>
      <c r="F85" s="82"/>
      <c r="G85" s="82"/>
      <c r="H85" s="82"/>
      <c r="I85" s="82"/>
      <c r="J85" s="82"/>
      <c r="K85" s="82"/>
      <c r="L85" s="85"/>
      <c r="M85" s="85"/>
      <c r="N85" s="82"/>
      <c r="O85" s="82"/>
      <c r="P85" s="110"/>
      <c r="Q85" s="110"/>
      <c r="R85" s="82"/>
      <c r="S85" s="82"/>
    </row>
    <row r="86" spans="1:19" ht="14.25" customHeight="1" x14ac:dyDescent="0.25">
      <c r="A86" s="108"/>
      <c r="B86" s="109"/>
      <c r="C86" s="78" t="str">
        <f>"Q" &amp; CHOOSE(MONTH(Returns!$A86), "1", "1", "1", "2", "2", "2", "3", "3", "3", "4", "4", "4") &amp; "_" &amp; YEAR(Returns!$A86)</f>
        <v>Q1_1900</v>
      </c>
      <c r="D86" s="80"/>
      <c r="E86" s="81"/>
      <c r="F86" s="82"/>
      <c r="G86" s="82"/>
      <c r="H86" s="82"/>
      <c r="I86" s="82"/>
      <c r="J86" s="82"/>
      <c r="K86" s="82"/>
      <c r="L86" s="85"/>
      <c r="M86" s="85"/>
      <c r="N86" s="82"/>
      <c r="O86" s="82"/>
      <c r="P86" s="110"/>
      <c r="Q86" s="110"/>
      <c r="R86" s="82"/>
      <c r="S86" s="82"/>
    </row>
    <row r="87" spans="1:19" ht="14.25" customHeight="1" x14ac:dyDescent="0.25">
      <c r="A87" s="108"/>
      <c r="B87" s="109"/>
      <c r="C87" s="78" t="str">
        <f>"Q" &amp; CHOOSE(MONTH(Returns!$A87), "1", "1", "1", "2", "2", "2", "3", "3", "3", "4", "4", "4") &amp; "_" &amp; YEAR(Returns!$A87)</f>
        <v>Q1_1900</v>
      </c>
      <c r="D87" s="80"/>
      <c r="E87" s="81"/>
      <c r="F87" s="82"/>
      <c r="G87" s="82"/>
      <c r="H87" s="82"/>
      <c r="I87" s="82"/>
      <c r="J87" s="82"/>
      <c r="K87" s="82"/>
      <c r="L87" s="85"/>
      <c r="M87" s="85"/>
      <c r="N87" s="82"/>
      <c r="O87" s="82"/>
      <c r="P87" s="110"/>
      <c r="Q87" s="110"/>
      <c r="R87" s="82"/>
      <c r="S87" s="82"/>
    </row>
    <row r="88" spans="1:19" ht="14.25" customHeight="1" x14ac:dyDescent="0.25">
      <c r="A88" s="108"/>
      <c r="B88" s="109"/>
      <c r="C88" s="78" t="str">
        <f>"Q" &amp; CHOOSE(MONTH(Returns!$A88), "1", "1", "1", "2", "2", "2", "3", "3", "3", "4", "4", "4") &amp; "_" &amp; YEAR(Returns!$A88)</f>
        <v>Q1_1900</v>
      </c>
      <c r="D88" s="80"/>
      <c r="E88" s="81"/>
      <c r="F88" s="82"/>
      <c r="G88" s="82"/>
      <c r="H88" s="82"/>
      <c r="I88" s="82"/>
      <c r="J88" s="82"/>
      <c r="K88" s="82"/>
      <c r="L88" s="85"/>
      <c r="M88" s="85"/>
      <c r="N88" s="82"/>
      <c r="O88" s="82"/>
      <c r="P88" s="110"/>
      <c r="Q88" s="110"/>
      <c r="R88" s="82"/>
      <c r="S88" s="82"/>
    </row>
    <row r="89" spans="1:19" ht="14.25" customHeight="1" x14ac:dyDescent="0.25">
      <c r="A89" s="108"/>
      <c r="B89" s="109"/>
      <c r="C89" s="78" t="str">
        <f>"Q" &amp; CHOOSE(MONTH(Returns!$A89), "1", "1", "1", "2", "2", "2", "3", "3", "3", "4", "4", "4") &amp; "_" &amp; YEAR(Returns!$A89)</f>
        <v>Q1_1900</v>
      </c>
      <c r="D89" s="80"/>
      <c r="E89" s="81"/>
      <c r="F89" s="82"/>
      <c r="G89" s="82"/>
      <c r="H89" s="82"/>
      <c r="I89" s="82"/>
      <c r="J89" s="82"/>
      <c r="K89" s="82"/>
      <c r="L89" s="85"/>
      <c r="M89" s="85"/>
      <c r="N89" s="82"/>
      <c r="O89" s="82"/>
      <c r="P89" s="110"/>
      <c r="Q89" s="110"/>
      <c r="R89" s="82"/>
      <c r="S89" s="82"/>
    </row>
    <row r="90" spans="1:19" ht="14.25" customHeight="1" x14ac:dyDescent="0.25">
      <c r="A90" s="108"/>
      <c r="B90" s="109"/>
      <c r="C90" s="78" t="str">
        <f>"Q" &amp; CHOOSE(MONTH(Returns!$A90), "1", "1", "1", "2", "2", "2", "3", "3", "3", "4", "4", "4") &amp; "_" &amp; YEAR(Returns!$A90)</f>
        <v>Q1_1900</v>
      </c>
      <c r="D90" s="80"/>
      <c r="E90" s="81"/>
      <c r="F90" s="82"/>
      <c r="G90" s="82"/>
      <c r="H90" s="82"/>
      <c r="I90" s="82"/>
      <c r="J90" s="82"/>
      <c r="K90" s="82"/>
      <c r="L90" s="85"/>
      <c r="M90" s="85"/>
      <c r="N90" s="82"/>
      <c r="O90" s="82"/>
      <c r="P90" s="110"/>
      <c r="Q90" s="110"/>
      <c r="R90" s="82"/>
      <c r="S90" s="82"/>
    </row>
    <row r="91" spans="1:19" ht="14.25" customHeight="1" x14ac:dyDescent="0.25">
      <c r="A91" s="108"/>
      <c r="B91" s="109"/>
      <c r="C91" s="78" t="str">
        <f>"Q" &amp; CHOOSE(MONTH(Returns!$A91), "1", "1", "1", "2", "2", "2", "3", "3", "3", "4", "4", "4") &amp; "_" &amp; YEAR(Returns!$A91)</f>
        <v>Q1_1900</v>
      </c>
      <c r="D91" s="80"/>
      <c r="E91" s="81"/>
      <c r="F91" s="82"/>
      <c r="G91" s="82"/>
      <c r="H91" s="82"/>
      <c r="I91" s="82"/>
      <c r="J91" s="82"/>
      <c r="K91" s="82"/>
      <c r="L91" s="85"/>
      <c r="M91" s="85"/>
      <c r="N91" s="82"/>
      <c r="O91" s="82"/>
      <c r="P91" s="110"/>
      <c r="Q91" s="110"/>
      <c r="R91" s="82"/>
      <c r="S91" s="82"/>
    </row>
    <row r="92" spans="1:19" ht="14.25" customHeight="1" x14ac:dyDescent="0.25">
      <c r="A92" s="108"/>
      <c r="B92" s="109"/>
      <c r="C92" s="78" t="str">
        <f>"Q" &amp; CHOOSE(MONTH(Returns!$A92), "1", "1", "1", "2", "2", "2", "3", "3", "3", "4", "4", "4") &amp; "_" &amp; YEAR(Returns!$A92)</f>
        <v>Q1_1900</v>
      </c>
      <c r="D92" s="80"/>
      <c r="E92" s="81"/>
      <c r="F92" s="82"/>
      <c r="G92" s="82"/>
      <c r="H92" s="82"/>
      <c r="I92" s="82"/>
      <c r="J92" s="82"/>
      <c r="K92" s="82"/>
      <c r="L92" s="85"/>
      <c r="M92" s="85"/>
      <c r="N92" s="82"/>
      <c r="O92" s="82"/>
      <c r="P92" s="110"/>
      <c r="Q92" s="110"/>
      <c r="R92" s="82"/>
      <c r="S92" s="82"/>
    </row>
    <row r="93" spans="1:19" ht="14.25" customHeight="1" x14ac:dyDescent="0.25">
      <c r="A93" s="108"/>
      <c r="B93" s="109"/>
      <c r="C93" s="78" t="str">
        <f>"Q" &amp; CHOOSE(MONTH(Returns!$A93), "1", "1", "1", "2", "2", "2", "3", "3", "3", "4", "4", "4") &amp; "_" &amp; YEAR(Returns!$A93)</f>
        <v>Q1_1900</v>
      </c>
      <c r="D93" s="80"/>
      <c r="E93" s="81"/>
      <c r="F93" s="82"/>
      <c r="G93" s="82"/>
      <c r="H93" s="82"/>
      <c r="I93" s="82"/>
      <c r="J93" s="82"/>
      <c r="K93" s="82"/>
      <c r="L93" s="85"/>
      <c r="M93" s="85"/>
      <c r="N93" s="82"/>
      <c r="O93" s="82"/>
      <c r="P93" s="110"/>
      <c r="Q93" s="110"/>
      <c r="R93" s="82"/>
      <c r="S93" s="82"/>
    </row>
    <row r="94" spans="1:19" ht="14.25" customHeight="1" x14ac:dyDescent="0.25">
      <c r="A94" s="108"/>
      <c r="B94" s="109"/>
      <c r="C94" s="78" t="str">
        <f>"Q" &amp; CHOOSE(MONTH(Returns!$A94), "1", "1", "1", "2", "2", "2", "3", "3", "3", "4", "4", "4") &amp; "_" &amp; YEAR(Returns!$A94)</f>
        <v>Q1_1900</v>
      </c>
      <c r="D94" s="80"/>
      <c r="E94" s="81"/>
      <c r="F94" s="82"/>
      <c r="G94" s="82"/>
      <c r="H94" s="82"/>
      <c r="I94" s="82"/>
      <c r="J94" s="82"/>
      <c r="K94" s="82"/>
      <c r="L94" s="85"/>
      <c r="M94" s="85"/>
      <c r="N94" s="82"/>
      <c r="O94" s="82"/>
      <c r="P94" s="110"/>
      <c r="Q94" s="110"/>
      <c r="R94" s="82"/>
      <c r="S94" s="82"/>
    </row>
    <row r="95" spans="1:19" ht="14.25" customHeight="1" x14ac:dyDescent="0.25">
      <c r="A95" s="108"/>
      <c r="B95" s="109"/>
      <c r="C95" s="78" t="str">
        <f>"Q" &amp; CHOOSE(MONTH(Returns!$A95), "1", "1", "1", "2", "2", "2", "3", "3", "3", "4", "4", "4") &amp; "_" &amp; YEAR(Returns!$A95)</f>
        <v>Q1_1900</v>
      </c>
      <c r="D95" s="80"/>
      <c r="E95" s="81"/>
      <c r="F95" s="82"/>
      <c r="G95" s="82"/>
      <c r="H95" s="82"/>
      <c r="I95" s="82"/>
      <c r="J95" s="82"/>
      <c r="K95" s="82"/>
      <c r="L95" s="85"/>
      <c r="M95" s="85"/>
      <c r="N95" s="82"/>
      <c r="O95" s="82"/>
      <c r="P95" s="110"/>
      <c r="Q95" s="110"/>
      <c r="R95" s="82"/>
      <c r="S95" s="82"/>
    </row>
    <row r="96" spans="1:19" ht="14.25" customHeight="1" x14ac:dyDescent="0.25">
      <c r="A96" s="108"/>
      <c r="B96" s="109"/>
      <c r="C96" s="78" t="str">
        <f>"Q" &amp; CHOOSE(MONTH(Returns!$A96), "1", "1", "1", "2", "2", "2", "3", "3", "3", "4", "4", "4") &amp; "_" &amp; YEAR(Returns!$A96)</f>
        <v>Q1_1900</v>
      </c>
      <c r="D96" s="80"/>
      <c r="E96" s="81"/>
      <c r="F96" s="82"/>
      <c r="G96" s="82"/>
      <c r="H96" s="82"/>
      <c r="I96" s="82"/>
      <c r="J96" s="82"/>
      <c r="K96" s="82"/>
      <c r="L96" s="85"/>
      <c r="M96" s="85"/>
      <c r="N96" s="82"/>
      <c r="O96" s="82"/>
      <c r="P96" s="110"/>
      <c r="Q96" s="110"/>
      <c r="R96" s="82"/>
      <c r="S96" s="82"/>
    </row>
    <row r="97" spans="1:19" ht="14.25" customHeight="1" x14ac:dyDescent="0.25">
      <c r="A97" s="108"/>
      <c r="B97" s="109"/>
      <c r="C97" s="78" t="str">
        <f>"Q" &amp; CHOOSE(MONTH(Returns!$A97), "1", "1", "1", "2", "2", "2", "3", "3", "3", "4", "4", "4") &amp; "_" &amp; YEAR(Returns!$A97)</f>
        <v>Q1_1900</v>
      </c>
      <c r="D97" s="80"/>
      <c r="E97" s="81"/>
      <c r="F97" s="82"/>
      <c r="G97" s="82"/>
      <c r="H97" s="82"/>
      <c r="I97" s="82"/>
      <c r="J97" s="82"/>
      <c r="K97" s="82"/>
      <c r="L97" s="85"/>
      <c r="M97" s="85"/>
      <c r="N97" s="82"/>
      <c r="O97" s="82"/>
      <c r="P97" s="110"/>
      <c r="Q97" s="110"/>
      <c r="R97" s="82"/>
      <c r="S97" s="82"/>
    </row>
    <row r="98" spans="1:19" ht="14.25" customHeight="1" x14ac:dyDescent="0.25">
      <c r="A98" s="108"/>
      <c r="B98" s="109"/>
      <c r="C98" s="78" t="str">
        <f>"Q" &amp; CHOOSE(MONTH(Returns!$A98), "1", "1", "1", "2", "2", "2", "3", "3", "3", "4", "4", "4") &amp; "_" &amp; YEAR(Returns!$A98)</f>
        <v>Q1_1900</v>
      </c>
      <c r="D98" s="80"/>
      <c r="E98" s="81"/>
      <c r="F98" s="82"/>
      <c r="G98" s="82"/>
      <c r="H98" s="82"/>
      <c r="I98" s="82"/>
      <c r="J98" s="82"/>
      <c r="K98" s="82"/>
      <c r="L98" s="85"/>
      <c r="M98" s="85"/>
      <c r="N98" s="82"/>
      <c r="O98" s="82"/>
      <c r="P98" s="110"/>
      <c r="Q98" s="110"/>
      <c r="R98" s="82"/>
      <c r="S98" s="82"/>
    </row>
    <row r="99" spans="1:19" ht="14.25" customHeight="1" x14ac:dyDescent="0.25">
      <c r="A99" s="108"/>
      <c r="B99" s="109"/>
      <c r="C99" s="78" t="str">
        <f>"Q" &amp; CHOOSE(MONTH(Returns!$A99), "1", "1", "1", "2", "2", "2", "3", "3", "3", "4", "4", "4") &amp; "_" &amp; YEAR(Returns!$A99)</f>
        <v>Q1_1900</v>
      </c>
      <c r="D99" s="80"/>
      <c r="E99" s="81"/>
      <c r="F99" s="82"/>
      <c r="G99" s="82"/>
      <c r="H99" s="82"/>
      <c r="I99" s="82"/>
      <c r="J99" s="82"/>
      <c r="K99" s="82"/>
      <c r="L99" s="85"/>
      <c r="M99" s="85"/>
      <c r="N99" s="82"/>
      <c r="O99" s="82"/>
      <c r="P99" s="110"/>
      <c r="Q99" s="110"/>
      <c r="R99" s="82"/>
      <c r="S99" s="82"/>
    </row>
    <row r="100" spans="1:19" ht="14.25" customHeight="1" x14ac:dyDescent="0.25">
      <c r="A100" s="108"/>
      <c r="B100" s="109"/>
      <c r="C100" s="78" t="str">
        <f>"Q" &amp; CHOOSE(MONTH(Returns!$A100), "1", "1", "1", "2", "2", "2", "3", "3", "3", "4", "4", "4") &amp; "_" &amp; YEAR(Returns!$A100)</f>
        <v>Q1_1900</v>
      </c>
      <c r="D100" s="80"/>
      <c r="E100" s="81"/>
      <c r="F100" s="82"/>
      <c r="G100" s="82"/>
      <c r="H100" s="82"/>
      <c r="I100" s="82"/>
      <c r="J100" s="82"/>
      <c r="K100" s="82"/>
      <c r="L100" s="85"/>
      <c r="M100" s="85"/>
      <c r="N100" s="82"/>
      <c r="O100" s="82"/>
      <c r="P100" s="110"/>
      <c r="Q100" s="110"/>
      <c r="R100" s="82"/>
      <c r="S100" s="82"/>
    </row>
    <row r="101" spans="1:19" ht="14.25" customHeight="1" x14ac:dyDescent="0.25">
      <c r="A101" s="108"/>
      <c r="B101" s="109"/>
      <c r="C101" s="78" t="str">
        <f>"Q" &amp; CHOOSE(MONTH(Returns!$A101), "1", "1", "1", "2", "2", "2", "3", "3", "3", "4", "4", "4") &amp; "_" &amp; YEAR(Returns!$A101)</f>
        <v>Q1_1900</v>
      </c>
      <c r="D101" s="80"/>
      <c r="E101" s="81"/>
      <c r="F101" s="82"/>
      <c r="G101" s="82"/>
      <c r="H101" s="82"/>
      <c r="I101" s="82"/>
      <c r="J101" s="82"/>
      <c r="K101" s="82"/>
      <c r="L101" s="85"/>
      <c r="M101" s="85"/>
      <c r="N101" s="82"/>
      <c r="O101" s="82"/>
      <c r="P101" s="110"/>
      <c r="Q101" s="110"/>
      <c r="R101" s="82"/>
      <c r="S101" s="82"/>
    </row>
    <row r="102" spans="1:19" ht="14.25" customHeight="1" x14ac:dyDescent="0.25">
      <c r="A102" s="108"/>
      <c r="B102" s="109"/>
      <c r="C102" s="78" t="str">
        <f>"Q" &amp; CHOOSE(MONTH(Returns!$A102), "1", "1", "1", "2", "2", "2", "3", "3", "3", "4", "4", "4") &amp; "_" &amp; YEAR(Returns!$A102)</f>
        <v>Q1_1900</v>
      </c>
      <c r="D102" s="80"/>
      <c r="E102" s="81"/>
      <c r="F102" s="82"/>
      <c r="G102" s="82"/>
      <c r="H102" s="82"/>
      <c r="I102" s="82"/>
      <c r="J102" s="82"/>
      <c r="K102" s="82"/>
      <c r="L102" s="85"/>
      <c r="M102" s="85"/>
      <c r="N102" s="82"/>
      <c r="O102" s="82"/>
      <c r="P102" s="110"/>
      <c r="Q102" s="110"/>
      <c r="R102" s="82"/>
      <c r="S102" s="82"/>
    </row>
    <row r="103" spans="1:19" ht="14.25" customHeight="1" x14ac:dyDescent="0.25">
      <c r="A103" s="108"/>
      <c r="B103" s="109"/>
      <c r="C103" s="78" t="str">
        <f>"Q" &amp; CHOOSE(MONTH(Returns!$A103), "1", "1", "1", "2", "2", "2", "3", "3", "3", "4", "4", "4") &amp; "_" &amp; YEAR(Returns!$A103)</f>
        <v>Q1_1900</v>
      </c>
      <c r="D103" s="80"/>
      <c r="E103" s="81"/>
      <c r="F103" s="82"/>
      <c r="G103" s="82"/>
      <c r="H103" s="82"/>
      <c r="I103" s="82"/>
      <c r="J103" s="82"/>
      <c r="K103" s="82"/>
      <c r="L103" s="85"/>
      <c r="M103" s="85"/>
      <c r="N103" s="82"/>
      <c r="O103" s="82"/>
      <c r="P103" s="110"/>
      <c r="Q103" s="110"/>
      <c r="R103" s="82"/>
      <c r="S103" s="82"/>
    </row>
    <row r="104" spans="1:19" ht="14.25" customHeight="1" x14ac:dyDescent="0.25">
      <c r="A104" s="108"/>
      <c r="B104" s="109"/>
      <c r="C104" s="78" t="str">
        <f>"Q" &amp; CHOOSE(MONTH(Returns!$A104), "1", "1", "1", "2", "2", "2", "3", "3", "3", "4", "4", "4") &amp; "_" &amp; YEAR(Returns!$A104)</f>
        <v>Q1_1900</v>
      </c>
      <c r="D104" s="80"/>
      <c r="E104" s="81"/>
      <c r="F104" s="82"/>
      <c r="G104" s="82"/>
      <c r="H104" s="82"/>
      <c r="I104" s="82"/>
      <c r="J104" s="82"/>
      <c r="K104" s="82"/>
      <c r="L104" s="85"/>
      <c r="M104" s="85"/>
      <c r="N104" s="82"/>
      <c r="O104" s="82"/>
      <c r="P104" s="110"/>
      <c r="Q104" s="110"/>
      <c r="R104" s="82"/>
      <c r="S104" s="82"/>
    </row>
    <row r="105" spans="1:19" ht="14.25" customHeight="1" x14ac:dyDescent="0.25">
      <c r="A105" s="108"/>
      <c r="B105" s="109"/>
      <c r="C105" s="78" t="str">
        <f>"Q" &amp; CHOOSE(MONTH(Returns!$A105), "1", "1", "1", "2", "2", "2", "3", "3", "3", "4", "4", "4") &amp; "_" &amp; YEAR(Returns!$A105)</f>
        <v>Q1_1900</v>
      </c>
      <c r="D105" s="80"/>
      <c r="E105" s="81"/>
      <c r="F105" s="82"/>
      <c r="G105" s="82"/>
      <c r="H105" s="82"/>
      <c r="I105" s="82"/>
      <c r="J105" s="82"/>
      <c r="K105" s="82"/>
      <c r="L105" s="85"/>
      <c r="M105" s="85"/>
      <c r="N105" s="82"/>
      <c r="O105" s="82"/>
      <c r="P105" s="110"/>
      <c r="Q105" s="110"/>
      <c r="R105" s="82"/>
      <c r="S105" s="82"/>
    </row>
    <row r="106" spans="1:19" ht="14.25" customHeight="1" x14ac:dyDescent="0.25">
      <c r="A106" s="108"/>
      <c r="B106" s="109"/>
      <c r="C106" s="78" t="str">
        <f>"Q" &amp; CHOOSE(MONTH(Returns!$A106), "1", "1", "1", "2", "2", "2", "3", "3", "3", "4", "4", "4") &amp; "_" &amp; YEAR(Returns!$A106)</f>
        <v>Q1_1900</v>
      </c>
      <c r="D106" s="80"/>
      <c r="E106" s="81"/>
      <c r="F106" s="82"/>
      <c r="G106" s="82"/>
      <c r="H106" s="82"/>
      <c r="I106" s="82"/>
      <c r="J106" s="82"/>
      <c r="K106" s="82"/>
      <c r="L106" s="85"/>
      <c r="M106" s="85"/>
      <c r="N106" s="82"/>
      <c r="O106" s="82"/>
      <c r="P106" s="110"/>
      <c r="Q106" s="110"/>
      <c r="R106" s="82"/>
      <c r="S106" s="82"/>
    </row>
    <row r="107" spans="1:19" ht="14.25" customHeight="1" x14ac:dyDescent="0.25">
      <c r="A107" s="108"/>
      <c r="B107" s="109"/>
      <c r="C107" s="78" t="str">
        <f>"Q" &amp; CHOOSE(MONTH(Returns!$A107), "1", "1", "1", "2", "2", "2", "3", "3", "3", "4", "4", "4") &amp; "_" &amp; YEAR(Returns!$A107)</f>
        <v>Q1_1900</v>
      </c>
      <c r="D107" s="80"/>
      <c r="E107" s="81"/>
      <c r="F107" s="82"/>
      <c r="G107" s="82"/>
      <c r="H107" s="82"/>
      <c r="I107" s="82"/>
      <c r="J107" s="82"/>
      <c r="K107" s="82"/>
      <c r="L107" s="85"/>
      <c r="M107" s="85"/>
      <c r="N107" s="82"/>
      <c r="O107" s="82"/>
      <c r="P107" s="110"/>
      <c r="Q107" s="110"/>
      <c r="R107" s="82"/>
      <c r="S107" s="82"/>
    </row>
    <row r="108" spans="1:19" ht="14.25" customHeight="1" x14ac:dyDescent="0.25">
      <c r="A108" s="108"/>
      <c r="B108" s="109"/>
      <c r="C108" s="78" t="str">
        <f>"Q" &amp; CHOOSE(MONTH(Returns!$A108), "1", "1", "1", "2", "2", "2", "3", "3", "3", "4", "4", "4") &amp; "_" &amp; YEAR(Returns!$A108)</f>
        <v>Q1_1900</v>
      </c>
      <c r="D108" s="80"/>
      <c r="E108" s="81"/>
      <c r="F108" s="82"/>
      <c r="G108" s="82"/>
      <c r="H108" s="82"/>
      <c r="I108" s="82"/>
      <c r="J108" s="82"/>
      <c r="K108" s="82"/>
      <c r="L108" s="85"/>
      <c r="M108" s="85"/>
      <c r="N108" s="82"/>
      <c r="O108" s="82"/>
      <c r="P108" s="110"/>
      <c r="Q108" s="110"/>
      <c r="R108" s="82"/>
      <c r="S108" s="82"/>
    </row>
    <row r="109" spans="1:19" ht="14.25" customHeight="1" x14ac:dyDescent="0.25">
      <c r="A109" s="108"/>
      <c r="B109" s="109"/>
      <c r="C109" s="78" t="str">
        <f>"Q" &amp; CHOOSE(MONTH(Returns!$A109), "1", "1", "1", "2", "2", "2", "3", "3", "3", "4", "4", "4") &amp; "_" &amp; YEAR(Returns!$A109)</f>
        <v>Q1_1900</v>
      </c>
      <c r="D109" s="80"/>
      <c r="E109" s="81"/>
      <c r="F109" s="82"/>
      <c r="G109" s="82"/>
      <c r="H109" s="82"/>
      <c r="I109" s="82"/>
      <c r="J109" s="82"/>
      <c r="K109" s="82"/>
      <c r="L109" s="85"/>
      <c r="M109" s="85"/>
      <c r="N109" s="82"/>
      <c r="O109" s="82"/>
      <c r="P109" s="110"/>
      <c r="Q109" s="110"/>
      <c r="R109" s="82"/>
      <c r="S109" s="82"/>
    </row>
    <row r="110" spans="1:19" ht="14.25" customHeight="1" x14ac:dyDescent="0.25">
      <c r="A110" s="108"/>
      <c r="B110" s="109"/>
      <c r="C110" s="78" t="str">
        <f>"Q" &amp; CHOOSE(MONTH(Returns!$A110), "1", "1", "1", "2", "2", "2", "3", "3", "3", "4", "4", "4") &amp; "_" &amp; YEAR(Returns!$A110)</f>
        <v>Q1_1900</v>
      </c>
      <c r="D110" s="80"/>
      <c r="E110" s="81"/>
      <c r="F110" s="82"/>
      <c r="G110" s="82"/>
      <c r="H110" s="82"/>
      <c r="I110" s="82"/>
      <c r="J110" s="82"/>
      <c r="K110" s="82"/>
      <c r="L110" s="85"/>
      <c r="M110" s="85"/>
      <c r="N110" s="82"/>
      <c r="O110" s="82"/>
      <c r="P110" s="110"/>
      <c r="Q110" s="110"/>
      <c r="R110" s="82"/>
      <c r="S110" s="82"/>
    </row>
    <row r="111" spans="1:19" ht="14.25" customHeight="1" x14ac:dyDescent="0.25">
      <c r="A111" s="108"/>
      <c r="B111" s="109"/>
      <c r="C111" s="78" t="str">
        <f>"Q" &amp; CHOOSE(MONTH(Returns!$A111), "1", "1", "1", "2", "2", "2", "3", "3", "3", "4", "4", "4") &amp; "_" &amp; YEAR(Returns!$A111)</f>
        <v>Q1_1900</v>
      </c>
      <c r="D111" s="80"/>
      <c r="E111" s="81"/>
      <c r="F111" s="82"/>
      <c r="G111" s="82"/>
      <c r="H111" s="82"/>
      <c r="I111" s="82"/>
      <c r="J111" s="82"/>
      <c r="K111" s="82"/>
      <c r="L111" s="85"/>
      <c r="M111" s="85"/>
      <c r="N111" s="82"/>
      <c r="O111" s="82"/>
      <c r="P111" s="110"/>
      <c r="Q111" s="110"/>
      <c r="R111" s="82"/>
      <c r="S111" s="82"/>
    </row>
    <row r="112" spans="1:19" ht="14.25" customHeight="1" x14ac:dyDescent="0.25">
      <c r="A112" s="108"/>
      <c r="B112" s="109"/>
      <c r="C112" s="78" t="str">
        <f>"Q" &amp; CHOOSE(MONTH(Returns!$A112), "1", "1", "1", "2", "2", "2", "3", "3", "3", "4", "4", "4") &amp; "_" &amp; YEAR(Returns!$A112)</f>
        <v>Q1_1900</v>
      </c>
      <c r="D112" s="80"/>
      <c r="E112" s="81"/>
      <c r="F112" s="82"/>
      <c r="G112" s="82"/>
      <c r="H112" s="82"/>
      <c r="I112" s="82"/>
      <c r="J112" s="82"/>
      <c r="K112" s="82"/>
      <c r="L112" s="85"/>
      <c r="M112" s="85"/>
      <c r="N112" s="82"/>
      <c r="O112" s="82"/>
      <c r="P112" s="110"/>
      <c r="Q112" s="110"/>
      <c r="R112" s="82"/>
      <c r="S112" s="82"/>
    </row>
    <row r="113" spans="1:19" ht="14.25" customHeight="1" x14ac:dyDescent="0.25">
      <c r="A113" s="108"/>
      <c r="B113" s="109"/>
      <c r="C113" s="78" t="str">
        <f>"Q" &amp; CHOOSE(MONTH(Returns!$A113), "1", "1", "1", "2", "2", "2", "3", "3", "3", "4", "4", "4") &amp; "_" &amp; YEAR(Returns!$A113)</f>
        <v>Q1_1900</v>
      </c>
      <c r="D113" s="80"/>
      <c r="E113" s="81"/>
      <c r="F113" s="82"/>
      <c r="G113" s="82"/>
      <c r="H113" s="82"/>
      <c r="I113" s="82"/>
      <c r="J113" s="82"/>
      <c r="K113" s="82"/>
      <c r="L113" s="85"/>
      <c r="M113" s="85"/>
      <c r="N113" s="82"/>
      <c r="O113" s="82"/>
      <c r="P113" s="110"/>
      <c r="Q113" s="110"/>
      <c r="R113" s="82"/>
      <c r="S113" s="82"/>
    </row>
    <row r="114" spans="1:19" ht="14.25" customHeight="1" x14ac:dyDescent="0.25">
      <c r="A114" s="108"/>
      <c r="B114" s="109"/>
      <c r="C114" s="78" t="str">
        <f>"Q" &amp; CHOOSE(MONTH(Returns!$A114), "1", "1", "1", "2", "2", "2", "3", "3", "3", "4", "4", "4") &amp; "_" &amp; YEAR(Returns!$A114)</f>
        <v>Q1_1900</v>
      </c>
      <c r="D114" s="80"/>
      <c r="E114" s="81"/>
      <c r="F114" s="82"/>
      <c r="G114" s="82"/>
      <c r="H114" s="82"/>
      <c r="I114" s="82"/>
      <c r="J114" s="82"/>
      <c r="K114" s="82"/>
      <c r="L114" s="85"/>
      <c r="M114" s="85"/>
      <c r="N114" s="82"/>
      <c r="O114" s="82"/>
      <c r="P114" s="110"/>
      <c r="Q114" s="110"/>
      <c r="R114" s="82"/>
      <c r="S114" s="82"/>
    </row>
    <row r="115" spans="1:19" ht="14.25" customHeight="1" x14ac:dyDescent="0.25">
      <c r="A115" s="108"/>
      <c r="B115" s="109"/>
      <c r="C115" s="78" t="str">
        <f>"Q" &amp; CHOOSE(MONTH(Returns!$A115), "1", "1", "1", "2", "2", "2", "3", "3", "3", "4", "4", "4") &amp; "_" &amp; YEAR(Returns!$A115)</f>
        <v>Q1_1900</v>
      </c>
      <c r="D115" s="80"/>
      <c r="E115" s="81"/>
      <c r="F115" s="82"/>
      <c r="G115" s="82"/>
      <c r="H115" s="82"/>
      <c r="I115" s="82"/>
      <c r="J115" s="82"/>
      <c r="K115" s="82"/>
      <c r="L115" s="85"/>
      <c r="M115" s="85"/>
      <c r="N115" s="82"/>
      <c r="O115" s="82"/>
      <c r="P115" s="110"/>
      <c r="Q115" s="110"/>
      <c r="R115" s="82"/>
      <c r="S115" s="82"/>
    </row>
    <row r="116" spans="1:19" ht="14.25" customHeight="1" x14ac:dyDescent="0.25">
      <c r="A116" s="108"/>
      <c r="B116" s="109"/>
      <c r="C116" s="78" t="str">
        <f>"Q" &amp; CHOOSE(MONTH(Returns!$A116), "1", "1", "1", "2", "2", "2", "3", "3", "3", "4", "4", "4") &amp; "_" &amp; YEAR(Returns!$A116)</f>
        <v>Q1_1900</v>
      </c>
      <c r="D116" s="80"/>
      <c r="E116" s="81"/>
      <c r="F116" s="82"/>
      <c r="G116" s="82"/>
      <c r="H116" s="82"/>
      <c r="I116" s="82"/>
      <c r="J116" s="82"/>
      <c r="K116" s="82"/>
      <c r="L116" s="85"/>
      <c r="M116" s="85"/>
      <c r="N116" s="82"/>
      <c r="O116" s="82"/>
      <c r="P116" s="110"/>
      <c r="Q116" s="110"/>
      <c r="R116" s="82"/>
      <c r="S116" s="82"/>
    </row>
    <row r="117" spans="1:19" ht="14.25" customHeight="1" x14ac:dyDescent="0.25">
      <c r="A117" s="108"/>
      <c r="B117" s="109"/>
      <c r="C117" s="78" t="str">
        <f>"Q" &amp; CHOOSE(MONTH(Returns!$A117), "1", "1", "1", "2", "2", "2", "3", "3", "3", "4", "4", "4") &amp; "_" &amp; YEAR(Returns!$A117)</f>
        <v>Q1_1900</v>
      </c>
      <c r="D117" s="80"/>
      <c r="E117" s="81"/>
      <c r="F117" s="82"/>
      <c r="G117" s="82"/>
      <c r="H117" s="82"/>
      <c r="I117" s="82"/>
      <c r="J117" s="82"/>
      <c r="K117" s="82"/>
      <c r="L117" s="85"/>
      <c r="M117" s="85"/>
      <c r="N117" s="82"/>
      <c r="O117" s="82"/>
      <c r="P117" s="110"/>
      <c r="Q117" s="110"/>
      <c r="R117" s="82"/>
      <c r="S117" s="82"/>
    </row>
    <row r="118" spans="1:19" ht="14.25" customHeight="1" x14ac:dyDescent="0.25">
      <c r="A118" s="108"/>
      <c r="B118" s="109"/>
      <c r="C118" s="78" t="str">
        <f>"Q" &amp; CHOOSE(MONTH(Returns!$A118), "1", "1", "1", "2", "2", "2", "3", "3", "3", "4", "4", "4") &amp; "_" &amp; YEAR(Returns!$A118)</f>
        <v>Q1_1900</v>
      </c>
      <c r="D118" s="80"/>
      <c r="E118" s="81"/>
      <c r="F118" s="82"/>
      <c r="G118" s="82"/>
      <c r="H118" s="82"/>
      <c r="I118" s="82"/>
      <c r="J118" s="82"/>
      <c r="K118" s="82"/>
      <c r="L118" s="85"/>
      <c r="M118" s="85"/>
      <c r="N118" s="82"/>
      <c r="O118" s="82"/>
      <c r="P118" s="110"/>
      <c r="Q118" s="110"/>
      <c r="R118" s="82"/>
      <c r="S118" s="82"/>
    </row>
    <row r="119" spans="1:19" ht="14.25" customHeight="1" x14ac:dyDescent="0.25">
      <c r="A119" s="108"/>
      <c r="B119" s="109"/>
      <c r="C119" s="78" t="str">
        <f>"Q" &amp; CHOOSE(MONTH(Returns!$A119), "1", "1", "1", "2", "2", "2", "3", "3", "3", "4", "4", "4") &amp; "_" &amp; YEAR(Returns!$A119)</f>
        <v>Q1_1900</v>
      </c>
      <c r="D119" s="80"/>
      <c r="E119" s="81"/>
      <c r="F119" s="82"/>
      <c r="G119" s="82"/>
      <c r="H119" s="82"/>
      <c r="I119" s="82"/>
      <c r="J119" s="82"/>
      <c r="K119" s="82"/>
      <c r="L119" s="85"/>
      <c r="M119" s="85"/>
      <c r="N119" s="82"/>
      <c r="O119" s="82"/>
      <c r="P119" s="110"/>
      <c r="Q119" s="110"/>
      <c r="R119" s="82"/>
      <c r="S119" s="82"/>
    </row>
    <row r="120" spans="1:19" ht="14.25" customHeight="1" x14ac:dyDescent="0.25">
      <c r="A120" s="108"/>
      <c r="B120" s="109"/>
      <c r="C120" s="78" t="str">
        <f>"Q" &amp; CHOOSE(MONTH(Returns!$A120), "1", "1", "1", "2", "2", "2", "3", "3", "3", "4", "4", "4") &amp; "_" &amp; YEAR(Returns!$A120)</f>
        <v>Q1_1900</v>
      </c>
      <c r="D120" s="80"/>
      <c r="E120" s="81"/>
      <c r="F120" s="82"/>
      <c r="G120" s="82"/>
      <c r="H120" s="82"/>
      <c r="I120" s="82"/>
      <c r="J120" s="82"/>
      <c r="K120" s="82"/>
      <c r="L120" s="85"/>
      <c r="M120" s="85"/>
      <c r="N120" s="82"/>
      <c r="O120" s="82"/>
      <c r="P120" s="110"/>
      <c r="Q120" s="110"/>
      <c r="R120" s="82"/>
      <c r="S120" s="82"/>
    </row>
    <row r="121" spans="1:19" ht="14.25" customHeight="1" x14ac:dyDescent="0.25">
      <c r="A121" s="108"/>
      <c r="B121" s="109"/>
      <c r="C121" s="78" t="str">
        <f>"Q" &amp; CHOOSE(MONTH(Returns!$A121), "1", "1", "1", "2", "2", "2", "3", "3", "3", "4", "4", "4") &amp; "_" &amp; YEAR(Returns!$A121)</f>
        <v>Q1_1900</v>
      </c>
      <c r="D121" s="80"/>
      <c r="E121" s="81"/>
      <c r="F121" s="82"/>
      <c r="G121" s="82"/>
      <c r="H121" s="82"/>
      <c r="I121" s="82"/>
      <c r="J121" s="82"/>
      <c r="K121" s="82"/>
      <c r="L121" s="85"/>
      <c r="M121" s="85"/>
      <c r="N121" s="82"/>
      <c r="O121" s="82"/>
      <c r="P121" s="110"/>
      <c r="Q121" s="110"/>
      <c r="R121" s="82"/>
      <c r="S121" s="82"/>
    </row>
    <row r="122" spans="1:19" ht="14.25" customHeight="1" x14ac:dyDescent="0.25">
      <c r="A122" s="108"/>
      <c r="B122" s="109"/>
      <c r="C122" s="78" t="str">
        <f>"Q" &amp; CHOOSE(MONTH(Returns!$A122), "1", "1", "1", "2", "2", "2", "3", "3", "3", "4", "4", "4") &amp; "_" &amp; YEAR(Returns!$A122)</f>
        <v>Q1_1900</v>
      </c>
      <c r="D122" s="80"/>
      <c r="E122" s="81"/>
      <c r="F122" s="82"/>
      <c r="G122" s="82"/>
      <c r="H122" s="82"/>
      <c r="I122" s="82"/>
      <c r="J122" s="82"/>
      <c r="K122" s="82"/>
      <c r="L122" s="85"/>
      <c r="M122" s="85"/>
      <c r="N122" s="82"/>
      <c r="O122" s="82"/>
      <c r="P122" s="110"/>
      <c r="Q122" s="110"/>
      <c r="R122" s="82"/>
      <c r="S122" s="82"/>
    </row>
    <row r="123" spans="1:19" ht="14.25" customHeight="1" x14ac:dyDescent="0.25">
      <c r="A123" s="108"/>
      <c r="B123" s="109"/>
      <c r="C123" s="78" t="str">
        <f>"Q" &amp; CHOOSE(MONTH(Returns!$A123), "1", "1", "1", "2", "2", "2", "3", "3", "3", "4", "4", "4") &amp; "_" &amp; YEAR(Returns!$A123)</f>
        <v>Q1_1900</v>
      </c>
      <c r="D123" s="80"/>
      <c r="E123" s="81"/>
      <c r="F123" s="82"/>
      <c r="G123" s="82"/>
      <c r="H123" s="82"/>
      <c r="I123" s="82"/>
      <c r="J123" s="82"/>
      <c r="K123" s="82"/>
      <c r="L123" s="85"/>
      <c r="M123" s="85"/>
      <c r="N123" s="82"/>
      <c r="O123" s="82"/>
      <c r="P123" s="110"/>
      <c r="Q123" s="110"/>
      <c r="R123" s="82"/>
      <c r="S123" s="82"/>
    </row>
    <row r="124" spans="1:19" ht="14.25" customHeight="1" x14ac:dyDescent="0.25">
      <c r="A124" s="108"/>
      <c r="B124" s="109"/>
      <c r="C124" s="78" t="str">
        <f>"Q" &amp; CHOOSE(MONTH(Returns!$A124), "1", "1", "1", "2", "2", "2", "3", "3", "3", "4", "4", "4") &amp; "_" &amp; YEAR(Returns!$A124)</f>
        <v>Q1_1900</v>
      </c>
      <c r="D124" s="80"/>
      <c r="E124" s="81"/>
      <c r="F124" s="82"/>
      <c r="G124" s="82"/>
      <c r="H124" s="82"/>
      <c r="I124" s="82"/>
      <c r="J124" s="82"/>
      <c r="K124" s="82"/>
      <c r="L124" s="85"/>
      <c r="M124" s="85"/>
      <c r="N124" s="82"/>
      <c r="O124" s="82"/>
      <c r="P124" s="110"/>
      <c r="Q124" s="110"/>
      <c r="R124" s="82"/>
      <c r="S124" s="82"/>
    </row>
    <row r="125" spans="1:19" ht="14.25" customHeight="1" x14ac:dyDescent="0.25">
      <c r="A125" s="108"/>
      <c r="B125" s="109"/>
      <c r="C125" s="78" t="str">
        <f>"Q" &amp; CHOOSE(MONTH(Returns!$A125), "1", "1", "1", "2", "2", "2", "3", "3", "3", "4", "4", "4") &amp; "_" &amp; YEAR(Returns!$A125)</f>
        <v>Q1_1900</v>
      </c>
      <c r="D125" s="80"/>
      <c r="E125" s="81"/>
      <c r="F125" s="82"/>
      <c r="G125" s="82"/>
      <c r="H125" s="82"/>
      <c r="I125" s="82"/>
      <c r="J125" s="82"/>
      <c r="K125" s="82"/>
      <c r="L125" s="85"/>
      <c r="M125" s="85"/>
      <c r="N125" s="82"/>
      <c r="O125" s="82"/>
      <c r="P125" s="110"/>
      <c r="Q125" s="110"/>
      <c r="R125" s="82"/>
      <c r="S125" s="82"/>
    </row>
    <row r="126" spans="1:19" ht="14.25" customHeight="1" x14ac:dyDescent="0.25">
      <c r="A126" s="108"/>
      <c r="B126" s="109"/>
      <c r="C126" s="78" t="str">
        <f>"Q" &amp; CHOOSE(MONTH(Returns!$A126), "1", "1", "1", "2", "2", "2", "3", "3", "3", "4", "4", "4") &amp; "_" &amp; YEAR(Returns!$A126)</f>
        <v>Q1_1900</v>
      </c>
      <c r="D126" s="80"/>
      <c r="E126" s="81"/>
      <c r="F126" s="82"/>
      <c r="G126" s="82"/>
      <c r="H126" s="82"/>
      <c r="I126" s="82"/>
      <c r="J126" s="82"/>
      <c r="K126" s="82"/>
      <c r="L126" s="85"/>
      <c r="M126" s="85"/>
      <c r="N126" s="82"/>
      <c r="O126" s="82"/>
      <c r="P126" s="110"/>
      <c r="Q126" s="110"/>
      <c r="R126" s="82"/>
      <c r="S126" s="82"/>
    </row>
    <row r="127" spans="1:19" ht="14.25" customHeight="1" x14ac:dyDescent="0.25">
      <c r="A127" s="108"/>
      <c r="B127" s="109"/>
      <c r="C127" s="78" t="str">
        <f>"Q" &amp; CHOOSE(MONTH(Returns!$A127), "1", "1", "1", "2", "2", "2", "3", "3", "3", "4", "4", "4") &amp; "_" &amp; YEAR(Returns!$A127)</f>
        <v>Q1_1900</v>
      </c>
      <c r="D127" s="80"/>
      <c r="E127" s="81"/>
      <c r="F127" s="82"/>
      <c r="G127" s="82"/>
      <c r="H127" s="82"/>
      <c r="I127" s="82"/>
      <c r="J127" s="82"/>
      <c r="K127" s="82"/>
      <c r="L127" s="85"/>
      <c r="M127" s="85"/>
      <c r="N127" s="82"/>
      <c r="O127" s="82"/>
      <c r="P127" s="110"/>
      <c r="Q127" s="110"/>
      <c r="R127" s="82"/>
      <c r="S127" s="82"/>
    </row>
    <row r="128" spans="1:19" ht="14.25" customHeight="1" x14ac:dyDescent="0.25">
      <c r="A128" s="108"/>
      <c r="B128" s="109"/>
      <c r="C128" s="78" t="str">
        <f>"Q" &amp; CHOOSE(MONTH(Returns!$A128), "1", "1", "1", "2", "2", "2", "3", "3", "3", "4", "4", "4") &amp; "_" &amp; YEAR(Returns!$A128)</f>
        <v>Q1_1900</v>
      </c>
      <c r="D128" s="80"/>
      <c r="E128" s="81"/>
      <c r="F128" s="82"/>
      <c r="G128" s="82"/>
      <c r="H128" s="82"/>
      <c r="I128" s="82"/>
      <c r="J128" s="82"/>
      <c r="K128" s="82"/>
      <c r="L128" s="85"/>
      <c r="M128" s="85"/>
      <c r="N128" s="82"/>
      <c r="O128" s="82"/>
      <c r="P128" s="110"/>
      <c r="Q128" s="110"/>
      <c r="R128" s="82"/>
      <c r="S128" s="82"/>
    </row>
    <row r="129" spans="1:19" ht="14.25" customHeight="1" x14ac:dyDescent="0.25">
      <c r="A129" s="108"/>
      <c r="B129" s="109"/>
      <c r="C129" s="78" t="str">
        <f>"Q" &amp; CHOOSE(MONTH(Returns!$A129), "1", "1", "1", "2", "2", "2", "3", "3", "3", "4", "4", "4") &amp; "_" &amp; YEAR(Returns!$A129)</f>
        <v>Q1_1900</v>
      </c>
      <c r="D129" s="80"/>
      <c r="E129" s="81"/>
      <c r="F129" s="82"/>
      <c r="G129" s="82"/>
      <c r="H129" s="82"/>
      <c r="I129" s="82"/>
      <c r="J129" s="82"/>
      <c r="K129" s="82"/>
      <c r="L129" s="85"/>
      <c r="M129" s="85"/>
      <c r="N129" s="82"/>
      <c r="O129" s="82"/>
      <c r="P129" s="110"/>
      <c r="Q129" s="110"/>
      <c r="R129" s="82"/>
      <c r="S129" s="82"/>
    </row>
    <row r="130" spans="1:19" ht="14.25" customHeight="1" x14ac:dyDescent="0.25">
      <c r="A130" s="108"/>
      <c r="B130" s="109"/>
      <c r="C130" s="78" t="str">
        <f>"Q" &amp; CHOOSE(MONTH(Returns!$A130), "1", "1", "1", "2", "2", "2", "3", "3", "3", "4", "4", "4") &amp; "_" &amp; YEAR(Returns!$A130)</f>
        <v>Q1_1900</v>
      </c>
      <c r="D130" s="80"/>
      <c r="E130" s="81"/>
      <c r="F130" s="82"/>
      <c r="G130" s="82"/>
      <c r="H130" s="82"/>
      <c r="I130" s="82"/>
      <c r="J130" s="82"/>
      <c r="K130" s="82"/>
      <c r="L130" s="85"/>
      <c r="M130" s="85"/>
      <c r="N130" s="82"/>
      <c r="O130" s="82"/>
      <c r="P130" s="110"/>
      <c r="Q130" s="110"/>
      <c r="R130" s="82"/>
      <c r="S130" s="82"/>
    </row>
    <row r="131" spans="1:19" ht="14.25" customHeight="1" x14ac:dyDescent="0.25">
      <c r="A131" s="108"/>
      <c r="B131" s="109"/>
      <c r="C131" s="78" t="str">
        <f>"Q" &amp; CHOOSE(MONTH(Returns!$A131), "1", "1", "1", "2", "2", "2", "3", "3", "3", "4", "4", "4") &amp; "_" &amp; YEAR(Returns!$A131)</f>
        <v>Q1_1900</v>
      </c>
      <c r="D131" s="80"/>
      <c r="E131" s="81"/>
      <c r="F131" s="82"/>
      <c r="G131" s="82"/>
      <c r="H131" s="82"/>
      <c r="I131" s="82"/>
      <c r="J131" s="82"/>
      <c r="K131" s="82"/>
      <c r="L131" s="85"/>
      <c r="M131" s="85"/>
      <c r="N131" s="82"/>
      <c r="O131" s="82"/>
      <c r="P131" s="110"/>
      <c r="Q131" s="110"/>
      <c r="R131" s="82"/>
      <c r="S131" s="82"/>
    </row>
    <row r="132" spans="1:19" ht="14.25" customHeight="1" x14ac:dyDescent="0.25">
      <c r="A132" s="108"/>
      <c r="B132" s="109"/>
      <c r="C132" s="78" t="str">
        <f>"Q" &amp; CHOOSE(MONTH(Returns!$A132), "1", "1", "1", "2", "2", "2", "3", "3", "3", "4", "4", "4") &amp; "_" &amp; YEAR(Returns!$A132)</f>
        <v>Q1_1900</v>
      </c>
      <c r="D132" s="80"/>
      <c r="E132" s="81"/>
      <c r="F132" s="82"/>
      <c r="G132" s="82"/>
      <c r="H132" s="82"/>
      <c r="I132" s="82"/>
      <c r="J132" s="82"/>
      <c r="K132" s="82"/>
      <c r="L132" s="85"/>
      <c r="M132" s="85"/>
      <c r="N132" s="82"/>
      <c r="O132" s="82"/>
      <c r="P132" s="110"/>
      <c r="Q132" s="110"/>
      <c r="R132" s="82"/>
      <c r="S132" s="82"/>
    </row>
    <row r="133" spans="1:19" ht="14.25" customHeight="1" x14ac:dyDescent="0.25">
      <c r="A133" s="108"/>
      <c r="B133" s="109"/>
      <c r="C133" s="78" t="str">
        <f>"Q" &amp; CHOOSE(MONTH(Returns!$A133), "1", "1", "1", "2", "2", "2", "3", "3", "3", "4", "4", "4") &amp; "_" &amp; YEAR(Returns!$A133)</f>
        <v>Q1_1900</v>
      </c>
      <c r="D133" s="80"/>
      <c r="E133" s="81"/>
      <c r="F133" s="82"/>
      <c r="G133" s="82"/>
      <c r="H133" s="82"/>
      <c r="I133" s="82"/>
      <c r="J133" s="82"/>
      <c r="K133" s="82"/>
      <c r="L133" s="85"/>
      <c r="M133" s="85"/>
      <c r="N133" s="82"/>
      <c r="O133" s="82"/>
      <c r="P133" s="110"/>
      <c r="Q133" s="110"/>
      <c r="R133" s="82"/>
      <c r="S133" s="82"/>
    </row>
    <row r="134" spans="1:19" ht="14.25" customHeight="1" x14ac:dyDescent="0.25">
      <c r="A134" s="108"/>
      <c r="B134" s="109"/>
      <c r="C134" s="78" t="str">
        <f>"Q" &amp; CHOOSE(MONTH(Returns!$A134), "1", "1", "1", "2", "2", "2", "3", "3", "3", "4", "4", "4") &amp; "_" &amp; YEAR(Returns!$A134)</f>
        <v>Q1_1900</v>
      </c>
      <c r="D134" s="80"/>
      <c r="E134" s="81"/>
      <c r="F134" s="82"/>
      <c r="G134" s="82"/>
      <c r="H134" s="82"/>
      <c r="I134" s="82"/>
      <c r="J134" s="82"/>
      <c r="K134" s="82"/>
      <c r="L134" s="85"/>
      <c r="M134" s="85"/>
      <c r="N134" s="82"/>
      <c r="O134" s="82"/>
      <c r="P134" s="110"/>
      <c r="Q134" s="110"/>
      <c r="R134" s="82"/>
      <c r="S134" s="82"/>
    </row>
    <row r="135" spans="1:19" ht="14.25" customHeight="1" x14ac:dyDescent="0.25">
      <c r="A135" s="108"/>
      <c r="B135" s="109"/>
      <c r="C135" s="78" t="str">
        <f>"Q" &amp; CHOOSE(MONTH(Returns!$A135), "1", "1", "1", "2", "2", "2", "3", "3", "3", "4", "4", "4") &amp; "_" &amp; YEAR(Returns!$A135)</f>
        <v>Q1_1900</v>
      </c>
      <c r="D135" s="80"/>
      <c r="E135" s="81"/>
      <c r="F135" s="82"/>
      <c r="G135" s="82"/>
      <c r="H135" s="82"/>
      <c r="I135" s="82"/>
      <c r="J135" s="82"/>
      <c r="K135" s="82"/>
      <c r="L135" s="85"/>
      <c r="M135" s="85"/>
      <c r="N135" s="82"/>
      <c r="O135" s="82"/>
      <c r="P135" s="110"/>
      <c r="Q135" s="110"/>
      <c r="R135" s="82"/>
      <c r="S135" s="82"/>
    </row>
    <row r="136" spans="1:19" ht="14.25" customHeight="1" x14ac:dyDescent="0.25">
      <c r="A136" s="108"/>
      <c r="B136" s="109"/>
      <c r="C136" s="78" t="str">
        <f>"Q" &amp; CHOOSE(MONTH(Returns!$A136), "1", "1", "1", "2", "2", "2", "3", "3", "3", "4", "4", "4") &amp; "_" &amp; YEAR(Returns!$A136)</f>
        <v>Q1_1900</v>
      </c>
      <c r="D136" s="80"/>
      <c r="E136" s="81"/>
      <c r="F136" s="82"/>
      <c r="G136" s="82"/>
      <c r="H136" s="82"/>
      <c r="I136" s="82"/>
      <c r="J136" s="82"/>
      <c r="K136" s="82"/>
      <c r="L136" s="85"/>
      <c r="M136" s="85"/>
      <c r="N136" s="82"/>
      <c r="O136" s="82"/>
      <c r="P136" s="110"/>
      <c r="Q136" s="110"/>
      <c r="R136" s="82"/>
      <c r="S136" s="82"/>
    </row>
    <row r="137" spans="1:19" ht="14.25" customHeight="1" x14ac:dyDescent="0.25">
      <c r="A137" s="108"/>
      <c r="B137" s="109"/>
      <c r="C137" s="78" t="str">
        <f>"Q" &amp; CHOOSE(MONTH(Returns!$A137), "1", "1", "1", "2", "2", "2", "3", "3", "3", "4", "4", "4") &amp; "_" &amp; YEAR(Returns!$A137)</f>
        <v>Q1_1900</v>
      </c>
      <c r="D137" s="80"/>
      <c r="E137" s="81"/>
      <c r="F137" s="82"/>
      <c r="G137" s="82"/>
      <c r="H137" s="82"/>
      <c r="I137" s="82"/>
      <c r="J137" s="82"/>
      <c r="K137" s="82"/>
      <c r="L137" s="85"/>
      <c r="M137" s="85"/>
      <c r="N137" s="82"/>
      <c r="O137" s="82"/>
      <c r="P137" s="110"/>
      <c r="Q137" s="110"/>
      <c r="R137" s="82"/>
      <c r="S137" s="82"/>
    </row>
    <row r="138" spans="1:19" ht="14.25" customHeight="1" x14ac:dyDescent="0.25">
      <c r="A138" s="108"/>
      <c r="B138" s="109"/>
      <c r="C138" s="78" t="str">
        <f>"Q" &amp; CHOOSE(MONTH(Returns!$A138), "1", "1", "1", "2", "2", "2", "3", "3", "3", "4", "4", "4") &amp; "_" &amp; YEAR(Returns!$A138)</f>
        <v>Q1_1900</v>
      </c>
      <c r="D138" s="80"/>
      <c r="E138" s="81"/>
      <c r="F138" s="82"/>
      <c r="G138" s="82"/>
      <c r="H138" s="82"/>
      <c r="I138" s="82"/>
      <c r="J138" s="82"/>
      <c r="K138" s="82"/>
      <c r="L138" s="85"/>
      <c r="M138" s="85"/>
      <c r="N138" s="82"/>
      <c r="O138" s="82"/>
      <c r="P138" s="110"/>
      <c r="Q138" s="110"/>
      <c r="R138" s="82"/>
      <c r="S138" s="82"/>
    </row>
    <row r="139" spans="1:19" ht="14.25" customHeight="1" x14ac:dyDescent="0.25">
      <c r="A139" s="108"/>
      <c r="B139" s="109"/>
      <c r="C139" s="78" t="str">
        <f>"Q" &amp; CHOOSE(MONTH(Returns!$A139), "1", "1", "1", "2", "2", "2", "3", "3", "3", "4", "4", "4") &amp; "_" &amp; YEAR(Returns!$A139)</f>
        <v>Q1_1900</v>
      </c>
      <c r="D139" s="80"/>
      <c r="E139" s="81"/>
      <c r="F139" s="82"/>
      <c r="G139" s="82"/>
      <c r="H139" s="82"/>
      <c r="I139" s="82"/>
      <c r="J139" s="82"/>
      <c r="K139" s="82"/>
      <c r="L139" s="85"/>
      <c r="M139" s="85"/>
      <c r="N139" s="82"/>
      <c r="O139" s="82"/>
      <c r="P139" s="110"/>
      <c r="Q139" s="110"/>
      <c r="R139" s="82"/>
      <c r="S139" s="82"/>
    </row>
    <row r="140" spans="1:19" ht="14.25" customHeight="1" x14ac:dyDescent="0.25">
      <c r="A140" s="108"/>
      <c r="B140" s="109"/>
      <c r="C140" s="78" t="str">
        <f>"Q" &amp; CHOOSE(MONTH(Returns!$A140), "1", "1", "1", "2", "2", "2", "3", "3", "3", "4", "4", "4") &amp; "_" &amp; YEAR(Returns!$A140)</f>
        <v>Q1_1900</v>
      </c>
      <c r="D140" s="80"/>
      <c r="E140" s="81"/>
      <c r="F140" s="82"/>
      <c r="G140" s="82"/>
      <c r="H140" s="82"/>
      <c r="I140" s="82"/>
      <c r="J140" s="82"/>
      <c r="K140" s="82"/>
      <c r="L140" s="85"/>
      <c r="M140" s="85"/>
      <c r="N140" s="82"/>
      <c r="O140" s="82"/>
      <c r="P140" s="110"/>
      <c r="Q140" s="110"/>
      <c r="R140" s="82"/>
      <c r="S140" s="82"/>
    </row>
    <row r="141" spans="1:19" ht="14.25" customHeight="1" x14ac:dyDescent="0.25">
      <c r="A141" s="108"/>
      <c r="B141" s="109"/>
      <c r="C141" s="78" t="str">
        <f>"Q" &amp; CHOOSE(MONTH(Returns!$A141), "1", "1", "1", "2", "2", "2", "3", "3", "3", "4", "4", "4") &amp; "_" &amp; YEAR(Returns!$A141)</f>
        <v>Q1_1900</v>
      </c>
      <c r="D141" s="80"/>
      <c r="E141" s="81"/>
      <c r="F141" s="82"/>
      <c r="G141" s="82"/>
      <c r="H141" s="82"/>
      <c r="I141" s="82"/>
      <c r="J141" s="82"/>
      <c r="K141" s="82"/>
      <c r="L141" s="85"/>
      <c r="M141" s="85"/>
      <c r="N141" s="82"/>
      <c r="O141" s="82"/>
      <c r="P141" s="110"/>
      <c r="Q141" s="110"/>
      <c r="R141" s="82"/>
      <c r="S141" s="82"/>
    </row>
    <row r="142" spans="1:19" ht="14.25" customHeight="1" x14ac:dyDescent="0.25">
      <c r="A142" s="108"/>
      <c r="B142" s="109"/>
      <c r="C142" s="78" t="str">
        <f>"Q" &amp; CHOOSE(MONTH(Returns!$A142), "1", "1", "1", "2", "2", "2", "3", "3", "3", "4", "4", "4") &amp; "_" &amp; YEAR(Returns!$A142)</f>
        <v>Q1_1900</v>
      </c>
      <c r="D142" s="80"/>
      <c r="E142" s="81"/>
      <c r="F142" s="82"/>
      <c r="G142" s="82"/>
      <c r="H142" s="82"/>
      <c r="I142" s="82"/>
      <c r="J142" s="82"/>
      <c r="K142" s="82"/>
      <c r="L142" s="85"/>
      <c r="M142" s="85"/>
      <c r="N142" s="82"/>
      <c r="O142" s="82"/>
      <c r="P142" s="110"/>
      <c r="Q142" s="110"/>
      <c r="R142" s="82"/>
      <c r="S142" s="82"/>
    </row>
    <row r="143" spans="1:19" ht="14.25" customHeight="1" x14ac:dyDescent="0.25">
      <c r="A143" s="108"/>
      <c r="B143" s="109"/>
      <c r="C143" s="78" t="str">
        <f>"Q" &amp; CHOOSE(MONTH(Returns!$A143), "1", "1", "1", "2", "2", "2", "3", "3", "3", "4", "4", "4") &amp; "_" &amp; YEAR(Returns!$A143)</f>
        <v>Q1_1900</v>
      </c>
      <c r="D143" s="80"/>
      <c r="E143" s="81"/>
      <c r="F143" s="82"/>
      <c r="G143" s="82"/>
      <c r="H143" s="82"/>
      <c r="I143" s="82"/>
      <c r="J143" s="82"/>
      <c r="K143" s="82"/>
      <c r="L143" s="85"/>
      <c r="M143" s="85"/>
      <c r="N143" s="82"/>
      <c r="O143" s="82"/>
      <c r="P143" s="110"/>
      <c r="Q143" s="110"/>
      <c r="R143" s="82"/>
      <c r="S143" s="82"/>
    </row>
    <row r="144" spans="1:19" ht="14.25" customHeight="1" x14ac:dyDescent="0.25">
      <c r="A144" s="108"/>
      <c r="B144" s="109"/>
      <c r="C144" s="78" t="str">
        <f>"Q" &amp; CHOOSE(MONTH(Returns!$A144), "1", "1", "1", "2", "2", "2", "3", "3", "3", "4", "4", "4") &amp; "_" &amp; YEAR(Returns!$A144)</f>
        <v>Q1_1900</v>
      </c>
      <c r="D144" s="80"/>
      <c r="E144" s="81"/>
      <c r="F144" s="82"/>
      <c r="G144" s="82"/>
      <c r="H144" s="82"/>
      <c r="I144" s="82"/>
      <c r="J144" s="82"/>
      <c r="K144" s="82"/>
      <c r="L144" s="85"/>
      <c r="M144" s="85"/>
      <c r="N144" s="82"/>
      <c r="O144" s="82"/>
      <c r="P144" s="110"/>
      <c r="Q144" s="110"/>
      <c r="R144" s="82"/>
      <c r="S144" s="82"/>
    </row>
    <row r="145" spans="1:19" ht="14.25" customHeight="1" x14ac:dyDescent="0.25">
      <c r="A145" s="108"/>
      <c r="B145" s="109"/>
      <c r="C145" s="78" t="str">
        <f>"Q" &amp; CHOOSE(MONTH(Returns!$A145), "1", "1", "1", "2", "2", "2", "3", "3", "3", "4", "4", "4") &amp; "_" &amp; YEAR(Returns!$A145)</f>
        <v>Q1_1900</v>
      </c>
      <c r="D145" s="80"/>
      <c r="E145" s="81"/>
      <c r="F145" s="82"/>
      <c r="G145" s="82"/>
      <c r="H145" s="82"/>
      <c r="I145" s="82"/>
      <c r="J145" s="82"/>
      <c r="K145" s="82"/>
      <c r="L145" s="85"/>
      <c r="M145" s="85"/>
      <c r="N145" s="82"/>
      <c r="O145" s="82"/>
      <c r="P145" s="110"/>
      <c r="Q145" s="110"/>
      <c r="R145" s="82"/>
      <c r="S145" s="82"/>
    </row>
    <row r="146" spans="1:19" ht="14.25" customHeight="1" x14ac:dyDescent="0.25">
      <c r="A146" s="108"/>
      <c r="B146" s="109"/>
      <c r="C146" s="78" t="str">
        <f>"Q" &amp; CHOOSE(MONTH(Returns!$A146), "1", "1", "1", "2", "2", "2", "3", "3", "3", "4", "4", "4") &amp; "_" &amp; YEAR(Returns!$A146)</f>
        <v>Q1_1900</v>
      </c>
      <c r="D146" s="80"/>
      <c r="E146" s="81"/>
      <c r="F146" s="82"/>
      <c r="G146" s="82"/>
      <c r="H146" s="82"/>
      <c r="I146" s="82"/>
      <c r="J146" s="82"/>
      <c r="K146" s="82"/>
      <c r="L146" s="85"/>
      <c r="M146" s="85"/>
      <c r="N146" s="82"/>
      <c r="O146" s="82"/>
      <c r="P146" s="110"/>
      <c r="Q146" s="110"/>
      <c r="R146" s="82"/>
      <c r="S146" s="82"/>
    </row>
    <row r="147" spans="1:19" ht="14.25" customHeight="1" x14ac:dyDescent="0.25">
      <c r="A147" s="108"/>
      <c r="B147" s="109"/>
      <c r="C147" s="78" t="str">
        <f>"Q" &amp; CHOOSE(MONTH(Returns!$A147), "1", "1", "1", "2", "2", "2", "3", "3", "3", "4", "4", "4") &amp; "_" &amp; YEAR(Returns!$A147)</f>
        <v>Q1_1900</v>
      </c>
      <c r="D147" s="80"/>
      <c r="E147" s="81"/>
      <c r="F147" s="82"/>
      <c r="G147" s="82"/>
      <c r="H147" s="82"/>
      <c r="I147" s="82"/>
      <c r="J147" s="82"/>
      <c r="K147" s="82"/>
      <c r="L147" s="85"/>
      <c r="M147" s="85"/>
      <c r="N147" s="82"/>
      <c r="O147" s="82"/>
      <c r="P147" s="110"/>
      <c r="Q147" s="110"/>
      <c r="R147" s="82"/>
      <c r="S147" s="82"/>
    </row>
    <row r="148" spans="1:19" ht="14.25" customHeight="1" x14ac:dyDescent="0.25">
      <c r="A148" s="108"/>
      <c r="B148" s="109"/>
      <c r="C148" s="78" t="str">
        <f>"Q" &amp; CHOOSE(MONTH(Returns!$A148), "1", "1", "1", "2", "2", "2", "3", "3", "3", "4", "4", "4") &amp; "_" &amp; YEAR(Returns!$A148)</f>
        <v>Q1_1900</v>
      </c>
      <c r="D148" s="80"/>
      <c r="E148" s="81"/>
      <c r="F148" s="82"/>
      <c r="G148" s="82"/>
      <c r="H148" s="82"/>
      <c r="I148" s="82"/>
      <c r="J148" s="82"/>
      <c r="K148" s="82"/>
      <c r="L148" s="85"/>
      <c r="M148" s="85"/>
      <c r="N148" s="82"/>
      <c r="O148" s="82"/>
      <c r="P148" s="110"/>
      <c r="Q148" s="110"/>
      <c r="R148" s="82"/>
      <c r="S148" s="82"/>
    </row>
    <row r="149" spans="1:19" ht="14.25" customHeight="1" x14ac:dyDescent="0.25">
      <c r="A149" s="108"/>
      <c r="B149" s="109"/>
      <c r="C149" s="78" t="str">
        <f>"Q" &amp; CHOOSE(MONTH(Returns!$A149), "1", "1", "1", "2", "2", "2", "3", "3", "3", "4", "4", "4") &amp; "_" &amp; YEAR(Returns!$A149)</f>
        <v>Q1_1900</v>
      </c>
      <c r="D149" s="80"/>
      <c r="E149" s="81"/>
      <c r="F149" s="82"/>
      <c r="G149" s="82"/>
      <c r="H149" s="82"/>
      <c r="I149" s="82"/>
      <c r="J149" s="82"/>
      <c r="K149" s="82"/>
      <c r="L149" s="85"/>
      <c r="M149" s="85"/>
      <c r="N149" s="82"/>
      <c r="O149" s="82"/>
      <c r="P149" s="110"/>
      <c r="Q149" s="110"/>
      <c r="R149" s="82"/>
      <c r="S149" s="82"/>
    </row>
    <row r="150" spans="1:19" ht="14.25" customHeight="1" x14ac:dyDescent="0.25">
      <c r="A150" s="41"/>
      <c r="B150" s="5"/>
      <c r="C150" s="7"/>
      <c r="D150" s="8"/>
      <c r="E150" s="3"/>
      <c r="F150" s="3"/>
      <c r="G150" s="3"/>
      <c r="H150" s="3"/>
      <c r="I150" s="3"/>
      <c r="J150" s="3"/>
    </row>
    <row r="151" spans="1:19" ht="14.25" customHeight="1" x14ac:dyDescent="0.25">
      <c r="A151" s="41"/>
      <c r="B151" s="5"/>
      <c r="C151" s="7"/>
      <c r="D151" s="8"/>
      <c r="E151" s="3"/>
      <c r="F151" s="3"/>
      <c r="G151" s="3"/>
      <c r="H151" s="3"/>
      <c r="I151" s="3"/>
      <c r="J151" s="3"/>
    </row>
    <row r="152" spans="1:19" ht="14.25" customHeight="1" x14ac:dyDescent="0.25">
      <c r="A152" s="41"/>
      <c r="B152" s="5"/>
      <c r="C152" s="7"/>
      <c r="D152" s="8"/>
      <c r="E152" s="3"/>
      <c r="F152" s="3"/>
      <c r="G152" s="3"/>
      <c r="H152" s="3"/>
      <c r="I152" s="3"/>
      <c r="J152" s="3"/>
    </row>
    <row r="153" spans="1:19" ht="14.25" customHeight="1" x14ac:dyDescent="0.25">
      <c r="A153" s="41"/>
      <c r="B153" s="5"/>
      <c r="C153" s="7"/>
      <c r="D153" s="8"/>
      <c r="E153" s="3"/>
      <c r="F153" s="3"/>
      <c r="G153" s="3"/>
      <c r="H153" s="3"/>
      <c r="I153" s="3"/>
      <c r="J153" s="3"/>
    </row>
    <row r="154" spans="1:19" ht="14.25" customHeight="1" x14ac:dyDescent="0.25">
      <c r="A154" s="41"/>
      <c r="B154" s="5"/>
      <c r="C154" s="7"/>
      <c r="D154" s="8"/>
      <c r="E154" s="3"/>
      <c r="F154" s="3"/>
      <c r="G154" s="3"/>
      <c r="H154" s="3"/>
      <c r="I154" s="3"/>
      <c r="J154" s="3"/>
    </row>
    <row r="155" spans="1:19" ht="14.25" customHeight="1" x14ac:dyDescent="0.25">
      <c r="A155" s="41"/>
      <c r="B155" s="5"/>
      <c r="C155" s="7"/>
      <c r="D155" s="8"/>
      <c r="E155" s="3"/>
      <c r="F155" s="3"/>
      <c r="G155" s="3"/>
      <c r="H155" s="3"/>
      <c r="I155" s="3"/>
      <c r="J155" s="3"/>
    </row>
    <row r="156" spans="1:19" ht="14.25" customHeight="1" x14ac:dyDescent="0.25">
      <c r="A156" s="41"/>
      <c r="B156" s="5"/>
      <c r="C156" s="7"/>
      <c r="D156" s="8"/>
      <c r="E156" s="3"/>
      <c r="F156" s="3"/>
      <c r="G156" s="3"/>
      <c r="H156" s="3"/>
      <c r="I156" s="3"/>
      <c r="J156" s="3"/>
    </row>
    <row r="157" spans="1:19" ht="14.25" customHeight="1" x14ac:dyDescent="0.25">
      <c r="A157" s="41"/>
      <c r="B157" s="5"/>
      <c r="C157" s="7"/>
      <c r="D157" s="8"/>
      <c r="E157" s="3"/>
      <c r="F157" s="3"/>
      <c r="G157" s="3"/>
      <c r="H157" s="3"/>
      <c r="I157" s="3"/>
      <c r="J157" s="3"/>
    </row>
    <row r="158" spans="1:19" ht="14.25" customHeight="1" x14ac:dyDescent="0.25">
      <c r="A158" s="41"/>
      <c r="B158" s="5"/>
      <c r="C158" s="7"/>
      <c r="D158" s="8"/>
      <c r="E158" s="3"/>
      <c r="F158" s="3"/>
      <c r="G158" s="3"/>
      <c r="H158" s="3"/>
      <c r="I158" s="3"/>
      <c r="J158" s="3"/>
    </row>
    <row r="159" spans="1:19" ht="14.25" customHeight="1" x14ac:dyDescent="0.25">
      <c r="A159" s="41"/>
      <c r="B159" s="5"/>
      <c r="C159" s="7"/>
      <c r="D159" s="8"/>
      <c r="E159" s="3"/>
      <c r="F159" s="3"/>
      <c r="G159" s="3"/>
      <c r="H159" s="3"/>
      <c r="I159" s="3"/>
      <c r="J159" s="3"/>
    </row>
    <row r="160" spans="1:19" ht="14.25" customHeight="1" x14ac:dyDescent="0.25">
      <c r="A160" s="41"/>
      <c r="B160" s="5"/>
      <c r="C160" s="7"/>
      <c r="D160" s="8"/>
      <c r="E160" s="3"/>
      <c r="F160" s="3"/>
      <c r="G160" s="3"/>
      <c r="H160" s="3"/>
      <c r="I160" s="3"/>
      <c r="J160" s="3"/>
    </row>
    <row r="161" spans="1:10" ht="14.25" customHeight="1" x14ac:dyDescent="0.25">
      <c r="A161" s="41"/>
      <c r="B161" s="5"/>
      <c r="C161" s="7"/>
      <c r="D161" s="8"/>
      <c r="E161" s="3"/>
      <c r="F161" s="3"/>
      <c r="G161" s="3"/>
      <c r="H161" s="3"/>
      <c r="I161" s="3"/>
      <c r="J161" s="3"/>
    </row>
    <row r="162" spans="1:10" ht="14.25" customHeight="1" x14ac:dyDescent="0.25">
      <c r="A162" s="41"/>
      <c r="B162" s="5"/>
      <c r="C162" s="7"/>
      <c r="D162" s="8"/>
      <c r="E162" s="3"/>
      <c r="F162" s="3"/>
      <c r="G162" s="3"/>
      <c r="H162" s="3"/>
      <c r="I162" s="3"/>
      <c r="J162" s="3"/>
    </row>
    <row r="163" spans="1:10" ht="14.25" customHeight="1" x14ac:dyDescent="0.25">
      <c r="A163" s="41"/>
      <c r="B163" s="5"/>
      <c r="C163" s="7"/>
      <c r="D163" s="8"/>
      <c r="E163" s="3"/>
      <c r="F163" s="3"/>
      <c r="G163" s="3"/>
      <c r="H163" s="3"/>
      <c r="I163" s="3"/>
      <c r="J163" s="3"/>
    </row>
    <row r="164" spans="1:10" ht="14.25" customHeight="1" x14ac:dyDescent="0.25">
      <c r="A164" s="41"/>
      <c r="B164" s="5"/>
      <c r="C164" s="7"/>
      <c r="D164" s="8"/>
      <c r="E164" s="3"/>
      <c r="F164" s="3"/>
      <c r="G164" s="3"/>
      <c r="H164" s="3"/>
      <c r="I164" s="3"/>
      <c r="J164" s="3"/>
    </row>
    <row r="165" spans="1:10" ht="14.25" customHeight="1" x14ac:dyDescent="0.25">
      <c r="A165" s="41"/>
      <c r="B165" s="5"/>
      <c r="C165" s="7"/>
      <c r="D165" s="8"/>
      <c r="E165" s="3"/>
      <c r="F165" s="3"/>
      <c r="G165" s="3"/>
      <c r="H165" s="3"/>
      <c r="I165" s="3"/>
      <c r="J165" s="3"/>
    </row>
    <row r="166" spans="1:10" ht="14.25" customHeight="1" x14ac:dyDescent="0.25">
      <c r="A166" s="41"/>
      <c r="B166" s="5"/>
      <c r="C166" s="7"/>
      <c r="D166" s="8"/>
      <c r="E166" s="3"/>
      <c r="F166" s="3"/>
      <c r="G166" s="3"/>
      <c r="H166" s="3"/>
      <c r="I166" s="3"/>
      <c r="J166" s="3"/>
    </row>
    <row r="167" spans="1:10" ht="14.25" customHeight="1" x14ac:dyDescent="0.25">
      <c r="A167" s="41"/>
      <c r="B167" s="5"/>
      <c r="C167" s="7"/>
      <c r="D167" s="8"/>
      <c r="E167" s="3"/>
      <c r="F167" s="3"/>
      <c r="G167" s="3"/>
      <c r="H167" s="3"/>
      <c r="I167" s="3"/>
      <c r="J167" s="3"/>
    </row>
    <row r="168" spans="1:10" ht="14.25" customHeight="1" x14ac:dyDescent="0.25">
      <c r="A168" s="41"/>
      <c r="B168" s="5"/>
      <c r="C168" s="7"/>
      <c r="D168" s="8"/>
      <c r="E168" s="3"/>
      <c r="F168" s="3"/>
      <c r="G168" s="3"/>
      <c r="H168" s="3"/>
      <c r="I168" s="3"/>
      <c r="J168" s="3"/>
    </row>
    <row r="169" spans="1:10" ht="14.25" customHeight="1" x14ac:dyDescent="0.25">
      <c r="A169" s="41"/>
      <c r="B169" s="5"/>
      <c r="C169" s="7"/>
      <c r="D169" s="8"/>
      <c r="E169" s="3"/>
      <c r="F169" s="3"/>
      <c r="G169" s="3"/>
      <c r="H169" s="3"/>
      <c r="I169" s="3"/>
      <c r="J169" s="3"/>
    </row>
    <row r="170" spans="1:10" ht="14.25" customHeight="1" x14ac:dyDescent="0.25">
      <c r="A170" s="41"/>
      <c r="B170" s="5"/>
      <c r="C170" s="7"/>
      <c r="D170" s="8"/>
      <c r="E170" s="3"/>
      <c r="F170" s="3"/>
      <c r="G170" s="3"/>
      <c r="H170" s="3"/>
      <c r="I170" s="3"/>
      <c r="J170" s="3"/>
    </row>
    <row r="171" spans="1:10" ht="14.25" customHeight="1" x14ac:dyDescent="0.25">
      <c r="A171" s="41"/>
      <c r="B171" s="5"/>
      <c r="C171" s="7"/>
      <c r="D171" s="8"/>
      <c r="E171" s="3"/>
      <c r="F171" s="3"/>
      <c r="G171" s="3"/>
      <c r="H171" s="3"/>
      <c r="I171" s="3"/>
      <c r="J171" s="3"/>
    </row>
    <row r="172" spans="1:10" ht="14.25" customHeight="1" x14ac:dyDescent="0.25">
      <c r="A172" s="41"/>
      <c r="B172" s="5"/>
      <c r="C172" s="7"/>
      <c r="D172" s="8"/>
      <c r="E172" s="3"/>
      <c r="F172" s="3"/>
      <c r="G172" s="3"/>
      <c r="H172" s="3"/>
      <c r="I172" s="3"/>
      <c r="J172" s="3"/>
    </row>
    <row r="173" spans="1:10" ht="14.25" customHeight="1" x14ac:dyDescent="0.25">
      <c r="A173" s="41"/>
      <c r="B173" s="5"/>
      <c r="C173" s="7"/>
      <c r="D173" s="8"/>
      <c r="E173" s="3"/>
      <c r="F173" s="3"/>
      <c r="G173" s="3"/>
      <c r="H173" s="3"/>
      <c r="I173" s="3"/>
      <c r="J173" s="3"/>
    </row>
    <row r="174" spans="1:10" ht="14.25" customHeight="1" x14ac:dyDescent="0.25">
      <c r="A174" s="41"/>
      <c r="B174" s="5"/>
      <c r="C174" s="7"/>
      <c r="D174" s="8"/>
      <c r="E174" s="3"/>
      <c r="F174" s="3"/>
      <c r="G174" s="3"/>
      <c r="H174" s="3"/>
      <c r="I174" s="3"/>
      <c r="J174" s="3"/>
    </row>
    <row r="175" spans="1:10" ht="14.25" customHeight="1" x14ac:dyDescent="0.25">
      <c r="A175" s="41"/>
      <c r="B175" s="5"/>
      <c r="C175" s="7"/>
      <c r="D175" s="8"/>
      <c r="E175" s="3"/>
      <c r="F175" s="3"/>
      <c r="G175" s="3"/>
      <c r="H175" s="3"/>
      <c r="I175" s="3"/>
      <c r="J175" s="3"/>
    </row>
    <row r="176" spans="1:10" ht="14.25" customHeight="1" x14ac:dyDescent="0.25">
      <c r="A176" s="41"/>
      <c r="B176" s="5"/>
      <c r="C176" s="7"/>
      <c r="D176" s="8"/>
      <c r="E176" s="3"/>
      <c r="F176" s="3"/>
      <c r="G176" s="3"/>
      <c r="H176" s="3"/>
      <c r="I176" s="3"/>
      <c r="J176" s="3"/>
    </row>
    <row r="177" spans="1:10" ht="14.25" customHeight="1" x14ac:dyDescent="0.25">
      <c r="A177" s="41"/>
      <c r="B177" s="5"/>
      <c r="C177" s="7"/>
      <c r="D177" s="8"/>
      <c r="E177" s="3"/>
      <c r="F177" s="3"/>
      <c r="G177" s="3"/>
      <c r="H177" s="3"/>
      <c r="I177" s="3"/>
      <c r="J177" s="3"/>
    </row>
    <row r="178" spans="1:10" ht="14.25" customHeight="1" x14ac:dyDescent="0.25">
      <c r="A178" s="41"/>
      <c r="B178" s="5"/>
      <c r="C178" s="7"/>
      <c r="D178" s="8"/>
      <c r="E178" s="3"/>
      <c r="F178" s="3"/>
      <c r="G178" s="3"/>
      <c r="H178" s="3"/>
      <c r="I178" s="3"/>
      <c r="J178" s="3"/>
    </row>
    <row r="179" spans="1:10" ht="14.25" customHeight="1" x14ac:dyDescent="0.25">
      <c r="A179" s="41"/>
      <c r="B179" s="5"/>
      <c r="C179" s="7"/>
      <c r="D179" s="8"/>
      <c r="E179" s="3"/>
      <c r="F179" s="3"/>
      <c r="G179" s="3"/>
      <c r="H179" s="3"/>
      <c r="I179" s="3"/>
      <c r="J179" s="3"/>
    </row>
    <row r="180" spans="1:10" ht="14.25" customHeight="1" x14ac:dyDescent="0.25">
      <c r="A180" s="41"/>
      <c r="B180" s="5"/>
      <c r="C180" s="7"/>
      <c r="D180" s="8"/>
      <c r="E180" s="3"/>
      <c r="F180" s="3"/>
      <c r="G180" s="3"/>
      <c r="H180" s="3"/>
      <c r="I180" s="3"/>
      <c r="J180" s="3"/>
    </row>
    <row r="181" spans="1:10" ht="14.25" customHeight="1" x14ac:dyDescent="0.25">
      <c r="A181" s="41"/>
      <c r="B181" s="5"/>
      <c r="C181" s="7"/>
      <c r="D181" s="8"/>
      <c r="E181" s="3"/>
      <c r="F181" s="3"/>
      <c r="G181" s="3"/>
      <c r="H181" s="3"/>
      <c r="I181" s="3"/>
      <c r="J181" s="3"/>
    </row>
    <row r="182" spans="1:10" ht="14.25" customHeight="1" x14ac:dyDescent="0.25">
      <c r="A182" s="41"/>
      <c r="B182" s="5"/>
      <c r="C182" s="7"/>
      <c r="D182" s="8"/>
      <c r="E182" s="3"/>
      <c r="F182" s="3"/>
      <c r="G182" s="3"/>
      <c r="H182" s="3"/>
      <c r="I182" s="3"/>
      <c r="J182" s="3"/>
    </row>
    <row r="183" spans="1:10" ht="14.25" customHeight="1" x14ac:dyDescent="0.25">
      <c r="A183" s="41"/>
      <c r="B183" s="5"/>
      <c r="C183" s="7"/>
      <c r="D183" s="8"/>
      <c r="E183" s="3"/>
      <c r="F183" s="3"/>
      <c r="G183" s="3"/>
      <c r="H183" s="3"/>
      <c r="I183" s="3"/>
      <c r="J183" s="3"/>
    </row>
    <row r="184" spans="1:10" ht="14.25" customHeight="1" x14ac:dyDescent="0.25">
      <c r="A184" s="41"/>
      <c r="B184" s="5"/>
      <c r="C184" s="7"/>
      <c r="D184" s="8"/>
      <c r="E184" s="3"/>
      <c r="F184" s="3"/>
      <c r="G184" s="3"/>
      <c r="H184" s="3"/>
      <c r="I184" s="3"/>
      <c r="J184" s="3"/>
    </row>
    <row r="185" spans="1:10" ht="14.25" customHeight="1" x14ac:dyDescent="0.25">
      <c r="A185" s="41"/>
      <c r="B185" s="5"/>
      <c r="C185" s="7"/>
      <c r="D185" s="8"/>
      <c r="E185" s="3"/>
      <c r="F185" s="3"/>
      <c r="G185" s="3"/>
      <c r="H185" s="3"/>
      <c r="I185" s="3"/>
      <c r="J185" s="3"/>
    </row>
    <row r="186" spans="1:10" ht="14.25" customHeight="1" x14ac:dyDescent="0.25">
      <c r="A186" s="41"/>
      <c r="B186" s="5"/>
      <c r="C186" s="7"/>
      <c r="D186" s="8"/>
      <c r="E186" s="3"/>
      <c r="F186" s="3"/>
      <c r="G186" s="3"/>
      <c r="H186" s="3"/>
      <c r="I186" s="3"/>
      <c r="J186" s="3"/>
    </row>
    <row r="187" spans="1:10" ht="14.25" customHeight="1" x14ac:dyDescent="0.25">
      <c r="A187" s="41"/>
      <c r="B187" s="5"/>
      <c r="C187" s="7"/>
      <c r="D187" s="8"/>
      <c r="E187" s="3"/>
      <c r="F187" s="3"/>
      <c r="G187" s="3"/>
      <c r="H187" s="3"/>
      <c r="I187" s="3"/>
      <c r="J187" s="3"/>
    </row>
    <row r="188" spans="1:10" ht="14.25" customHeight="1" x14ac:dyDescent="0.25">
      <c r="A188" s="41"/>
      <c r="B188" s="5"/>
      <c r="C188" s="7"/>
      <c r="D188" s="8"/>
      <c r="E188" s="3"/>
      <c r="F188" s="3"/>
      <c r="G188" s="3"/>
      <c r="H188" s="3"/>
      <c r="I188" s="3"/>
      <c r="J188" s="3"/>
    </row>
    <row r="189" spans="1:10" ht="14.25" customHeight="1" x14ac:dyDescent="0.25">
      <c r="A189" s="41"/>
      <c r="B189" s="5"/>
      <c r="C189" s="7"/>
      <c r="D189" s="8"/>
      <c r="E189" s="3"/>
      <c r="F189" s="3"/>
      <c r="G189" s="3"/>
      <c r="H189" s="3"/>
      <c r="I189" s="3"/>
      <c r="J189" s="3"/>
    </row>
    <row r="190" spans="1:10" ht="14.25" customHeight="1" x14ac:dyDescent="0.25">
      <c r="A190" s="41"/>
      <c r="B190" s="5"/>
      <c r="C190" s="7"/>
      <c r="D190" s="8"/>
      <c r="E190" s="3"/>
      <c r="F190" s="3"/>
      <c r="G190" s="3"/>
      <c r="H190" s="3"/>
      <c r="I190" s="3"/>
      <c r="J190" s="3"/>
    </row>
    <row r="191" spans="1:10" ht="14.25" customHeight="1" x14ac:dyDescent="0.25">
      <c r="A191" s="41"/>
      <c r="B191" s="5"/>
      <c r="C191" s="7"/>
      <c r="D191" s="8"/>
      <c r="E191" s="3"/>
      <c r="F191" s="3"/>
      <c r="G191" s="3"/>
      <c r="H191" s="3"/>
      <c r="I191" s="3"/>
      <c r="J191" s="3"/>
    </row>
    <row r="192" spans="1:10" ht="14.25" customHeight="1" x14ac:dyDescent="0.25">
      <c r="A192" s="41"/>
      <c r="B192" s="5"/>
      <c r="C192" s="7"/>
      <c r="D192" s="8"/>
      <c r="E192" s="3"/>
      <c r="F192" s="3"/>
      <c r="G192" s="3"/>
      <c r="H192" s="3"/>
      <c r="I192" s="3"/>
      <c r="J192" s="3"/>
    </row>
    <row r="193" spans="1:10" ht="14.25" customHeight="1" x14ac:dyDescent="0.25">
      <c r="A193" s="41"/>
      <c r="B193" s="5"/>
      <c r="C193" s="7"/>
      <c r="D193" s="8"/>
      <c r="E193" s="3"/>
      <c r="F193" s="3"/>
      <c r="G193" s="3"/>
      <c r="H193" s="3"/>
      <c r="I193" s="3"/>
      <c r="J193" s="3"/>
    </row>
    <row r="194" spans="1:10" ht="14.25" customHeight="1" x14ac:dyDescent="0.25">
      <c r="A194" s="41"/>
      <c r="B194" s="5"/>
      <c r="C194" s="7"/>
      <c r="D194" s="8"/>
      <c r="E194" s="3"/>
      <c r="F194" s="3"/>
      <c r="G194" s="3"/>
      <c r="H194" s="3"/>
      <c r="I194" s="3"/>
      <c r="J194" s="3"/>
    </row>
    <row r="195" spans="1:10" ht="14.25" customHeight="1" x14ac:dyDescent="0.25">
      <c r="A195" s="41"/>
      <c r="B195" s="5"/>
      <c r="C195" s="7"/>
      <c r="D195" s="8"/>
      <c r="E195" s="3"/>
      <c r="F195" s="3"/>
      <c r="G195" s="3"/>
      <c r="H195" s="3"/>
      <c r="I195" s="3"/>
      <c r="J195" s="3"/>
    </row>
    <row r="196" spans="1:10" ht="14.25" customHeight="1" x14ac:dyDescent="0.25">
      <c r="A196" s="41"/>
      <c r="B196" s="5"/>
      <c r="C196" s="7"/>
      <c r="D196" s="8"/>
      <c r="E196" s="3"/>
      <c r="F196" s="3"/>
      <c r="G196" s="3"/>
      <c r="H196" s="3"/>
      <c r="I196" s="3"/>
      <c r="J196" s="3"/>
    </row>
    <row r="197" spans="1:10" ht="14.25" customHeight="1" x14ac:dyDescent="0.25">
      <c r="A197" s="41"/>
      <c r="B197" s="5"/>
      <c r="C197" s="7"/>
      <c r="D197" s="8"/>
      <c r="E197" s="3"/>
      <c r="F197" s="3"/>
      <c r="G197" s="3"/>
      <c r="H197" s="3"/>
      <c r="I197" s="3"/>
      <c r="J197" s="3"/>
    </row>
    <row r="198" spans="1:10" ht="14.25" customHeight="1" x14ac:dyDescent="0.25">
      <c r="A198" s="41"/>
      <c r="B198" s="5"/>
      <c r="C198" s="7"/>
      <c r="D198" s="8"/>
      <c r="E198" s="3"/>
      <c r="F198" s="3"/>
      <c r="G198" s="3"/>
      <c r="H198" s="3"/>
      <c r="I198" s="3"/>
      <c r="J198" s="3"/>
    </row>
    <row r="199" spans="1:10" ht="14.25" customHeight="1" x14ac:dyDescent="0.25">
      <c r="A199" s="41"/>
      <c r="B199" s="5"/>
      <c r="C199" s="7"/>
      <c r="D199" s="8"/>
      <c r="E199" s="3"/>
      <c r="F199" s="3"/>
      <c r="G199" s="3"/>
      <c r="H199" s="3"/>
      <c r="I199" s="3"/>
      <c r="J199" s="3"/>
    </row>
    <row r="200" spans="1:10" ht="14.25" customHeight="1" x14ac:dyDescent="0.25">
      <c r="A200" s="41"/>
      <c r="B200" s="5"/>
      <c r="C200" s="7"/>
      <c r="D200" s="8"/>
      <c r="E200" s="3"/>
      <c r="F200" s="3"/>
      <c r="G200" s="3"/>
      <c r="H200" s="3"/>
      <c r="I200" s="3"/>
      <c r="J200" s="3"/>
    </row>
    <row r="201" spans="1:10" ht="14.25" customHeight="1" x14ac:dyDescent="0.25">
      <c r="A201" s="41"/>
      <c r="B201" s="5"/>
      <c r="C201" s="7"/>
      <c r="D201" s="8"/>
      <c r="E201" s="3"/>
      <c r="F201" s="3"/>
      <c r="G201" s="3"/>
      <c r="H201" s="3"/>
      <c r="I201" s="3"/>
      <c r="J201" s="3"/>
    </row>
    <row r="202" spans="1:10" ht="14.25" customHeight="1" x14ac:dyDescent="0.25">
      <c r="A202" s="41"/>
      <c r="B202" s="5"/>
      <c r="C202" s="7"/>
      <c r="D202" s="8"/>
      <c r="E202" s="3"/>
      <c r="F202" s="3"/>
      <c r="G202" s="3"/>
      <c r="H202" s="3"/>
      <c r="I202" s="3"/>
      <c r="J202" s="3"/>
    </row>
    <row r="203" spans="1:10" ht="14.25" customHeight="1" x14ac:dyDescent="0.25">
      <c r="A203" s="41"/>
      <c r="B203" s="5"/>
      <c r="C203" s="7"/>
      <c r="D203" s="8"/>
      <c r="E203" s="3"/>
      <c r="F203" s="3"/>
      <c r="G203" s="3"/>
      <c r="H203" s="3"/>
      <c r="I203" s="3"/>
      <c r="J203" s="3"/>
    </row>
    <row r="204" spans="1:10" ht="14.25" customHeight="1" x14ac:dyDescent="0.25">
      <c r="A204" s="41"/>
      <c r="B204" s="5"/>
      <c r="C204" s="7"/>
      <c r="D204" s="8"/>
      <c r="E204" s="3"/>
      <c r="F204" s="3"/>
      <c r="G204" s="3"/>
      <c r="H204" s="3"/>
      <c r="I204" s="3"/>
      <c r="J204" s="3"/>
    </row>
    <row r="205" spans="1:10" ht="14.25" customHeight="1" x14ac:dyDescent="0.25">
      <c r="A205" s="41"/>
      <c r="B205" s="5"/>
      <c r="C205" s="7"/>
      <c r="D205" s="8"/>
      <c r="E205" s="3"/>
      <c r="F205" s="3"/>
      <c r="G205" s="3"/>
      <c r="H205" s="3"/>
      <c r="I205" s="3"/>
      <c r="J205" s="3"/>
    </row>
    <row r="206" spans="1:10" ht="14.25" customHeight="1" x14ac:dyDescent="0.25">
      <c r="A206" s="41"/>
      <c r="B206" s="5"/>
      <c r="C206" s="7"/>
      <c r="D206" s="8"/>
      <c r="E206" s="3"/>
      <c r="F206" s="3"/>
      <c r="G206" s="3"/>
      <c r="H206" s="3"/>
      <c r="I206" s="3"/>
      <c r="J206" s="3"/>
    </row>
    <row r="207" spans="1:10" ht="14.25" customHeight="1" x14ac:dyDescent="0.25">
      <c r="A207" s="41"/>
      <c r="B207" s="5"/>
      <c r="C207" s="7"/>
      <c r="D207" s="8"/>
      <c r="E207" s="3"/>
      <c r="F207" s="3"/>
      <c r="G207" s="3"/>
      <c r="H207" s="3"/>
      <c r="I207" s="3"/>
      <c r="J207" s="3"/>
    </row>
    <row r="208" spans="1:10" ht="14.25" customHeight="1" x14ac:dyDescent="0.25">
      <c r="A208" s="41"/>
      <c r="B208" s="5"/>
      <c r="C208" s="7"/>
      <c r="D208" s="8"/>
      <c r="E208" s="3"/>
      <c r="F208" s="3"/>
      <c r="G208" s="3"/>
      <c r="H208" s="3"/>
      <c r="I208" s="3"/>
      <c r="J208" s="3"/>
    </row>
    <row r="209" spans="1:10" ht="14.25" customHeight="1" x14ac:dyDescent="0.25">
      <c r="A209" s="41"/>
      <c r="B209" s="5"/>
      <c r="C209" s="7"/>
      <c r="D209" s="8"/>
      <c r="E209" s="3"/>
      <c r="F209" s="3"/>
      <c r="G209" s="3"/>
      <c r="H209" s="3"/>
      <c r="I209" s="3"/>
      <c r="J209" s="3"/>
    </row>
    <row r="210" spans="1:10" ht="14.25" customHeight="1" x14ac:dyDescent="0.25">
      <c r="A210" s="41"/>
      <c r="B210" s="5"/>
      <c r="C210" s="7"/>
      <c r="D210" s="8"/>
      <c r="E210" s="3"/>
      <c r="F210" s="3"/>
      <c r="G210" s="3"/>
      <c r="H210" s="3"/>
      <c r="I210" s="3"/>
      <c r="J210" s="3"/>
    </row>
    <row r="211" spans="1:10" ht="14.25" customHeight="1" x14ac:dyDescent="0.25">
      <c r="A211" s="41"/>
      <c r="B211" s="5"/>
      <c r="C211" s="7"/>
      <c r="D211" s="8"/>
      <c r="E211" s="3"/>
      <c r="F211" s="3"/>
      <c r="G211" s="3"/>
      <c r="H211" s="3"/>
      <c r="I211" s="3"/>
      <c r="J211" s="3"/>
    </row>
    <row r="212" spans="1:10" ht="14.25" customHeight="1" x14ac:dyDescent="0.25">
      <c r="A212" s="41"/>
      <c r="B212" s="5"/>
      <c r="C212" s="7"/>
      <c r="D212" s="8"/>
      <c r="E212" s="3"/>
      <c r="F212" s="3"/>
      <c r="G212" s="3"/>
      <c r="H212" s="3"/>
      <c r="I212" s="3"/>
      <c r="J212" s="3"/>
    </row>
    <row r="213" spans="1:10" ht="14.25" customHeight="1" x14ac:dyDescent="0.25">
      <c r="A213" s="41"/>
      <c r="B213" s="5"/>
      <c r="C213" s="7"/>
      <c r="D213" s="8"/>
      <c r="E213" s="3"/>
      <c r="F213" s="3"/>
      <c r="G213" s="3"/>
      <c r="H213" s="3"/>
      <c r="I213" s="3"/>
      <c r="J213" s="3"/>
    </row>
    <row r="214" spans="1:10" ht="14.25" customHeight="1" x14ac:dyDescent="0.25">
      <c r="A214" s="41"/>
      <c r="B214" s="5"/>
      <c r="C214" s="7"/>
      <c r="D214" s="8"/>
      <c r="E214" s="3"/>
      <c r="F214" s="3"/>
      <c r="G214" s="3"/>
      <c r="H214" s="3"/>
      <c r="I214" s="3"/>
      <c r="J214" s="3"/>
    </row>
    <row r="215" spans="1:10" ht="14.25" customHeight="1" x14ac:dyDescent="0.25">
      <c r="A215" s="41"/>
      <c r="B215" s="5"/>
      <c r="C215" s="7"/>
      <c r="D215" s="8"/>
      <c r="E215" s="3"/>
      <c r="F215" s="3"/>
      <c r="G215" s="3"/>
      <c r="H215" s="3"/>
      <c r="I215" s="3"/>
      <c r="J215" s="3"/>
    </row>
    <row r="216" spans="1:10" ht="14.25" customHeight="1" x14ac:dyDescent="0.25">
      <c r="A216" s="41"/>
      <c r="B216" s="5"/>
      <c r="C216" s="7"/>
      <c r="D216" s="8"/>
      <c r="E216" s="3"/>
      <c r="F216" s="3"/>
      <c r="G216" s="3"/>
      <c r="H216" s="3"/>
      <c r="I216" s="3"/>
      <c r="J216" s="3"/>
    </row>
    <row r="217" spans="1:10" ht="14.25" customHeight="1" x14ac:dyDescent="0.25">
      <c r="A217" s="41"/>
      <c r="B217" s="5"/>
      <c r="C217" s="7"/>
      <c r="D217" s="8"/>
      <c r="E217" s="3"/>
      <c r="F217" s="3"/>
      <c r="G217" s="3"/>
      <c r="H217" s="3"/>
      <c r="I217" s="3"/>
      <c r="J217" s="3"/>
    </row>
    <row r="218" spans="1:10" ht="14.25" customHeight="1" x14ac:dyDescent="0.25">
      <c r="A218" s="41"/>
      <c r="B218" s="5"/>
      <c r="C218" s="7"/>
      <c r="D218" s="8"/>
      <c r="E218" s="3"/>
      <c r="F218" s="3"/>
      <c r="G218" s="3"/>
      <c r="H218" s="3"/>
      <c r="I218" s="3"/>
      <c r="J218" s="3"/>
    </row>
    <row r="219" spans="1:10" ht="14.25" customHeight="1" x14ac:dyDescent="0.25">
      <c r="A219" s="41"/>
      <c r="B219" s="5"/>
      <c r="C219" s="7"/>
      <c r="D219" s="8"/>
      <c r="E219" s="3"/>
      <c r="F219" s="3"/>
      <c r="G219" s="3"/>
      <c r="H219" s="3"/>
      <c r="I219" s="3"/>
      <c r="J219" s="3"/>
    </row>
    <row r="220" spans="1:10" ht="14.25" customHeight="1" x14ac:dyDescent="0.25">
      <c r="A220" s="41"/>
      <c r="B220" s="5"/>
      <c r="C220" s="7"/>
      <c r="D220" s="8"/>
      <c r="E220" s="3"/>
      <c r="F220" s="3"/>
      <c r="G220" s="3"/>
      <c r="H220" s="3"/>
      <c r="I220" s="3"/>
      <c r="J220" s="3"/>
    </row>
    <row r="221" spans="1:10" ht="14.25" customHeight="1" x14ac:dyDescent="0.25">
      <c r="A221" s="41"/>
      <c r="B221" s="5"/>
      <c r="C221" s="7"/>
      <c r="D221" s="8"/>
      <c r="E221" s="3"/>
      <c r="F221" s="3"/>
      <c r="G221" s="3"/>
      <c r="H221" s="3"/>
      <c r="I221" s="3"/>
      <c r="J221" s="3"/>
    </row>
    <row r="222" spans="1:10" ht="14.25" customHeight="1" x14ac:dyDescent="0.25">
      <c r="A222" s="41"/>
      <c r="B222" s="5"/>
      <c r="C222" s="7"/>
      <c r="D222" s="8"/>
      <c r="E222" s="3"/>
      <c r="F222" s="3"/>
      <c r="G222" s="3"/>
      <c r="H222" s="3"/>
      <c r="I222" s="3"/>
      <c r="J222" s="3"/>
    </row>
    <row r="223" spans="1:10" ht="14.25" customHeight="1" x14ac:dyDescent="0.25">
      <c r="A223" s="41"/>
      <c r="B223" s="5"/>
      <c r="C223" s="7"/>
      <c r="D223" s="8"/>
      <c r="E223" s="3"/>
      <c r="F223" s="3"/>
      <c r="G223" s="3"/>
      <c r="H223" s="3"/>
      <c r="I223" s="3"/>
      <c r="J223" s="3"/>
    </row>
    <row r="224" spans="1:10" ht="14.25" customHeight="1" x14ac:dyDescent="0.25">
      <c r="A224" s="41"/>
      <c r="B224" s="5"/>
      <c r="C224" s="7"/>
      <c r="D224" s="8"/>
      <c r="E224" s="3"/>
      <c r="F224" s="3"/>
      <c r="G224" s="3"/>
      <c r="H224" s="3"/>
      <c r="I224" s="3"/>
      <c r="J224" s="3"/>
    </row>
    <row r="225" spans="1:10" ht="14.25" customHeight="1" x14ac:dyDescent="0.25">
      <c r="A225" s="41"/>
      <c r="B225" s="5"/>
      <c r="C225" s="7"/>
      <c r="D225" s="8"/>
      <c r="E225" s="3"/>
      <c r="F225" s="3"/>
      <c r="G225" s="3"/>
      <c r="H225" s="3"/>
      <c r="I225" s="3"/>
      <c r="J225" s="3"/>
    </row>
    <row r="226" spans="1:10" ht="14.25" customHeight="1" x14ac:dyDescent="0.25">
      <c r="A226" s="41"/>
      <c r="B226" s="5"/>
      <c r="C226" s="7"/>
      <c r="D226" s="8"/>
      <c r="E226" s="3"/>
      <c r="F226" s="3"/>
      <c r="G226" s="3"/>
      <c r="H226" s="3"/>
      <c r="I226" s="3"/>
      <c r="J226" s="3"/>
    </row>
    <row r="227" spans="1:10" ht="14.25" customHeight="1" x14ac:dyDescent="0.25">
      <c r="A227" s="41"/>
      <c r="B227" s="5"/>
      <c r="C227" s="7"/>
      <c r="D227" s="8"/>
      <c r="E227" s="3"/>
      <c r="F227" s="3"/>
      <c r="G227" s="3"/>
      <c r="H227" s="3"/>
      <c r="I227" s="3"/>
      <c r="J227" s="3"/>
    </row>
    <row r="228" spans="1:10" ht="14.25" customHeight="1" x14ac:dyDescent="0.25">
      <c r="A228" s="41"/>
      <c r="B228" s="5"/>
      <c r="C228" s="7"/>
      <c r="D228" s="8"/>
      <c r="E228" s="3"/>
      <c r="F228" s="3"/>
      <c r="G228" s="3"/>
      <c r="H228" s="3"/>
      <c r="I228" s="3"/>
      <c r="J228" s="3"/>
    </row>
    <row r="229" spans="1:10" ht="14.25" customHeight="1" x14ac:dyDescent="0.25">
      <c r="A229" s="41"/>
      <c r="B229" s="5"/>
      <c r="C229" s="7"/>
      <c r="D229" s="8"/>
      <c r="E229" s="3"/>
      <c r="F229" s="3"/>
      <c r="G229" s="3"/>
      <c r="H229" s="3"/>
      <c r="I229" s="3"/>
      <c r="J229" s="3"/>
    </row>
    <row r="230" spans="1:10" ht="14.25" customHeight="1" x14ac:dyDescent="0.25">
      <c r="A230" s="41"/>
      <c r="B230" s="5"/>
      <c r="C230" s="7"/>
      <c r="D230" s="8"/>
      <c r="E230" s="3"/>
      <c r="F230" s="3"/>
      <c r="G230" s="3"/>
      <c r="H230" s="3"/>
      <c r="I230" s="3"/>
      <c r="J230" s="3"/>
    </row>
    <row r="231" spans="1:10" ht="14.25" customHeight="1" x14ac:dyDescent="0.25">
      <c r="A231" s="41"/>
      <c r="B231" s="5"/>
      <c r="C231" s="7"/>
      <c r="D231" s="8"/>
      <c r="E231" s="3"/>
      <c r="F231" s="3"/>
      <c r="G231" s="3"/>
      <c r="H231" s="3"/>
      <c r="I231" s="3"/>
      <c r="J231" s="3"/>
    </row>
    <row r="232" spans="1:10" ht="14.25" customHeight="1" x14ac:dyDescent="0.25">
      <c r="A232" s="41"/>
      <c r="B232" s="5"/>
      <c r="C232" s="7"/>
      <c r="D232" s="8"/>
      <c r="E232" s="3"/>
      <c r="F232" s="3"/>
      <c r="G232" s="3"/>
      <c r="H232" s="3"/>
      <c r="I232" s="3"/>
      <c r="J232" s="3"/>
    </row>
    <row r="233" spans="1:10" ht="14.25" customHeight="1" x14ac:dyDescent="0.25">
      <c r="A233" s="41"/>
      <c r="B233" s="5"/>
      <c r="C233" s="7"/>
      <c r="D233" s="8"/>
      <c r="E233" s="3"/>
      <c r="F233" s="3"/>
      <c r="G233" s="3"/>
      <c r="H233" s="3"/>
      <c r="I233" s="3"/>
      <c r="J233" s="3"/>
    </row>
    <row r="234" spans="1:10" ht="14.25" customHeight="1" x14ac:dyDescent="0.25">
      <c r="A234" s="41"/>
      <c r="B234" s="5"/>
      <c r="C234" s="7"/>
      <c r="D234" s="8"/>
      <c r="E234" s="3"/>
      <c r="F234" s="3"/>
      <c r="G234" s="3"/>
      <c r="H234" s="3"/>
      <c r="I234" s="3"/>
      <c r="J234" s="3"/>
    </row>
    <row r="235" spans="1:10" ht="14.25" customHeight="1" x14ac:dyDescent="0.25">
      <c r="A235" s="41"/>
      <c r="B235" s="5"/>
      <c r="C235" s="7"/>
      <c r="D235" s="8"/>
      <c r="E235" s="3"/>
      <c r="F235" s="3"/>
      <c r="G235" s="3"/>
      <c r="H235" s="3"/>
      <c r="I235" s="3"/>
      <c r="J235" s="3"/>
    </row>
    <row r="236" spans="1:10" ht="14.25" customHeight="1" x14ac:dyDescent="0.25">
      <c r="A236" s="41"/>
      <c r="B236" s="5"/>
      <c r="C236" s="7"/>
      <c r="D236" s="8"/>
      <c r="E236" s="3"/>
      <c r="F236" s="3"/>
      <c r="G236" s="3"/>
      <c r="H236" s="3"/>
      <c r="I236" s="3"/>
      <c r="J236" s="3"/>
    </row>
    <row r="237" spans="1:10" ht="14.25" customHeight="1" x14ac:dyDescent="0.25">
      <c r="A237" s="41"/>
      <c r="B237" s="5"/>
      <c r="C237" s="7"/>
      <c r="D237" s="8"/>
      <c r="E237" s="3"/>
      <c r="F237" s="3"/>
      <c r="G237" s="3"/>
      <c r="H237" s="3"/>
      <c r="I237" s="3"/>
      <c r="J237" s="3"/>
    </row>
    <row r="238" spans="1:10" ht="14.25" customHeight="1" x14ac:dyDescent="0.25">
      <c r="A238" s="41"/>
      <c r="B238" s="5"/>
      <c r="C238" s="7"/>
      <c r="D238" s="8"/>
      <c r="E238" s="3"/>
      <c r="F238" s="3"/>
      <c r="G238" s="3"/>
      <c r="H238" s="3"/>
      <c r="I238" s="3"/>
      <c r="J238" s="3"/>
    </row>
    <row r="239" spans="1:10" ht="14.25" customHeight="1" x14ac:dyDescent="0.25">
      <c r="A239" s="41"/>
      <c r="B239" s="5"/>
      <c r="C239" s="7"/>
      <c r="D239" s="8"/>
      <c r="E239" s="3"/>
      <c r="F239" s="3"/>
      <c r="G239" s="3"/>
      <c r="H239" s="3"/>
      <c r="I239" s="3"/>
      <c r="J239" s="3"/>
    </row>
    <row r="240" spans="1:10" ht="14.25" customHeight="1" x14ac:dyDescent="0.25">
      <c r="A240" s="41"/>
      <c r="B240" s="5"/>
      <c r="C240" s="7"/>
      <c r="D240" s="8"/>
      <c r="E240" s="3"/>
      <c r="F240" s="3"/>
      <c r="G240" s="3"/>
      <c r="H240" s="3"/>
      <c r="I240" s="3"/>
      <c r="J240" s="3"/>
    </row>
    <row r="241" spans="1:10" ht="14.25" customHeight="1" x14ac:dyDescent="0.25">
      <c r="A241" s="41"/>
      <c r="B241" s="5"/>
      <c r="C241" s="7"/>
      <c r="D241" s="8"/>
      <c r="E241" s="3"/>
      <c r="F241" s="3"/>
      <c r="G241" s="3"/>
      <c r="H241" s="3"/>
      <c r="I241" s="3"/>
      <c r="J241" s="3"/>
    </row>
    <row r="242" spans="1:10" ht="14.25" customHeight="1" x14ac:dyDescent="0.25">
      <c r="A242" s="41"/>
      <c r="B242" s="5"/>
      <c r="C242" s="7"/>
      <c r="D242" s="8"/>
      <c r="E242" s="3"/>
      <c r="F242" s="3"/>
      <c r="G242" s="3"/>
      <c r="H242" s="3"/>
      <c r="I242" s="3"/>
      <c r="J242" s="3"/>
    </row>
    <row r="243" spans="1:10" ht="14.25" customHeight="1" x14ac:dyDescent="0.25">
      <c r="A243" s="41"/>
      <c r="B243" s="5"/>
      <c r="C243" s="7"/>
      <c r="D243" s="8"/>
      <c r="E243" s="3"/>
      <c r="F243" s="3"/>
      <c r="G243" s="3"/>
      <c r="H243" s="3"/>
      <c r="I243" s="3"/>
      <c r="J243" s="3"/>
    </row>
    <row r="244" spans="1:10" ht="14.25" customHeight="1" x14ac:dyDescent="0.25">
      <c r="A244" s="41"/>
      <c r="B244" s="5"/>
      <c r="C244" s="7"/>
      <c r="D244" s="8"/>
      <c r="E244" s="3"/>
      <c r="F244" s="3"/>
      <c r="G244" s="3"/>
      <c r="H244" s="3"/>
      <c r="I244" s="3"/>
      <c r="J244" s="3"/>
    </row>
    <row r="245" spans="1:10" ht="14.25" customHeight="1" x14ac:dyDescent="0.25">
      <c r="A245" s="41"/>
      <c r="B245" s="5"/>
      <c r="C245" s="7"/>
      <c r="D245" s="8"/>
      <c r="E245" s="3"/>
      <c r="F245" s="3"/>
      <c r="G245" s="3"/>
      <c r="H245" s="3"/>
      <c r="I245" s="3"/>
      <c r="J245" s="3"/>
    </row>
    <row r="246" spans="1:10" ht="14.25" customHeight="1" x14ac:dyDescent="0.25">
      <c r="A246" s="41"/>
      <c r="B246" s="5"/>
      <c r="C246" s="7"/>
      <c r="D246" s="8"/>
      <c r="E246" s="3"/>
      <c r="F246" s="3"/>
      <c r="G246" s="3"/>
      <c r="H246" s="3"/>
      <c r="I246" s="3"/>
      <c r="J246" s="3"/>
    </row>
    <row r="247" spans="1:10" ht="14.25" customHeight="1" x14ac:dyDescent="0.25">
      <c r="A247" s="41"/>
      <c r="B247" s="5"/>
      <c r="C247" s="7"/>
      <c r="D247" s="8"/>
      <c r="E247" s="3"/>
      <c r="F247" s="3"/>
      <c r="G247" s="3"/>
      <c r="H247" s="3"/>
      <c r="I247" s="3"/>
      <c r="J247" s="3"/>
    </row>
    <row r="248" spans="1:10" ht="14.25" customHeight="1" x14ac:dyDescent="0.25">
      <c r="A248" s="41"/>
      <c r="B248" s="5"/>
      <c r="C248" s="7"/>
      <c r="D248" s="8"/>
      <c r="E248" s="3"/>
      <c r="F248" s="3"/>
      <c r="G248" s="3"/>
      <c r="H248" s="3"/>
      <c r="I248" s="3"/>
      <c r="J248" s="3"/>
    </row>
    <row r="249" spans="1:10" ht="14.25" customHeight="1" x14ac:dyDescent="0.25">
      <c r="A249" s="41"/>
      <c r="B249" s="5"/>
      <c r="C249" s="7"/>
      <c r="D249" s="8"/>
      <c r="E249" s="3"/>
      <c r="F249" s="3"/>
      <c r="G249" s="3"/>
      <c r="H249" s="3"/>
      <c r="I249" s="3"/>
      <c r="J249" s="3"/>
    </row>
    <row r="250" spans="1:10" ht="14.25" customHeight="1" x14ac:dyDescent="0.25">
      <c r="A250" s="41"/>
      <c r="B250" s="5"/>
      <c r="C250" s="7"/>
      <c r="D250" s="8"/>
      <c r="E250" s="3"/>
      <c r="F250" s="3"/>
      <c r="G250" s="3"/>
      <c r="H250" s="3"/>
      <c r="I250" s="3"/>
      <c r="J250" s="3"/>
    </row>
    <row r="251" spans="1:10" ht="14.25" customHeight="1" x14ac:dyDescent="0.25">
      <c r="A251" s="41"/>
      <c r="B251" s="5"/>
      <c r="C251" s="7"/>
      <c r="D251" s="8"/>
      <c r="E251" s="3"/>
      <c r="F251" s="3"/>
      <c r="G251" s="3"/>
      <c r="H251" s="3"/>
      <c r="I251" s="3"/>
      <c r="J251" s="3"/>
    </row>
    <row r="252" spans="1:10" ht="14.25" customHeight="1" x14ac:dyDescent="0.25">
      <c r="A252" s="41"/>
      <c r="B252" s="5"/>
      <c r="C252" s="7"/>
      <c r="D252" s="8"/>
      <c r="E252" s="3"/>
      <c r="F252" s="3"/>
      <c r="G252" s="3"/>
      <c r="H252" s="3"/>
      <c r="I252" s="3"/>
      <c r="J252" s="3"/>
    </row>
    <row r="253" spans="1:10" ht="14.25" customHeight="1" x14ac:dyDescent="0.25">
      <c r="A253" s="41"/>
      <c r="B253" s="5"/>
      <c r="C253" s="7"/>
      <c r="D253" s="8"/>
      <c r="E253" s="3"/>
      <c r="F253" s="3"/>
      <c r="G253" s="3"/>
      <c r="H253" s="3"/>
      <c r="I253" s="3"/>
      <c r="J253" s="3"/>
    </row>
    <row r="254" spans="1:10" ht="14.25" customHeight="1" x14ac:dyDescent="0.25">
      <c r="A254" s="41"/>
      <c r="B254" s="5"/>
      <c r="C254" s="7"/>
      <c r="D254" s="8"/>
      <c r="E254" s="3"/>
      <c r="F254" s="3"/>
      <c r="G254" s="3"/>
      <c r="H254" s="3"/>
      <c r="I254" s="3"/>
      <c r="J254" s="3"/>
    </row>
    <row r="255" spans="1:10" ht="14.25" customHeight="1" x14ac:dyDescent="0.25">
      <c r="A255" s="41"/>
      <c r="B255" s="5"/>
      <c r="C255" s="7"/>
      <c r="D255" s="8"/>
      <c r="E255" s="3"/>
      <c r="F255" s="3"/>
      <c r="G255" s="3"/>
      <c r="H255" s="3"/>
      <c r="I255" s="3"/>
      <c r="J255" s="3"/>
    </row>
    <row r="256" spans="1:10" ht="14.25" customHeight="1" x14ac:dyDescent="0.25">
      <c r="A256" s="41"/>
      <c r="B256" s="5"/>
      <c r="C256" s="7"/>
      <c r="D256" s="8"/>
      <c r="E256" s="3"/>
      <c r="F256" s="3"/>
      <c r="G256" s="3"/>
      <c r="H256" s="3"/>
      <c r="I256" s="3"/>
      <c r="J256" s="3"/>
    </row>
    <row r="257" spans="1:10" ht="14.25" customHeight="1" x14ac:dyDescent="0.25">
      <c r="A257" s="41"/>
      <c r="B257" s="5"/>
      <c r="C257" s="7"/>
      <c r="D257" s="8"/>
      <c r="E257" s="3"/>
      <c r="F257" s="3"/>
      <c r="G257" s="3"/>
      <c r="H257" s="3"/>
      <c r="I257" s="3"/>
      <c r="J257" s="3"/>
    </row>
    <row r="258" spans="1:10" ht="14.25" customHeight="1" x14ac:dyDescent="0.25">
      <c r="A258" s="41"/>
      <c r="B258" s="5"/>
      <c r="C258" s="7"/>
      <c r="D258" s="8"/>
      <c r="E258" s="3"/>
      <c r="F258" s="3"/>
      <c r="G258" s="3"/>
      <c r="H258" s="3"/>
      <c r="I258" s="3"/>
      <c r="J258" s="3"/>
    </row>
    <row r="259" spans="1:10" ht="14.25" customHeight="1" x14ac:dyDescent="0.25">
      <c r="A259" s="41"/>
      <c r="B259" s="5"/>
      <c r="C259" s="7"/>
      <c r="D259" s="8"/>
      <c r="E259" s="3"/>
      <c r="F259" s="3"/>
      <c r="G259" s="3"/>
      <c r="H259" s="3"/>
      <c r="I259" s="3"/>
      <c r="J259" s="3"/>
    </row>
    <row r="260" spans="1:10" ht="14.25" customHeight="1" x14ac:dyDescent="0.25">
      <c r="A260" s="41"/>
      <c r="B260" s="5"/>
      <c r="C260" s="7"/>
      <c r="D260" s="8"/>
      <c r="E260" s="3"/>
      <c r="F260" s="3"/>
      <c r="G260" s="3"/>
      <c r="H260" s="3"/>
      <c r="I260" s="3"/>
      <c r="J260" s="3"/>
    </row>
    <row r="261" spans="1:10" ht="14.25" customHeight="1" x14ac:dyDescent="0.25">
      <c r="A261" s="41"/>
      <c r="B261" s="5"/>
      <c r="C261" s="7"/>
      <c r="D261" s="8"/>
      <c r="E261" s="3"/>
      <c r="F261" s="3"/>
      <c r="G261" s="3"/>
      <c r="H261" s="3"/>
      <c r="I261" s="3"/>
      <c r="J261" s="3"/>
    </row>
    <row r="262" spans="1:10" ht="14.25" customHeight="1" x14ac:dyDescent="0.25">
      <c r="A262" s="41"/>
      <c r="B262" s="5"/>
      <c r="C262" s="7"/>
      <c r="D262" s="8"/>
      <c r="E262" s="3"/>
      <c r="F262" s="3"/>
      <c r="G262" s="3"/>
      <c r="H262" s="3"/>
      <c r="I262" s="3"/>
      <c r="J262" s="3"/>
    </row>
    <row r="263" spans="1:10" ht="14.25" customHeight="1" x14ac:dyDescent="0.25">
      <c r="A263" s="41"/>
      <c r="B263" s="5"/>
      <c r="C263" s="7"/>
      <c r="D263" s="8"/>
      <c r="E263" s="3"/>
      <c r="F263" s="3"/>
      <c r="G263" s="3"/>
      <c r="H263" s="3"/>
      <c r="I263" s="3"/>
      <c r="J263" s="3"/>
    </row>
    <row r="264" spans="1:10" ht="14.25" customHeight="1" x14ac:dyDescent="0.25">
      <c r="A264" s="41"/>
      <c r="B264" s="5"/>
      <c r="C264" s="7"/>
      <c r="D264" s="8"/>
      <c r="E264" s="3"/>
      <c r="F264" s="3"/>
      <c r="G264" s="3"/>
      <c r="H264" s="3"/>
      <c r="I264" s="3"/>
      <c r="J264" s="3"/>
    </row>
    <row r="265" spans="1:10" ht="14.25" customHeight="1" x14ac:dyDescent="0.25">
      <c r="A265" s="41"/>
      <c r="B265" s="5"/>
      <c r="C265" s="7"/>
      <c r="D265" s="8"/>
      <c r="E265" s="3"/>
      <c r="F265" s="3"/>
      <c r="G265" s="3"/>
      <c r="H265" s="3"/>
      <c r="I265" s="3"/>
      <c r="J265" s="3"/>
    </row>
    <row r="266" spans="1:10" ht="14.25" customHeight="1" x14ac:dyDescent="0.25">
      <c r="A266" s="41"/>
      <c r="B266" s="5"/>
      <c r="C266" s="7"/>
      <c r="D266" s="8"/>
      <c r="E266" s="3"/>
      <c r="F266" s="3"/>
      <c r="G266" s="3"/>
      <c r="H266" s="3"/>
      <c r="I266" s="3"/>
      <c r="J266" s="3"/>
    </row>
    <row r="267" spans="1:10" ht="14.25" customHeight="1" x14ac:dyDescent="0.25">
      <c r="A267" s="41"/>
      <c r="B267" s="5"/>
      <c r="C267" s="7"/>
      <c r="D267" s="8"/>
      <c r="E267" s="3"/>
      <c r="F267" s="3"/>
      <c r="G267" s="3"/>
      <c r="H267" s="3"/>
      <c r="I267" s="3"/>
      <c r="J267" s="3"/>
    </row>
    <row r="268" spans="1:10" ht="14.25" customHeight="1" x14ac:dyDescent="0.25">
      <c r="A268" s="41"/>
      <c r="B268" s="5"/>
      <c r="C268" s="7"/>
      <c r="D268" s="8"/>
      <c r="E268" s="3"/>
      <c r="F268" s="3"/>
      <c r="G268" s="3"/>
      <c r="H268" s="3"/>
      <c r="I268" s="3"/>
      <c r="J268" s="3"/>
    </row>
    <row r="269" spans="1:10" ht="14.25" customHeight="1" x14ac:dyDescent="0.25">
      <c r="A269" s="41"/>
      <c r="B269" s="5"/>
      <c r="C269" s="7"/>
      <c r="D269" s="8"/>
      <c r="E269" s="3"/>
      <c r="F269" s="3"/>
      <c r="G269" s="3"/>
      <c r="H269" s="3"/>
      <c r="I269" s="3"/>
      <c r="J269" s="3"/>
    </row>
    <row r="270" spans="1:10" ht="14.25" customHeight="1" x14ac:dyDescent="0.25">
      <c r="A270" s="41"/>
      <c r="B270" s="5"/>
      <c r="C270" s="7"/>
      <c r="D270" s="8"/>
      <c r="E270" s="3"/>
      <c r="F270" s="3"/>
      <c r="G270" s="3"/>
      <c r="H270" s="3"/>
      <c r="I270" s="3"/>
      <c r="J270" s="3"/>
    </row>
    <row r="271" spans="1:10" ht="14.25" customHeight="1" x14ac:dyDescent="0.25">
      <c r="A271" s="41"/>
      <c r="B271" s="5"/>
      <c r="C271" s="7"/>
      <c r="D271" s="8"/>
      <c r="E271" s="3"/>
      <c r="F271" s="3"/>
      <c r="G271" s="3"/>
      <c r="H271" s="3"/>
      <c r="I271" s="3"/>
      <c r="J271" s="3"/>
    </row>
    <row r="272" spans="1:10" ht="14.25" customHeight="1" x14ac:dyDescent="0.25">
      <c r="A272" s="41"/>
      <c r="B272" s="5"/>
      <c r="C272" s="7"/>
      <c r="D272" s="8"/>
      <c r="E272" s="3"/>
      <c r="F272" s="3"/>
      <c r="G272" s="3"/>
      <c r="H272" s="3"/>
      <c r="I272" s="3"/>
      <c r="J272" s="3"/>
    </row>
    <row r="273" spans="1:10" ht="14.25" customHeight="1" x14ac:dyDescent="0.25">
      <c r="A273" s="41"/>
      <c r="B273" s="5"/>
      <c r="C273" s="7"/>
      <c r="D273" s="8"/>
      <c r="E273" s="3"/>
      <c r="F273" s="3"/>
      <c r="G273" s="3"/>
      <c r="H273" s="3"/>
      <c r="I273" s="3"/>
      <c r="J273" s="3"/>
    </row>
    <row r="274" spans="1:10" ht="14.25" customHeight="1" x14ac:dyDescent="0.25">
      <c r="A274" s="41"/>
      <c r="B274" s="5"/>
      <c r="C274" s="7"/>
      <c r="D274" s="8"/>
      <c r="E274" s="3"/>
      <c r="F274" s="3"/>
      <c r="G274" s="3"/>
      <c r="H274" s="3"/>
      <c r="I274" s="3"/>
      <c r="J274" s="3"/>
    </row>
    <row r="275" spans="1:10" ht="14.25" customHeight="1" x14ac:dyDescent="0.25">
      <c r="A275" s="41"/>
      <c r="B275" s="5"/>
      <c r="C275" s="7"/>
      <c r="D275" s="8"/>
      <c r="E275" s="3"/>
      <c r="F275" s="3"/>
      <c r="G275" s="3"/>
      <c r="H275" s="3"/>
      <c r="I275" s="3"/>
      <c r="J275" s="3"/>
    </row>
    <row r="276" spans="1:10" ht="14.25" customHeight="1" x14ac:dyDescent="0.25">
      <c r="A276" s="41"/>
      <c r="B276" s="5"/>
      <c r="C276" s="7"/>
      <c r="D276" s="8"/>
      <c r="E276" s="3"/>
      <c r="F276" s="3"/>
      <c r="G276" s="3"/>
      <c r="H276" s="3"/>
      <c r="I276" s="3"/>
      <c r="J276" s="3"/>
    </row>
    <row r="277" spans="1:10" ht="14.25" customHeight="1" x14ac:dyDescent="0.25">
      <c r="A277" s="41"/>
      <c r="B277" s="5"/>
      <c r="C277" s="7"/>
      <c r="D277" s="8"/>
      <c r="E277" s="3"/>
      <c r="F277" s="3"/>
      <c r="G277" s="3"/>
      <c r="H277" s="3"/>
      <c r="I277" s="3"/>
      <c r="J277" s="3"/>
    </row>
    <row r="278" spans="1:10" ht="14.25" customHeight="1" x14ac:dyDescent="0.25">
      <c r="A278" s="41"/>
      <c r="B278" s="5"/>
      <c r="C278" s="7"/>
      <c r="D278" s="8"/>
      <c r="E278" s="3"/>
      <c r="F278" s="3"/>
      <c r="G278" s="3"/>
      <c r="H278" s="3"/>
      <c r="I278" s="3"/>
      <c r="J278" s="3"/>
    </row>
    <row r="279" spans="1:10" ht="14.25" customHeight="1" x14ac:dyDescent="0.25">
      <c r="A279" s="41"/>
      <c r="B279" s="5"/>
      <c r="C279" s="7"/>
      <c r="D279" s="8"/>
      <c r="E279" s="3"/>
      <c r="F279" s="3"/>
      <c r="G279" s="3"/>
      <c r="H279" s="3"/>
      <c r="I279" s="3"/>
      <c r="J279" s="3"/>
    </row>
    <row r="280" spans="1:10" ht="14.25" customHeight="1" x14ac:dyDescent="0.25">
      <c r="A280" s="41"/>
      <c r="B280" s="5"/>
      <c r="C280" s="7"/>
      <c r="D280" s="8"/>
      <c r="E280" s="3"/>
      <c r="F280" s="3"/>
      <c r="G280" s="3"/>
      <c r="H280" s="3"/>
      <c r="I280" s="3"/>
      <c r="J280" s="3"/>
    </row>
    <row r="281" spans="1:10" ht="14.25" customHeight="1" x14ac:dyDescent="0.25">
      <c r="A281" s="41"/>
      <c r="B281" s="5"/>
      <c r="C281" s="7"/>
      <c r="D281" s="8"/>
      <c r="E281" s="3"/>
      <c r="F281" s="3"/>
      <c r="G281" s="3"/>
      <c r="H281" s="3"/>
      <c r="I281" s="3"/>
      <c r="J281" s="3"/>
    </row>
    <row r="282" spans="1:10" ht="14.25" customHeight="1" x14ac:dyDescent="0.25">
      <c r="A282" s="41"/>
      <c r="B282" s="5"/>
      <c r="C282" s="7"/>
      <c r="D282" s="8"/>
      <c r="E282" s="3"/>
      <c r="F282" s="3"/>
      <c r="G282" s="3"/>
      <c r="H282" s="3"/>
      <c r="I282" s="3"/>
      <c r="J282" s="3"/>
    </row>
    <row r="283" spans="1:10" ht="14.25" customHeight="1" x14ac:dyDescent="0.25">
      <c r="A283" s="41"/>
      <c r="B283" s="5"/>
      <c r="C283" s="7"/>
      <c r="D283" s="8"/>
      <c r="E283" s="3"/>
      <c r="F283" s="3"/>
      <c r="G283" s="3"/>
      <c r="H283" s="3"/>
      <c r="I283" s="3"/>
      <c r="J283" s="3"/>
    </row>
    <row r="284" spans="1:10" ht="14.25" customHeight="1" x14ac:dyDescent="0.25">
      <c r="A284" s="41"/>
      <c r="B284" s="5"/>
      <c r="C284" s="7"/>
      <c r="D284" s="8"/>
      <c r="E284" s="3"/>
      <c r="F284" s="3"/>
      <c r="G284" s="3"/>
      <c r="H284" s="3"/>
      <c r="I284" s="3"/>
      <c r="J284" s="3"/>
    </row>
    <row r="285" spans="1:10" ht="14.25" customHeight="1" x14ac:dyDescent="0.25">
      <c r="A285" s="41"/>
      <c r="B285" s="5"/>
      <c r="C285" s="7"/>
      <c r="D285" s="8"/>
      <c r="E285" s="3"/>
      <c r="F285" s="3"/>
      <c r="G285" s="3"/>
      <c r="H285" s="3"/>
      <c r="I285" s="3"/>
      <c r="J285" s="3"/>
    </row>
    <row r="286" spans="1:10" ht="14.25" customHeight="1" x14ac:dyDescent="0.25">
      <c r="A286" s="41"/>
      <c r="B286" s="5"/>
      <c r="C286" s="7"/>
      <c r="D286" s="8"/>
      <c r="E286" s="3"/>
      <c r="F286" s="3"/>
      <c r="G286" s="3"/>
      <c r="H286" s="3"/>
      <c r="I286" s="3"/>
      <c r="J286" s="3"/>
    </row>
    <row r="287" spans="1:10" ht="14.25" customHeight="1" x14ac:dyDescent="0.25">
      <c r="A287" s="41"/>
      <c r="B287" s="5"/>
      <c r="C287" s="7"/>
      <c r="D287" s="8"/>
      <c r="E287" s="3"/>
      <c r="F287" s="3"/>
      <c r="G287" s="3"/>
      <c r="H287" s="3"/>
      <c r="I287" s="3"/>
      <c r="J287" s="3"/>
    </row>
    <row r="288" spans="1:10" ht="14.25" customHeight="1" x14ac:dyDescent="0.25">
      <c r="A288" s="41"/>
      <c r="B288" s="5"/>
      <c r="C288" s="7"/>
      <c r="D288" s="8"/>
      <c r="E288" s="3"/>
      <c r="F288" s="3"/>
      <c r="G288" s="3"/>
      <c r="H288" s="3"/>
      <c r="I288" s="3"/>
      <c r="J288" s="3"/>
    </row>
    <row r="289" spans="1:10" ht="14.25" customHeight="1" x14ac:dyDescent="0.25">
      <c r="A289" s="41"/>
      <c r="B289" s="5"/>
      <c r="C289" s="7"/>
      <c r="D289" s="8"/>
      <c r="E289" s="3"/>
      <c r="F289" s="3"/>
      <c r="G289" s="3"/>
      <c r="H289" s="3"/>
      <c r="I289" s="3"/>
      <c r="J289" s="3"/>
    </row>
    <row r="290" spans="1:10" ht="14.25" customHeight="1" x14ac:dyDescent="0.25">
      <c r="A290" s="41"/>
      <c r="B290" s="5"/>
      <c r="C290" s="7"/>
      <c r="D290" s="8"/>
      <c r="E290" s="3"/>
      <c r="F290" s="3"/>
      <c r="G290" s="3"/>
      <c r="H290" s="3"/>
      <c r="I290" s="3"/>
      <c r="J290" s="3"/>
    </row>
    <row r="291" spans="1:10" ht="14.25" customHeight="1" x14ac:dyDescent="0.25">
      <c r="A291" s="41"/>
      <c r="B291" s="5"/>
      <c r="C291" s="7"/>
      <c r="D291" s="8"/>
      <c r="E291" s="3"/>
      <c r="F291" s="3"/>
      <c r="G291" s="3"/>
      <c r="H291" s="3"/>
      <c r="I291" s="3"/>
      <c r="J291" s="3"/>
    </row>
    <row r="292" spans="1:10" ht="14.25" customHeight="1" x14ac:dyDescent="0.25">
      <c r="A292" s="41"/>
      <c r="B292" s="5"/>
      <c r="C292" s="7"/>
      <c r="D292" s="8"/>
      <c r="E292" s="3"/>
      <c r="F292" s="3"/>
      <c r="G292" s="3"/>
      <c r="H292" s="3"/>
      <c r="I292" s="3"/>
      <c r="J292" s="3"/>
    </row>
    <row r="293" spans="1:10" ht="14.25" customHeight="1" x14ac:dyDescent="0.25">
      <c r="A293" s="41"/>
      <c r="B293" s="5"/>
      <c r="C293" s="7"/>
      <c r="D293" s="8"/>
      <c r="E293" s="3"/>
      <c r="F293" s="3"/>
      <c r="G293" s="3"/>
      <c r="H293" s="3"/>
      <c r="I293" s="3"/>
      <c r="J293" s="3"/>
    </row>
    <row r="294" spans="1:10" ht="14.25" customHeight="1" x14ac:dyDescent="0.25">
      <c r="A294" s="41"/>
      <c r="B294" s="5"/>
      <c r="C294" s="7"/>
      <c r="D294" s="8"/>
      <c r="E294" s="3"/>
      <c r="F294" s="3"/>
      <c r="G294" s="3"/>
      <c r="H294" s="3"/>
      <c r="I294" s="3"/>
      <c r="J294" s="3"/>
    </row>
    <row r="295" spans="1:10" ht="14.25" customHeight="1" x14ac:dyDescent="0.25">
      <c r="A295" s="41"/>
      <c r="B295" s="5"/>
      <c r="C295" s="7"/>
      <c r="D295" s="8"/>
      <c r="E295" s="3"/>
      <c r="F295" s="3"/>
      <c r="G295" s="3"/>
      <c r="H295" s="3"/>
      <c r="I295" s="3"/>
      <c r="J295" s="3"/>
    </row>
    <row r="296" spans="1:10" ht="14.25" customHeight="1" x14ac:dyDescent="0.25">
      <c r="A296" s="41"/>
      <c r="B296" s="5"/>
      <c r="C296" s="7"/>
      <c r="D296" s="8"/>
      <c r="E296" s="3"/>
      <c r="F296" s="3"/>
      <c r="G296" s="3"/>
      <c r="H296" s="3"/>
      <c r="I296" s="3"/>
      <c r="J296" s="3"/>
    </row>
    <row r="297" spans="1:10" ht="14.25" customHeight="1" x14ac:dyDescent="0.25">
      <c r="A297" s="41"/>
      <c r="B297" s="5"/>
      <c r="C297" s="7"/>
      <c r="D297" s="8"/>
      <c r="E297" s="3"/>
      <c r="F297" s="3"/>
      <c r="G297" s="3"/>
      <c r="H297" s="3"/>
      <c r="I297" s="3"/>
      <c r="J297" s="3"/>
    </row>
    <row r="298" spans="1:10" ht="14.25" customHeight="1" x14ac:dyDescent="0.25">
      <c r="A298" s="41"/>
      <c r="B298" s="5"/>
      <c r="C298" s="7"/>
      <c r="D298" s="8"/>
      <c r="E298" s="3"/>
      <c r="F298" s="3"/>
      <c r="G298" s="3"/>
      <c r="H298" s="3"/>
      <c r="I298" s="3"/>
      <c r="J298" s="3"/>
    </row>
    <row r="299" spans="1:10" ht="14.25" customHeight="1" x14ac:dyDescent="0.25">
      <c r="A299" s="41"/>
      <c r="B299" s="5"/>
      <c r="C299" s="7"/>
      <c r="D299" s="8"/>
      <c r="E299" s="3"/>
      <c r="F299" s="3"/>
      <c r="G299" s="3"/>
      <c r="H299" s="3"/>
      <c r="I299" s="3"/>
      <c r="J299" s="3"/>
    </row>
    <row r="300" spans="1:10" ht="14.25" customHeight="1" x14ac:dyDescent="0.25">
      <c r="A300" s="41"/>
      <c r="B300" s="5"/>
      <c r="C300" s="7"/>
      <c r="D300" s="8"/>
      <c r="E300" s="3"/>
      <c r="F300" s="3"/>
      <c r="G300" s="3"/>
      <c r="H300" s="3"/>
      <c r="I300" s="3"/>
      <c r="J300" s="3"/>
    </row>
    <row r="301" spans="1:10" ht="14.25" customHeight="1" x14ac:dyDescent="0.25">
      <c r="A301" s="41"/>
      <c r="B301" s="5"/>
      <c r="C301" s="7"/>
      <c r="D301" s="8"/>
      <c r="E301" s="3"/>
      <c r="F301" s="3"/>
      <c r="G301" s="3"/>
      <c r="H301" s="3"/>
      <c r="I301" s="3"/>
      <c r="J301" s="3"/>
    </row>
    <row r="302" spans="1:10" ht="14.25" customHeight="1" x14ac:dyDescent="0.25">
      <c r="A302" s="41"/>
      <c r="B302" s="5"/>
      <c r="C302" s="7"/>
      <c r="D302" s="8"/>
      <c r="E302" s="3"/>
      <c r="F302" s="3"/>
      <c r="G302" s="3"/>
      <c r="H302" s="3"/>
      <c r="I302" s="3"/>
      <c r="J302" s="3"/>
    </row>
    <row r="303" spans="1:10" ht="14.25" customHeight="1" x14ac:dyDescent="0.25">
      <c r="A303" s="41"/>
      <c r="B303" s="5"/>
      <c r="C303" s="7"/>
      <c r="D303" s="8"/>
      <c r="E303" s="3"/>
      <c r="F303" s="3"/>
      <c r="G303" s="3"/>
      <c r="H303" s="3"/>
      <c r="I303" s="3"/>
      <c r="J303" s="3"/>
    </row>
    <row r="304" spans="1:10" ht="14.25" customHeight="1" x14ac:dyDescent="0.25">
      <c r="A304" s="41"/>
      <c r="B304" s="5"/>
      <c r="C304" s="7"/>
      <c r="D304" s="8"/>
      <c r="E304" s="3"/>
      <c r="F304" s="3"/>
      <c r="G304" s="3"/>
      <c r="H304" s="3"/>
      <c r="I304" s="3"/>
      <c r="J304" s="3"/>
    </row>
    <row r="305" spans="1:10" ht="14.25" customHeight="1" x14ac:dyDescent="0.25">
      <c r="A305" s="41"/>
      <c r="B305" s="5"/>
      <c r="C305" s="7"/>
      <c r="D305" s="8"/>
      <c r="E305" s="3"/>
      <c r="F305" s="3"/>
      <c r="G305" s="3"/>
      <c r="H305" s="3"/>
      <c r="I305" s="3"/>
      <c r="J305" s="3"/>
    </row>
    <row r="306" spans="1:10" ht="14.25" customHeight="1" x14ac:dyDescent="0.25">
      <c r="A306" s="41"/>
      <c r="B306" s="5"/>
      <c r="C306" s="7"/>
      <c r="D306" s="8"/>
      <c r="E306" s="3"/>
      <c r="F306" s="3"/>
      <c r="G306" s="3"/>
      <c r="H306" s="3"/>
      <c r="I306" s="3"/>
      <c r="J306" s="3"/>
    </row>
    <row r="307" spans="1:10" ht="14.25" customHeight="1" x14ac:dyDescent="0.25">
      <c r="A307" s="41"/>
      <c r="B307" s="5"/>
      <c r="C307" s="7"/>
      <c r="D307" s="8"/>
      <c r="E307" s="3"/>
      <c r="F307" s="3"/>
      <c r="G307" s="3"/>
      <c r="H307" s="3"/>
      <c r="I307" s="3"/>
      <c r="J307" s="3"/>
    </row>
    <row r="308" spans="1:10" ht="14.25" customHeight="1" x14ac:dyDescent="0.25">
      <c r="A308" s="41"/>
      <c r="B308" s="5"/>
      <c r="C308" s="7"/>
      <c r="D308" s="8"/>
      <c r="E308" s="3"/>
      <c r="F308" s="3"/>
      <c r="G308" s="3"/>
      <c r="H308" s="3"/>
      <c r="I308" s="3"/>
      <c r="J308" s="3"/>
    </row>
    <row r="309" spans="1:10" ht="14.25" customHeight="1" x14ac:dyDescent="0.25">
      <c r="A309" s="41"/>
      <c r="B309" s="5"/>
      <c r="C309" s="7"/>
      <c r="D309" s="8"/>
      <c r="E309" s="3"/>
      <c r="F309" s="3"/>
      <c r="G309" s="3"/>
      <c r="H309" s="3"/>
      <c r="I309" s="3"/>
      <c r="J309" s="3"/>
    </row>
    <row r="310" spans="1:10" ht="14.25" customHeight="1" x14ac:dyDescent="0.25">
      <c r="A310" s="41"/>
      <c r="B310" s="5"/>
      <c r="C310" s="7"/>
      <c r="D310" s="8"/>
      <c r="E310" s="3"/>
      <c r="F310" s="3"/>
      <c r="G310" s="3"/>
      <c r="H310" s="3"/>
      <c r="I310" s="3"/>
      <c r="J310" s="3"/>
    </row>
    <row r="311" spans="1:10" ht="14.25" customHeight="1" x14ac:dyDescent="0.25">
      <c r="A311" s="41"/>
      <c r="B311" s="5"/>
      <c r="C311" s="7"/>
      <c r="D311" s="8"/>
      <c r="E311" s="3"/>
      <c r="F311" s="3"/>
      <c r="G311" s="3"/>
      <c r="H311" s="3"/>
      <c r="I311" s="3"/>
      <c r="J311" s="3"/>
    </row>
    <row r="312" spans="1:10" ht="14.25" customHeight="1" x14ac:dyDescent="0.25">
      <c r="A312" s="41"/>
      <c r="B312" s="5"/>
      <c r="C312" s="7"/>
      <c r="D312" s="8"/>
      <c r="E312" s="3"/>
      <c r="F312" s="3"/>
      <c r="G312" s="3"/>
      <c r="H312" s="3"/>
      <c r="I312" s="3"/>
      <c r="J312" s="3"/>
    </row>
    <row r="313" spans="1:10" ht="14.25" customHeight="1" x14ac:dyDescent="0.25">
      <c r="A313" s="41"/>
      <c r="B313" s="5"/>
      <c r="C313" s="7"/>
      <c r="D313" s="8"/>
      <c r="E313" s="3"/>
      <c r="F313" s="3"/>
      <c r="G313" s="3"/>
      <c r="H313" s="3"/>
      <c r="I313" s="3"/>
      <c r="J313" s="3"/>
    </row>
    <row r="314" spans="1:10" ht="14.25" customHeight="1" x14ac:dyDescent="0.25">
      <c r="A314" s="41"/>
      <c r="B314" s="5"/>
      <c r="C314" s="7"/>
      <c r="D314" s="8"/>
      <c r="E314" s="3"/>
      <c r="F314" s="3"/>
      <c r="G314" s="3"/>
      <c r="H314" s="3"/>
      <c r="I314" s="3"/>
      <c r="J314" s="3"/>
    </row>
    <row r="315" spans="1:10" ht="14.25" customHeight="1" x14ac:dyDescent="0.25">
      <c r="A315" s="41"/>
      <c r="B315" s="5"/>
      <c r="C315" s="7"/>
      <c r="D315" s="8"/>
      <c r="E315" s="3"/>
      <c r="F315" s="3"/>
      <c r="G315" s="3"/>
      <c r="H315" s="3"/>
      <c r="I315" s="3"/>
      <c r="J315" s="3"/>
    </row>
    <row r="316" spans="1:10" ht="14.25" customHeight="1" x14ac:dyDescent="0.25">
      <c r="A316" s="41"/>
      <c r="B316" s="5"/>
      <c r="C316" s="7"/>
      <c r="D316" s="8"/>
      <c r="E316" s="3"/>
      <c r="F316" s="3"/>
      <c r="G316" s="3"/>
      <c r="H316" s="3"/>
      <c r="I316" s="3"/>
      <c r="J316" s="3"/>
    </row>
    <row r="317" spans="1:10" ht="14.25" customHeight="1" x14ac:dyDescent="0.25">
      <c r="A317" s="41"/>
      <c r="B317" s="5"/>
      <c r="C317" s="7"/>
      <c r="D317" s="8"/>
      <c r="E317" s="3"/>
      <c r="F317" s="3"/>
      <c r="G317" s="3"/>
      <c r="H317" s="3"/>
      <c r="I317" s="3"/>
      <c r="J317" s="3"/>
    </row>
    <row r="318" spans="1:10" ht="14.25" customHeight="1" x14ac:dyDescent="0.25">
      <c r="A318" s="41"/>
      <c r="B318" s="5"/>
      <c r="C318" s="7"/>
      <c r="D318" s="8"/>
      <c r="E318" s="3"/>
      <c r="F318" s="3"/>
      <c r="G318" s="3"/>
      <c r="H318" s="3"/>
      <c r="I318" s="3"/>
      <c r="J318" s="3"/>
    </row>
    <row r="319" spans="1:10" ht="14.25" customHeight="1" x14ac:dyDescent="0.25">
      <c r="A319" s="41"/>
      <c r="B319" s="5"/>
      <c r="C319" s="7"/>
      <c r="D319" s="8"/>
      <c r="E319" s="3"/>
      <c r="F319" s="3"/>
      <c r="G319" s="3"/>
      <c r="H319" s="3"/>
      <c r="I319" s="3"/>
      <c r="J319" s="3"/>
    </row>
    <row r="320" spans="1:10" ht="14.25" customHeight="1" x14ac:dyDescent="0.25">
      <c r="A320" s="41"/>
      <c r="B320" s="5"/>
      <c r="C320" s="7"/>
      <c r="D320" s="8"/>
      <c r="E320" s="3"/>
      <c r="F320" s="3"/>
      <c r="G320" s="3"/>
      <c r="H320" s="3"/>
      <c r="I320" s="3"/>
      <c r="J320" s="3"/>
    </row>
    <row r="321" spans="1:10" ht="14.25" customHeight="1" x14ac:dyDescent="0.25">
      <c r="A321" s="41"/>
      <c r="B321" s="5"/>
      <c r="C321" s="7"/>
      <c r="D321" s="8"/>
      <c r="E321" s="3"/>
      <c r="F321" s="3"/>
      <c r="G321" s="3"/>
      <c r="H321" s="3"/>
      <c r="I321" s="3"/>
      <c r="J321" s="3"/>
    </row>
    <row r="322" spans="1:10" ht="14.25" customHeight="1" x14ac:dyDescent="0.25">
      <c r="A322" s="41"/>
      <c r="B322" s="5"/>
      <c r="C322" s="7"/>
      <c r="D322" s="8"/>
      <c r="E322" s="3"/>
      <c r="F322" s="3"/>
      <c r="G322" s="3"/>
      <c r="H322" s="3"/>
      <c r="I322" s="3"/>
      <c r="J322" s="3"/>
    </row>
    <row r="323" spans="1:10" ht="14.25" customHeight="1" x14ac:dyDescent="0.25">
      <c r="A323" s="41"/>
      <c r="B323" s="5"/>
      <c r="C323" s="7"/>
      <c r="D323" s="8"/>
      <c r="E323" s="3"/>
      <c r="F323" s="3"/>
      <c r="G323" s="3"/>
      <c r="H323" s="3"/>
      <c r="I323" s="3"/>
      <c r="J323" s="3"/>
    </row>
    <row r="324" spans="1:10" ht="14.25" customHeight="1" x14ac:dyDescent="0.25">
      <c r="A324" s="41"/>
      <c r="B324" s="5"/>
      <c r="C324" s="7"/>
      <c r="D324" s="8"/>
      <c r="E324" s="3"/>
      <c r="F324" s="3"/>
      <c r="G324" s="3"/>
      <c r="H324" s="3"/>
      <c r="I324" s="3"/>
      <c r="J324" s="3"/>
    </row>
    <row r="325" spans="1:10" ht="14.25" customHeight="1" x14ac:dyDescent="0.25">
      <c r="A325" s="41"/>
      <c r="B325" s="5"/>
      <c r="C325" s="7"/>
      <c r="D325" s="8"/>
      <c r="E325" s="3"/>
      <c r="F325" s="3"/>
      <c r="G325" s="3"/>
      <c r="H325" s="3"/>
      <c r="I325" s="3"/>
      <c r="J325" s="3"/>
    </row>
    <row r="326" spans="1:10" ht="14.25" customHeight="1" x14ac:dyDescent="0.25">
      <c r="A326" s="41"/>
      <c r="B326" s="5"/>
      <c r="C326" s="7"/>
      <c r="D326" s="8"/>
      <c r="E326" s="3"/>
      <c r="F326" s="3"/>
      <c r="G326" s="3"/>
      <c r="H326" s="3"/>
      <c r="I326" s="3"/>
      <c r="J326" s="3"/>
    </row>
    <row r="327" spans="1:10" ht="14.25" customHeight="1" x14ac:dyDescent="0.25">
      <c r="A327" s="41"/>
      <c r="B327" s="5"/>
      <c r="C327" s="7"/>
      <c r="D327" s="8"/>
      <c r="E327" s="3"/>
      <c r="F327" s="3"/>
      <c r="G327" s="3"/>
      <c r="H327" s="3"/>
      <c r="I327" s="3"/>
      <c r="J327" s="3"/>
    </row>
    <row r="328" spans="1:10" ht="14.25" customHeight="1" x14ac:dyDescent="0.25">
      <c r="A328" s="41"/>
      <c r="B328" s="5"/>
      <c r="C328" s="7"/>
      <c r="D328" s="8"/>
      <c r="E328" s="3"/>
      <c r="F328" s="3"/>
      <c r="G328" s="3"/>
      <c r="H328" s="3"/>
      <c r="I328" s="3"/>
      <c r="J328" s="3"/>
    </row>
    <row r="329" spans="1:10" ht="14.25" customHeight="1" x14ac:dyDescent="0.25">
      <c r="A329" s="41"/>
      <c r="B329" s="5"/>
      <c r="C329" s="7"/>
      <c r="D329" s="8"/>
      <c r="E329" s="3"/>
      <c r="F329" s="3"/>
      <c r="G329" s="3"/>
      <c r="H329" s="3"/>
      <c r="I329" s="3"/>
      <c r="J329" s="3"/>
    </row>
    <row r="330" spans="1:10" ht="14.25" customHeight="1" x14ac:dyDescent="0.25">
      <c r="A330" s="41"/>
      <c r="B330" s="5"/>
      <c r="C330" s="7"/>
      <c r="D330" s="8"/>
      <c r="E330" s="3"/>
      <c r="F330" s="3"/>
      <c r="G330" s="3"/>
      <c r="H330" s="3"/>
      <c r="I330" s="3"/>
      <c r="J330" s="3"/>
    </row>
    <row r="331" spans="1:10" ht="14.25" customHeight="1" x14ac:dyDescent="0.25">
      <c r="A331" s="41"/>
      <c r="B331" s="5"/>
      <c r="C331" s="7"/>
      <c r="D331" s="8"/>
      <c r="E331" s="3"/>
      <c r="F331" s="3"/>
      <c r="G331" s="3"/>
      <c r="H331" s="3"/>
      <c r="I331" s="3"/>
      <c r="J331" s="3"/>
    </row>
    <row r="332" spans="1:10" ht="14.25" customHeight="1" x14ac:dyDescent="0.25">
      <c r="A332" s="41"/>
      <c r="B332" s="5"/>
      <c r="C332" s="7"/>
      <c r="D332" s="8"/>
      <c r="E332" s="3"/>
      <c r="F332" s="3"/>
      <c r="G332" s="3"/>
      <c r="H332" s="3"/>
      <c r="I332" s="3"/>
      <c r="J332" s="3"/>
    </row>
    <row r="333" spans="1:10" ht="14.25" customHeight="1" x14ac:dyDescent="0.25">
      <c r="A333" s="41"/>
      <c r="B333" s="5"/>
      <c r="C333" s="7"/>
      <c r="D333" s="8"/>
      <c r="E333" s="3"/>
      <c r="F333" s="3"/>
      <c r="G333" s="3"/>
      <c r="H333" s="3"/>
      <c r="I333" s="3"/>
      <c r="J333" s="3"/>
    </row>
    <row r="334" spans="1:10" ht="14.25" customHeight="1" x14ac:dyDescent="0.25">
      <c r="A334" s="41"/>
      <c r="B334" s="5"/>
      <c r="C334" s="7"/>
      <c r="D334" s="8"/>
      <c r="E334" s="3"/>
      <c r="F334" s="3"/>
      <c r="G334" s="3"/>
      <c r="H334" s="3"/>
      <c r="I334" s="3"/>
      <c r="J334" s="3"/>
    </row>
    <row r="335" spans="1:10" ht="14.25" customHeight="1" x14ac:dyDescent="0.25">
      <c r="A335" s="41"/>
      <c r="B335" s="5"/>
      <c r="C335" s="7"/>
      <c r="D335" s="8"/>
      <c r="E335" s="3"/>
      <c r="F335" s="3"/>
      <c r="G335" s="3"/>
      <c r="H335" s="3"/>
      <c r="I335" s="3"/>
      <c r="J335" s="3"/>
    </row>
    <row r="336" spans="1:10" ht="14.25" customHeight="1" x14ac:dyDescent="0.25">
      <c r="A336" s="41"/>
      <c r="B336" s="5"/>
      <c r="C336" s="7"/>
      <c r="D336" s="8"/>
      <c r="E336" s="3"/>
      <c r="F336" s="3"/>
      <c r="G336" s="3"/>
      <c r="H336" s="3"/>
      <c r="I336" s="3"/>
      <c r="J336" s="3"/>
    </row>
    <row r="337" spans="1:10" ht="14.25" customHeight="1" x14ac:dyDescent="0.25">
      <c r="A337" s="41"/>
      <c r="B337" s="5"/>
      <c r="C337" s="7"/>
      <c r="D337" s="8"/>
      <c r="E337" s="3"/>
      <c r="F337" s="3"/>
      <c r="G337" s="3"/>
      <c r="H337" s="3"/>
      <c r="I337" s="3"/>
      <c r="J337" s="3"/>
    </row>
    <row r="338" spans="1:10" ht="14.25" customHeight="1" x14ac:dyDescent="0.25">
      <c r="A338" s="41"/>
      <c r="B338" s="5"/>
      <c r="C338" s="7"/>
      <c r="D338" s="8"/>
      <c r="E338" s="3"/>
      <c r="F338" s="3"/>
      <c r="G338" s="3"/>
      <c r="H338" s="3"/>
      <c r="I338" s="3"/>
      <c r="J338" s="3"/>
    </row>
    <row r="339" spans="1:10" ht="14.25" customHeight="1" x14ac:dyDescent="0.25">
      <c r="A339" s="41"/>
      <c r="B339" s="5"/>
      <c r="C339" s="7"/>
      <c r="D339" s="8"/>
      <c r="E339" s="3"/>
      <c r="F339" s="3"/>
      <c r="G339" s="3"/>
      <c r="H339" s="3"/>
      <c r="I339" s="3"/>
      <c r="J339" s="3"/>
    </row>
    <row r="340" spans="1:10" ht="14.25" customHeight="1" x14ac:dyDescent="0.25">
      <c r="A340" s="41"/>
      <c r="B340" s="5"/>
      <c r="C340" s="7"/>
      <c r="D340" s="8"/>
      <c r="E340" s="3"/>
      <c r="F340" s="3"/>
      <c r="G340" s="3"/>
      <c r="H340" s="3"/>
      <c r="I340" s="3"/>
      <c r="J340" s="3"/>
    </row>
    <row r="341" spans="1:10" ht="14.25" customHeight="1" x14ac:dyDescent="0.25">
      <c r="A341" s="41"/>
      <c r="B341" s="5"/>
      <c r="C341" s="7"/>
      <c r="D341" s="8"/>
      <c r="E341" s="3"/>
      <c r="F341" s="3"/>
      <c r="G341" s="3"/>
      <c r="H341" s="3"/>
      <c r="I341" s="3"/>
      <c r="J341" s="3"/>
    </row>
    <row r="342" spans="1:10" ht="14.25" customHeight="1" x14ac:dyDescent="0.25">
      <c r="A342" s="41"/>
      <c r="B342" s="5"/>
      <c r="C342" s="7"/>
      <c r="D342" s="8"/>
      <c r="E342" s="3"/>
      <c r="F342" s="3"/>
      <c r="G342" s="3"/>
      <c r="H342" s="3"/>
      <c r="I342" s="3"/>
      <c r="J342" s="3"/>
    </row>
    <row r="343" spans="1:10" ht="14.25" customHeight="1" x14ac:dyDescent="0.25">
      <c r="A343" s="41"/>
      <c r="B343" s="5"/>
      <c r="C343" s="7"/>
      <c r="D343" s="8"/>
      <c r="E343" s="3"/>
      <c r="F343" s="3"/>
      <c r="G343" s="3"/>
      <c r="H343" s="3"/>
      <c r="I343" s="3"/>
      <c r="J343" s="3"/>
    </row>
    <row r="344" spans="1:10" ht="14.25" customHeight="1" x14ac:dyDescent="0.25">
      <c r="A344" s="41"/>
      <c r="B344" s="5"/>
      <c r="C344" s="7"/>
      <c r="D344" s="8"/>
      <c r="E344" s="3"/>
      <c r="F344" s="3"/>
      <c r="G344" s="3"/>
      <c r="H344" s="3"/>
      <c r="I344" s="3"/>
      <c r="J344" s="3"/>
    </row>
    <row r="345" spans="1:10" ht="14.25" customHeight="1" x14ac:dyDescent="0.25">
      <c r="A345" s="41"/>
      <c r="B345" s="5"/>
      <c r="C345" s="7"/>
      <c r="D345" s="8"/>
      <c r="E345" s="3"/>
      <c r="F345" s="3"/>
      <c r="G345" s="3"/>
      <c r="H345" s="3"/>
      <c r="I345" s="3"/>
      <c r="J345" s="3"/>
    </row>
    <row r="346" spans="1:10" ht="14.25" customHeight="1" x14ac:dyDescent="0.25">
      <c r="A346" s="41"/>
      <c r="B346" s="5"/>
      <c r="C346" s="7"/>
      <c r="D346" s="8"/>
      <c r="E346" s="3"/>
      <c r="F346" s="3"/>
      <c r="G346" s="3"/>
      <c r="H346" s="3"/>
      <c r="I346" s="3"/>
      <c r="J346" s="3"/>
    </row>
    <row r="347" spans="1:10" ht="14.25" customHeight="1" x14ac:dyDescent="0.25">
      <c r="A347" s="41"/>
      <c r="B347" s="5"/>
      <c r="C347" s="7"/>
      <c r="D347" s="8"/>
      <c r="E347" s="3"/>
      <c r="F347" s="3"/>
      <c r="G347" s="3"/>
      <c r="H347" s="3"/>
      <c r="I347" s="3"/>
      <c r="J347" s="3"/>
    </row>
    <row r="348" spans="1:10" ht="14.25" customHeight="1" x14ac:dyDescent="0.25">
      <c r="A348" s="41"/>
      <c r="B348" s="5"/>
      <c r="C348" s="7"/>
      <c r="D348" s="8"/>
      <c r="E348" s="3"/>
      <c r="F348" s="3"/>
      <c r="G348" s="3"/>
      <c r="H348" s="3"/>
      <c r="I348" s="3"/>
      <c r="J348" s="3"/>
    </row>
    <row r="349" spans="1:10" ht="14.25" customHeight="1" x14ac:dyDescent="0.25">
      <c r="A349" s="41"/>
      <c r="B349" s="5"/>
      <c r="C349" s="7"/>
      <c r="D349" s="8"/>
      <c r="E349" s="3"/>
      <c r="F349" s="3"/>
      <c r="G349" s="3"/>
      <c r="H349" s="3"/>
      <c r="I349" s="3"/>
      <c r="J349" s="3"/>
    </row>
    <row r="350" spans="1:10" ht="14.25" customHeight="1" x14ac:dyDescent="0.25">
      <c r="A350" s="42"/>
    </row>
    <row r="351" spans="1:10" ht="14.25" customHeight="1" x14ac:dyDescent="0.25">
      <c r="A351" s="42"/>
    </row>
    <row r="352" spans="1:10" ht="14.25" customHeight="1" x14ac:dyDescent="0.25">
      <c r="A352" s="42"/>
    </row>
    <row r="353" spans="1:1" ht="14.25" customHeight="1" x14ac:dyDescent="0.25">
      <c r="A353" s="42"/>
    </row>
    <row r="354" spans="1:1" ht="14.25" customHeight="1" x14ac:dyDescent="0.25">
      <c r="A354" s="42"/>
    </row>
    <row r="355" spans="1:1" ht="14.25" customHeight="1" x14ac:dyDescent="0.25">
      <c r="A355" s="42"/>
    </row>
    <row r="356" spans="1:1" ht="14.25" customHeight="1" x14ac:dyDescent="0.25">
      <c r="A356" s="42"/>
    </row>
    <row r="357" spans="1:1" ht="14.25" customHeight="1" x14ac:dyDescent="0.25">
      <c r="A357" s="42"/>
    </row>
    <row r="358" spans="1:1" ht="14.25" customHeight="1" x14ac:dyDescent="0.25">
      <c r="A358" s="42"/>
    </row>
    <row r="359" spans="1:1" ht="14.25" customHeight="1" x14ac:dyDescent="0.25">
      <c r="A359" s="42"/>
    </row>
    <row r="360" spans="1:1" ht="14.25" customHeight="1" x14ac:dyDescent="0.25">
      <c r="A360" s="42"/>
    </row>
    <row r="361" spans="1:1" ht="14.25" customHeight="1" x14ac:dyDescent="0.25">
      <c r="A361" s="42"/>
    </row>
    <row r="362" spans="1:1" ht="14.25" customHeight="1" x14ac:dyDescent="0.25">
      <c r="A362" s="42"/>
    </row>
    <row r="363" spans="1:1" ht="14.25" customHeight="1" x14ac:dyDescent="0.25">
      <c r="A363" s="42"/>
    </row>
    <row r="364" spans="1:1" ht="14.25" customHeight="1" x14ac:dyDescent="0.25">
      <c r="A364" s="42"/>
    </row>
    <row r="365" spans="1:1" ht="14.25" customHeight="1" x14ac:dyDescent="0.25">
      <c r="A365" s="42"/>
    </row>
    <row r="366" spans="1:1" ht="14.25" customHeight="1" x14ac:dyDescent="0.25">
      <c r="A366" s="42"/>
    </row>
    <row r="367" spans="1:1" ht="14.25" customHeight="1" x14ac:dyDescent="0.25">
      <c r="A367" s="42"/>
    </row>
    <row r="368" spans="1:1" ht="14.25" customHeight="1" x14ac:dyDescent="0.25">
      <c r="A368" s="42"/>
    </row>
    <row r="369" spans="1:1" ht="14.25" customHeight="1" x14ac:dyDescent="0.25">
      <c r="A369" s="42"/>
    </row>
    <row r="370" spans="1:1" ht="14.25" customHeight="1" x14ac:dyDescent="0.25">
      <c r="A370" s="42"/>
    </row>
    <row r="371" spans="1:1" ht="14.25" customHeight="1" x14ac:dyDescent="0.25">
      <c r="A371" s="42"/>
    </row>
    <row r="372" spans="1:1" ht="14.25" customHeight="1" x14ac:dyDescent="0.25">
      <c r="A372" s="42"/>
    </row>
    <row r="373" spans="1:1" ht="14.25" customHeight="1" x14ac:dyDescent="0.25">
      <c r="A373" s="42"/>
    </row>
    <row r="374" spans="1:1" ht="14.25" customHeight="1" x14ac:dyDescent="0.25">
      <c r="A374" s="42"/>
    </row>
    <row r="375" spans="1:1" ht="14.25" customHeight="1" x14ac:dyDescent="0.25">
      <c r="A375" s="42"/>
    </row>
    <row r="376" spans="1:1" ht="14.25" customHeight="1" x14ac:dyDescent="0.25">
      <c r="A376" s="42"/>
    </row>
    <row r="377" spans="1:1" ht="14.25" customHeight="1" x14ac:dyDescent="0.25">
      <c r="A377" s="42"/>
    </row>
    <row r="378" spans="1:1" ht="14.25" customHeight="1" x14ac:dyDescent="0.25">
      <c r="A378" s="42"/>
    </row>
    <row r="379" spans="1:1" ht="14.25" customHeight="1" x14ac:dyDescent="0.25">
      <c r="A379" s="42"/>
    </row>
    <row r="380" spans="1:1" ht="14.25" customHeight="1" x14ac:dyDescent="0.25">
      <c r="A380" s="42"/>
    </row>
    <row r="381" spans="1:1" ht="14.25" customHeight="1" x14ac:dyDescent="0.25">
      <c r="A381" s="42"/>
    </row>
    <row r="382" spans="1:1" ht="14.25" customHeight="1" x14ac:dyDescent="0.25">
      <c r="A382" s="42"/>
    </row>
    <row r="383" spans="1:1" ht="14.25" customHeight="1" x14ac:dyDescent="0.25">
      <c r="A383" s="42"/>
    </row>
    <row r="384" spans="1:1" ht="14.25" customHeight="1" x14ac:dyDescent="0.25">
      <c r="A384" s="42"/>
    </row>
    <row r="385" spans="1:1" ht="14.25" customHeight="1" x14ac:dyDescent="0.25">
      <c r="A385" s="42"/>
    </row>
    <row r="386" spans="1:1" ht="14.25" customHeight="1" x14ac:dyDescent="0.25">
      <c r="A386" s="42"/>
    </row>
    <row r="387" spans="1:1" ht="14.25" customHeight="1" x14ac:dyDescent="0.25">
      <c r="A387" s="42"/>
    </row>
    <row r="388" spans="1:1" ht="14.25" customHeight="1" x14ac:dyDescent="0.25">
      <c r="A388" s="42"/>
    </row>
    <row r="389" spans="1:1" ht="14.25" customHeight="1" x14ac:dyDescent="0.25">
      <c r="A389" s="42"/>
    </row>
    <row r="390" spans="1:1" ht="14.25" customHeight="1" x14ac:dyDescent="0.25">
      <c r="A390" s="42"/>
    </row>
    <row r="391" spans="1:1" ht="14.25" customHeight="1" x14ac:dyDescent="0.25">
      <c r="A391" s="42"/>
    </row>
    <row r="392" spans="1:1" ht="14.25" customHeight="1" x14ac:dyDescent="0.25">
      <c r="A392" s="42"/>
    </row>
    <row r="393" spans="1:1" ht="14.25" customHeight="1" x14ac:dyDescent="0.25">
      <c r="A393" s="42"/>
    </row>
    <row r="394" spans="1:1" ht="14.25" customHeight="1" x14ac:dyDescent="0.25">
      <c r="A394" s="42"/>
    </row>
    <row r="395" spans="1:1" ht="14.25" customHeight="1" x14ac:dyDescent="0.25">
      <c r="A395" s="42"/>
    </row>
    <row r="396" spans="1:1" ht="14.25" customHeight="1" x14ac:dyDescent="0.25">
      <c r="A396" s="42"/>
    </row>
    <row r="397" spans="1:1" ht="14.25" customHeight="1" x14ac:dyDescent="0.25">
      <c r="A397" s="42"/>
    </row>
    <row r="398" spans="1:1" ht="14.25" customHeight="1" x14ac:dyDescent="0.25">
      <c r="A398" s="42"/>
    </row>
    <row r="399" spans="1:1" ht="14.25" customHeight="1" x14ac:dyDescent="0.25">
      <c r="A399" s="42"/>
    </row>
    <row r="400" spans="1:1" ht="14.25" customHeight="1" x14ac:dyDescent="0.25">
      <c r="A400" s="42"/>
    </row>
    <row r="401" spans="1:1" ht="14.25" customHeight="1" x14ac:dyDescent="0.25">
      <c r="A401" s="42"/>
    </row>
    <row r="402" spans="1:1" ht="14.25" customHeight="1" x14ac:dyDescent="0.25">
      <c r="A402" s="42"/>
    </row>
    <row r="403" spans="1:1" ht="14.25" customHeight="1" x14ac:dyDescent="0.25">
      <c r="A403" s="42"/>
    </row>
    <row r="404" spans="1:1" ht="14.25" customHeight="1" x14ac:dyDescent="0.25">
      <c r="A404" s="42"/>
    </row>
    <row r="405" spans="1:1" ht="14.25" customHeight="1" x14ac:dyDescent="0.25">
      <c r="A405" s="42"/>
    </row>
    <row r="406" spans="1:1" ht="14.25" customHeight="1" x14ac:dyDescent="0.25">
      <c r="A406" s="42"/>
    </row>
    <row r="407" spans="1:1" ht="14.25" customHeight="1" x14ac:dyDescent="0.25">
      <c r="A407" s="42"/>
    </row>
    <row r="408" spans="1:1" ht="14.25" customHeight="1" x14ac:dyDescent="0.25">
      <c r="A408" s="42"/>
    </row>
    <row r="409" spans="1:1" ht="14.25" customHeight="1" x14ac:dyDescent="0.25">
      <c r="A409" s="42"/>
    </row>
    <row r="410" spans="1:1" ht="14.25" customHeight="1" x14ac:dyDescent="0.25">
      <c r="A410" s="42"/>
    </row>
    <row r="411" spans="1:1" ht="14.25" customHeight="1" x14ac:dyDescent="0.25">
      <c r="A411" s="42"/>
    </row>
    <row r="412" spans="1:1" ht="14.25" customHeight="1" x14ac:dyDescent="0.25">
      <c r="A412" s="42"/>
    </row>
    <row r="413" spans="1:1" ht="14.25" customHeight="1" x14ac:dyDescent="0.25">
      <c r="A413" s="42"/>
    </row>
    <row r="414" spans="1:1" ht="14.25" customHeight="1" x14ac:dyDescent="0.25">
      <c r="A414" s="42"/>
    </row>
    <row r="415" spans="1:1" ht="14.25" customHeight="1" x14ac:dyDescent="0.25">
      <c r="A415" s="42"/>
    </row>
    <row r="416" spans="1:1" ht="14.25" customHeight="1" x14ac:dyDescent="0.25">
      <c r="A416" s="42"/>
    </row>
    <row r="417" spans="1:1" ht="14.25" customHeight="1" x14ac:dyDescent="0.25">
      <c r="A417" s="42"/>
    </row>
    <row r="418" spans="1:1" ht="14.25" customHeight="1" x14ac:dyDescent="0.25">
      <c r="A418" s="42"/>
    </row>
    <row r="419" spans="1:1" ht="14.25" customHeight="1" x14ac:dyDescent="0.25">
      <c r="A419" s="42"/>
    </row>
    <row r="420" spans="1:1" ht="14.25" customHeight="1" x14ac:dyDescent="0.25">
      <c r="A420" s="42"/>
    </row>
    <row r="421" spans="1:1" ht="14.25" customHeight="1" x14ac:dyDescent="0.25">
      <c r="A421" s="42"/>
    </row>
    <row r="422" spans="1:1" ht="14.25" customHeight="1" x14ac:dyDescent="0.25">
      <c r="A422" s="42"/>
    </row>
    <row r="423" spans="1:1" ht="14.25" customHeight="1" x14ac:dyDescent="0.25">
      <c r="A423" s="42"/>
    </row>
    <row r="424" spans="1:1" ht="14.25" customHeight="1" x14ac:dyDescent="0.25">
      <c r="A424" s="42"/>
    </row>
    <row r="425" spans="1:1" ht="14.25" customHeight="1" x14ac:dyDescent="0.25">
      <c r="A425" s="42"/>
    </row>
    <row r="426" spans="1:1" ht="14.25" customHeight="1" x14ac:dyDescent="0.25">
      <c r="A426" s="42"/>
    </row>
    <row r="427" spans="1:1" ht="14.25" customHeight="1" x14ac:dyDescent="0.25">
      <c r="A427" s="42"/>
    </row>
    <row r="428" spans="1:1" ht="14.25" customHeight="1" x14ac:dyDescent="0.25">
      <c r="A428" s="42"/>
    </row>
    <row r="429" spans="1:1" ht="14.25" customHeight="1" x14ac:dyDescent="0.25">
      <c r="A429" s="42"/>
    </row>
    <row r="430" spans="1:1" ht="14.25" customHeight="1" x14ac:dyDescent="0.25">
      <c r="A430" s="42"/>
    </row>
    <row r="431" spans="1:1" ht="14.25" customHeight="1" x14ac:dyDescent="0.25">
      <c r="A431" s="42"/>
    </row>
    <row r="432" spans="1:1" ht="14.25" customHeight="1" x14ac:dyDescent="0.25">
      <c r="A432" s="42"/>
    </row>
    <row r="433" spans="1:1" ht="14.25" customHeight="1" x14ac:dyDescent="0.25">
      <c r="A433" s="42"/>
    </row>
    <row r="434" spans="1:1" ht="14.25" customHeight="1" x14ac:dyDescent="0.25">
      <c r="A434" s="42"/>
    </row>
    <row r="435" spans="1:1" ht="14.25" customHeight="1" x14ac:dyDescent="0.25">
      <c r="A435" s="42"/>
    </row>
    <row r="436" spans="1:1" ht="14.25" customHeight="1" x14ac:dyDescent="0.25">
      <c r="A436" s="42"/>
    </row>
    <row r="437" spans="1:1" ht="14.25" customHeight="1" x14ac:dyDescent="0.25">
      <c r="A437" s="42"/>
    </row>
    <row r="438" spans="1:1" ht="14.25" customHeight="1" x14ac:dyDescent="0.25">
      <c r="A438" s="42"/>
    </row>
    <row r="439" spans="1:1" ht="14.25" customHeight="1" x14ac:dyDescent="0.25">
      <c r="A439" s="42"/>
    </row>
    <row r="440" spans="1:1" ht="14.25" customHeight="1" x14ac:dyDescent="0.25">
      <c r="A440" s="42"/>
    </row>
    <row r="441" spans="1:1" ht="14.25" customHeight="1" x14ac:dyDescent="0.25">
      <c r="A441" s="42"/>
    </row>
    <row r="442" spans="1:1" ht="14.25" customHeight="1" x14ac:dyDescent="0.25">
      <c r="A442" s="42"/>
    </row>
    <row r="443" spans="1:1" ht="14.25" customHeight="1" x14ac:dyDescent="0.25">
      <c r="A443" s="42"/>
    </row>
    <row r="444" spans="1:1" ht="14.25" customHeight="1" x14ac:dyDescent="0.25">
      <c r="A444" s="42"/>
    </row>
    <row r="445" spans="1:1" ht="14.25" customHeight="1" x14ac:dyDescent="0.25">
      <c r="A445" s="42"/>
    </row>
    <row r="446" spans="1:1" ht="14.25" customHeight="1" x14ac:dyDescent="0.25">
      <c r="A446" s="42"/>
    </row>
    <row r="447" spans="1:1" ht="14.25" customHeight="1" x14ac:dyDescent="0.25">
      <c r="A447" s="42"/>
    </row>
    <row r="448" spans="1:1" ht="14.25" customHeight="1" x14ac:dyDescent="0.25">
      <c r="A448" s="42"/>
    </row>
    <row r="449" spans="1:1" ht="14.25" customHeight="1" x14ac:dyDescent="0.25">
      <c r="A449" s="42"/>
    </row>
    <row r="450" spans="1:1" ht="14.25" customHeight="1" x14ac:dyDescent="0.25">
      <c r="A450" s="42"/>
    </row>
    <row r="451" spans="1:1" ht="14.25" customHeight="1" x14ac:dyDescent="0.25">
      <c r="A451" s="42"/>
    </row>
    <row r="452" spans="1:1" ht="14.25" customHeight="1" x14ac:dyDescent="0.25">
      <c r="A452" s="42"/>
    </row>
    <row r="453" spans="1:1" ht="14.25" customHeight="1" x14ac:dyDescent="0.25">
      <c r="A453" s="42"/>
    </row>
    <row r="454" spans="1:1" ht="14.25" customHeight="1" x14ac:dyDescent="0.25">
      <c r="A454" s="42"/>
    </row>
    <row r="455" spans="1:1" ht="14.25" customHeight="1" x14ac:dyDescent="0.25">
      <c r="A455" s="42"/>
    </row>
    <row r="456" spans="1:1" ht="14.25" customHeight="1" x14ac:dyDescent="0.25">
      <c r="A456" s="42"/>
    </row>
    <row r="457" spans="1:1" ht="14.25" customHeight="1" x14ac:dyDescent="0.25">
      <c r="A457" s="42"/>
    </row>
    <row r="458" spans="1:1" ht="14.25" customHeight="1" x14ac:dyDescent="0.25">
      <c r="A458" s="42"/>
    </row>
    <row r="459" spans="1:1" ht="14.25" customHeight="1" x14ac:dyDescent="0.25">
      <c r="A459" s="42"/>
    </row>
    <row r="460" spans="1:1" ht="14.25" customHeight="1" x14ac:dyDescent="0.25">
      <c r="A460" s="42"/>
    </row>
    <row r="461" spans="1:1" ht="14.25" customHeight="1" x14ac:dyDescent="0.25">
      <c r="A461" s="42"/>
    </row>
    <row r="462" spans="1:1" ht="14.25" customHeight="1" x14ac:dyDescent="0.25">
      <c r="A462" s="42"/>
    </row>
    <row r="463" spans="1:1" ht="14.25" customHeight="1" x14ac:dyDescent="0.25">
      <c r="A463" s="42"/>
    </row>
    <row r="464" spans="1:1" ht="14.25" customHeight="1" x14ac:dyDescent="0.25">
      <c r="A464" s="42"/>
    </row>
    <row r="465" spans="1:1" ht="14.25" customHeight="1" x14ac:dyDescent="0.25">
      <c r="A465" s="42"/>
    </row>
    <row r="466" spans="1:1" ht="14.25" customHeight="1" x14ac:dyDescent="0.25">
      <c r="A466" s="42"/>
    </row>
    <row r="467" spans="1:1" ht="14.25" customHeight="1" x14ac:dyDescent="0.25">
      <c r="A467" s="42"/>
    </row>
    <row r="468" spans="1:1" ht="14.25" customHeight="1" x14ac:dyDescent="0.25">
      <c r="A468" s="42"/>
    </row>
    <row r="469" spans="1:1" ht="14.25" customHeight="1" x14ac:dyDescent="0.25">
      <c r="A469" s="42"/>
    </row>
    <row r="470" spans="1:1" ht="14.25" customHeight="1" x14ac:dyDescent="0.25">
      <c r="A470" s="42"/>
    </row>
    <row r="471" spans="1:1" ht="14.25" customHeight="1" x14ac:dyDescent="0.25">
      <c r="A471" s="42"/>
    </row>
    <row r="472" spans="1:1" ht="14.25" customHeight="1" x14ac:dyDescent="0.25">
      <c r="A472" s="42"/>
    </row>
    <row r="473" spans="1:1" ht="14.25" customHeight="1" x14ac:dyDescent="0.25">
      <c r="A473" s="42"/>
    </row>
    <row r="474" spans="1:1" ht="14.25" customHeight="1" x14ac:dyDescent="0.25">
      <c r="A474" s="42"/>
    </row>
    <row r="475" spans="1:1" ht="14.25" customHeight="1" x14ac:dyDescent="0.25">
      <c r="A475" s="42"/>
    </row>
    <row r="476" spans="1:1" ht="14.25" customHeight="1" x14ac:dyDescent="0.25">
      <c r="A476" s="42"/>
    </row>
    <row r="477" spans="1:1" ht="14.25" customHeight="1" x14ac:dyDescent="0.25">
      <c r="A477" s="42"/>
    </row>
    <row r="478" spans="1:1" ht="14.25" customHeight="1" x14ac:dyDescent="0.25">
      <c r="A478" s="42"/>
    </row>
    <row r="479" spans="1:1" ht="14.25" customHeight="1" x14ac:dyDescent="0.25">
      <c r="A479" s="42"/>
    </row>
    <row r="480" spans="1:1" ht="14.25" customHeight="1" x14ac:dyDescent="0.25">
      <c r="A480" s="42"/>
    </row>
    <row r="481" spans="1:1" ht="14.25" customHeight="1" x14ac:dyDescent="0.25">
      <c r="A481" s="42"/>
    </row>
    <row r="482" spans="1:1" ht="14.25" customHeight="1" x14ac:dyDescent="0.25">
      <c r="A482" s="42"/>
    </row>
    <row r="483" spans="1:1" ht="14.25" customHeight="1" x14ac:dyDescent="0.25">
      <c r="A483" s="42"/>
    </row>
    <row r="484" spans="1:1" ht="14.25" customHeight="1" x14ac:dyDescent="0.25">
      <c r="A484" s="42"/>
    </row>
    <row r="485" spans="1:1" ht="14.25" customHeight="1" x14ac:dyDescent="0.25">
      <c r="A485" s="42"/>
    </row>
    <row r="486" spans="1:1" ht="14.25" customHeight="1" x14ac:dyDescent="0.25">
      <c r="A486" s="42"/>
    </row>
    <row r="487" spans="1:1" ht="14.25" customHeight="1" x14ac:dyDescent="0.25">
      <c r="A487" s="42"/>
    </row>
    <row r="488" spans="1:1" ht="14.25" customHeight="1" x14ac:dyDescent="0.25">
      <c r="A488" s="42"/>
    </row>
    <row r="489" spans="1:1" ht="14.25" customHeight="1" x14ac:dyDescent="0.25">
      <c r="A489" s="42"/>
    </row>
    <row r="490" spans="1:1" ht="14.25" customHeight="1" x14ac:dyDescent="0.25">
      <c r="A490" s="42"/>
    </row>
    <row r="491" spans="1:1" ht="14.25" customHeight="1" x14ac:dyDescent="0.25">
      <c r="A491" s="42"/>
    </row>
    <row r="492" spans="1:1" ht="14.25" customHeight="1" x14ac:dyDescent="0.25">
      <c r="A492" s="42"/>
    </row>
    <row r="493" spans="1:1" ht="14.25" customHeight="1" x14ac:dyDescent="0.25">
      <c r="A493" s="42"/>
    </row>
    <row r="494" spans="1:1" ht="14.25" customHeight="1" x14ac:dyDescent="0.25">
      <c r="A494" s="42"/>
    </row>
    <row r="495" spans="1:1" ht="14.25" customHeight="1" x14ac:dyDescent="0.25">
      <c r="A495" s="42"/>
    </row>
    <row r="496" spans="1:1" ht="14.25" customHeight="1" x14ac:dyDescent="0.25">
      <c r="A496" s="42"/>
    </row>
    <row r="497" spans="1:1" ht="14.25" customHeight="1" x14ac:dyDescent="0.25">
      <c r="A497" s="42"/>
    </row>
    <row r="498" spans="1:1" ht="14.25" customHeight="1" x14ac:dyDescent="0.25">
      <c r="A498" s="42"/>
    </row>
    <row r="499" spans="1:1" ht="14.25" customHeight="1" x14ac:dyDescent="0.25">
      <c r="A499" s="42"/>
    </row>
    <row r="500" spans="1:1" ht="14.25" customHeight="1" x14ac:dyDescent="0.25">
      <c r="A500" s="42"/>
    </row>
    <row r="501" spans="1:1" ht="14.25" customHeight="1" x14ac:dyDescent="0.25">
      <c r="A501" s="42"/>
    </row>
    <row r="502" spans="1:1" ht="14.25" customHeight="1" x14ac:dyDescent="0.25">
      <c r="A502" s="42"/>
    </row>
    <row r="503" spans="1:1" ht="14.25" customHeight="1" x14ac:dyDescent="0.25">
      <c r="A503" s="42"/>
    </row>
    <row r="504" spans="1:1" ht="14.25" customHeight="1" x14ac:dyDescent="0.25">
      <c r="A504" s="42"/>
    </row>
    <row r="505" spans="1:1" ht="14.25" customHeight="1" x14ac:dyDescent="0.25">
      <c r="A505" s="42"/>
    </row>
    <row r="506" spans="1:1" ht="14.25" customHeight="1" x14ac:dyDescent="0.25">
      <c r="A506" s="42"/>
    </row>
    <row r="507" spans="1:1" ht="14.25" customHeight="1" x14ac:dyDescent="0.25">
      <c r="A507" s="42"/>
    </row>
    <row r="508" spans="1:1" ht="14.25" customHeight="1" x14ac:dyDescent="0.25">
      <c r="A508" s="42"/>
    </row>
    <row r="509" spans="1:1" ht="14.25" customHeight="1" x14ac:dyDescent="0.25">
      <c r="A509" s="42"/>
    </row>
    <row r="510" spans="1:1" ht="14.25" customHeight="1" x14ac:dyDescent="0.25">
      <c r="A510" s="42"/>
    </row>
    <row r="511" spans="1:1" ht="14.25" customHeight="1" x14ac:dyDescent="0.25">
      <c r="A511" s="42"/>
    </row>
    <row r="512" spans="1:1" ht="14.25" customHeight="1" x14ac:dyDescent="0.25">
      <c r="A512" s="42"/>
    </row>
    <row r="513" spans="1:1" ht="14.25" customHeight="1" x14ac:dyDescent="0.25">
      <c r="A513" s="42"/>
    </row>
    <row r="514" spans="1:1" ht="14.25" customHeight="1" x14ac:dyDescent="0.25">
      <c r="A514" s="42"/>
    </row>
    <row r="515" spans="1:1" ht="14.25" customHeight="1" x14ac:dyDescent="0.25">
      <c r="A515" s="42"/>
    </row>
    <row r="516" spans="1:1" ht="14.25" customHeight="1" x14ac:dyDescent="0.25">
      <c r="A516" s="42"/>
    </row>
    <row r="517" spans="1:1" ht="14.25" customHeight="1" x14ac:dyDescent="0.25">
      <c r="A517" s="42"/>
    </row>
    <row r="518" spans="1:1" ht="14.25" customHeight="1" x14ac:dyDescent="0.25">
      <c r="A518" s="42"/>
    </row>
    <row r="519" spans="1:1" ht="14.25" customHeight="1" x14ac:dyDescent="0.25">
      <c r="A519" s="42"/>
    </row>
    <row r="520" spans="1:1" ht="14.25" customHeight="1" x14ac:dyDescent="0.25">
      <c r="A520" s="42"/>
    </row>
    <row r="521" spans="1:1" ht="14.25" customHeight="1" x14ac:dyDescent="0.25">
      <c r="A521" s="42"/>
    </row>
    <row r="522" spans="1:1" ht="14.25" customHeight="1" x14ac:dyDescent="0.25">
      <c r="A522" s="42"/>
    </row>
    <row r="523" spans="1:1" ht="14.25" customHeight="1" x14ac:dyDescent="0.25">
      <c r="A523" s="42"/>
    </row>
    <row r="524" spans="1:1" ht="14.25" customHeight="1" x14ac:dyDescent="0.25">
      <c r="A524" s="42"/>
    </row>
    <row r="525" spans="1:1" ht="14.25" customHeight="1" x14ac:dyDescent="0.25">
      <c r="A525" s="42"/>
    </row>
    <row r="526" spans="1:1" ht="14.25" customHeight="1" x14ac:dyDescent="0.25">
      <c r="A526" s="42"/>
    </row>
    <row r="527" spans="1:1" ht="14.25" customHeight="1" x14ac:dyDescent="0.25">
      <c r="A527" s="42"/>
    </row>
    <row r="528" spans="1:1" ht="14.25" customHeight="1" x14ac:dyDescent="0.25">
      <c r="A528" s="42"/>
    </row>
    <row r="529" spans="1:1" ht="14.25" customHeight="1" x14ac:dyDescent="0.25">
      <c r="A529" s="42"/>
    </row>
    <row r="530" spans="1:1" ht="14.25" customHeight="1" x14ac:dyDescent="0.25">
      <c r="A530" s="42"/>
    </row>
    <row r="531" spans="1:1" ht="14.25" customHeight="1" x14ac:dyDescent="0.25">
      <c r="A531" s="42"/>
    </row>
    <row r="532" spans="1:1" ht="14.25" customHeight="1" x14ac:dyDescent="0.25">
      <c r="A532" s="42"/>
    </row>
    <row r="533" spans="1:1" ht="14.25" customHeight="1" x14ac:dyDescent="0.25">
      <c r="A533" s="42"/>
    </row>
    <row r="534" spans="1:1" ht="14.25" customHeight="1" x14ac:dyDescent="0.25">
      <c r="A534" s="42"/>
    </row>
    <row r="535" spans="1:1" ht="14.25" customHeight="1" x14ac:dyDescent="0.25">
      <c r="A535" s="42"/>
    </row>
    <row r="536" spans="1:1" ht="14.25" customHeight="1" x14ac:dyDescent="0.25">
      <c r="A536" s="42"/>
    </row>
    <row r="537" spans="1:1" ht="14.25" customHeight="1" x14ac:dyDescent="0.25">
      <c r="A537" s="42"/>
    </row>
    <row r="538" spans="1:1" ht="14.25" customHeight="1" x14ac:dyDescent="0.25">
      <c r="A538" s="42"/>
    </row>
    <row r="539" spans="1:1" ht="14.25" customHeight="1" x14ac:dyDescent="0.25">
      <c r="A539" s="42"/>
    </row>
    <row r="540" spans="1:1" ht="14.25" customHeight="1" x14ac:dyDescent="0.25">
      <c r="A540" s="42"/>
    </row>
    <row r="541" spans="1:1" ht="14.25" customHeight="1" x14ac:dyDescent="0.25">
      <c r="A541" s="42"/>
    </row>
    <row r="542" spans="1:1" ht="14.25" customHeight="1" x14ac:dyDescent="0.25">
      <c r="A542" s="42"/>
    </row>
    <row r="543" spans="1:1" ht="14.25" customHeight="1" x14ac:dyDescent="0.25">
      <c r="A543" s="42"/>
    </row>
    <row r="544" spans="1:1" ht="14.25" customHeight="1" x14ac:dyDescent="0.25">
      <c r="A544" s="42"/>
    </row>
    <row r="545" spans="1:1" ht="14.25" customHeight="1" x14ac:dyDescent="0.25">
      <c r="A545" s="42"/>
    </row>
    <row r="546" spans="1:1" ht="14.25" customHeight="1" x14ac:dyDescent="0.25">
      <c r="A546" s="42"/>
    </row>
    <row r="547" spans="1:1" ht="14.25" customHeight="1" x14ac:dyDescent="0.25">
      <c r="A547" s="42"/>
    </row>
    <row r="548" spans="1:1" ht="14.25" customHeight="1" x14ac:dyDescent="0.25">
      <c r="A548" s="42"/>
    </row>
    <row r="549" spans="1:1" ht="14.25" customHeight="1" x14ac:dyDescent="0.25">
      <c r="A549" s="42"/>
    </row>
    <row r="550" spans="1:1" ht="14.25" customHeight="1" x14ac:dyDescent="0.25">
      <c r="A550" s="42"/>
    </row>
    <row r="551" spans="1:1" ht="14.25" customHeight="1" x14ac:dyDescent="0.25">
      <c r="A551" s="42"/>
    </row>
    <row r="552" spans="1:1" ht="14.25" customHeight="1" x14ac:dyDescent="0.25">
      <c r="A552" s="42"/>
    </row>
    <row r="553" spans="1:1" ht="14.25" customHeight="1" x14ac:dyDescent="0.25">
      <c r="A553" s="42"/>
    </row>
    <row r="554" spans="1:1" ht="14.25" customHeight="1" x14ac:dyDescent="0.25">
      <c r="A554" s="42"/>
    </row>
    <row r="555" spans="1:1" ht="14.25" customHeight="1" x14ac:dyDescent="0.25">
      <c r="A555" s="42"/>
    </row>
    <row r="556" spans="1:1" ht="14.25" customHeight="1" x14ac:dyDescent="0.25">
      <c r="A556" s="42"/>
    </row>
    <row r="557" spans="1:1" ht="14.25" customHeight="1" x14ac:dyDescent="0.25">
      <c r="A557" s="42"/>
    </row>
    <row r="558" spans="1:1" ht="14.25" customHeight="1" x14ac:dyDescent="0.25">
      <c r="A558" s="42"/>
    </row>
    <row r="559" spans="1:1" ht="14.25" customHeight="1" x14ac:dyDescent="0.25">
      <c r="A559" s="42"/>
    </row>
    <row r="560" spans="1:1" ht="14.25" customHeight="1" x14ac:dyDescent="0.25">
      <c r="A560" s="42"/>
    </row>
    <row r="561" spans="1:1" ht="14.25" customHeight="1" x14ac:dyDescent="0.25">
      <c r="A561" s="42"/>
    </row>
    <row r="562" spans="1:1" ht="14.25" customHeight="1" x14ac:dyDescent="0.25">
      <c r="A562" s="42"/>
    </row>
    <row r="563" spans="1:1" ht="14.25" customHeight="1" x14ac:dyDescent="0.25">
      <c r="A563" s="42"/>
    </row>
    <row r="564" spans="1:1" ht="14.25" customHeight="1" x14ac:dyDescent="0.25">
      <c r="A564" s="42"/>
    </row>
    <row r="565" spans="1:1" ht="14.25" customHeight="1" x14ac:dyDescent="0.25">
      <c r="A565" s="42"/>
    </row>
    <row r="566" spans="1:1" ht="14.25" customHeight="1" x14ac:dyDescent="0.25">
      <c r="A566" s="42"/>
    </row>
    <row r="567" spans="1:1" ht="14.25" customHeight="1" x14ac:dyDescent="0.25">
      <c r="A567" s="42"/>
    </row>
    <row r="568" spans="1:1" ht="14.25" customHeight="1" x14ac:dyDescent="0.25">
      <c r="A568" s="42"/>
    </row>
    <row r="569" spans="1:1" ht="14.25" customHeight="1" x14ac:dyDescent="0.25">
      <c r="A569" s="42"/>
    </row>
    <row r="570" spans="1:1" ht="14.25" customHeight="1" x14ac:dyDescent="0.25">
      <c r="A570" s="42"/>
    </row>
    <row r="571" spans="1:1" ht="14.25" customHeight="1" x14ac:dyDescent="0.25">
      <c r="A571" s="42"/>
    </row>
    <row r="572" spans="1:1" ht="14.25" customHeight="1" x14ac:dyDescent="0.25">
      <c r="A572" s="42"/>
    </row>
    <row r="573" spans="1:1" ht="14.25" customHeight="1" x14ac:dyDescent="0.25">
      <c r="A573" s="42"/>
    </row>
    <row r="574" spans="1:1" ht="14.25" customHeight="1" x14ac:dyDescent="0.25">
      <c r="A574" s="42"/>
    </row>
    <row r="575" spans="1:1" ht="14.25" customHeight="1" x14ac:dyDescent="0.25">
      <c r="A575" s="42"/>
    </row>
    <row r="576" spans="1:1" ht="14.25" customHeight="1" x14ac:dyDescent="0.25">
      <c r="A576" s="42"/>
    </row>
    <row r="577" spans="1:1" ht="14.25" customHeight="1" x14ac:dyDescent="0.25">
      <c r="A577" s="42"/>
    </row>
    <row r="578" spans="1:1" ht="14.25" customHeight="1" x14ac:dyDescent="0.25">
      <c r="A578" s="42"/>
    </row>
    <row r="579" spans="1:1" ht="14.25" customHeight="1" x14ac:dyDescent="0.25">
      <c r="A579" s="42"/>
    </row>
    <row r="580" spans="1:1" ht="14.25" customHeight="1" x14ac:dyDescent="0.25">
      <c r="A580" s="42"/>
    </row>
    <row r="581" spans="1:1" ht="14.25" customHeight="1" x14ac:dyDescent="0.25">
      <c r="A581" s="42"/>
    </row>
    <row r="582" spans="1:1" ht="14.25" customHeight="1" x14ac:dyDescent="0.25">
      <c r="A582" s="42"/>
    </row>
    <row r="583" spans="1:1" ht="14.25" customHeight="1" x14ac:dyDescent="0.25">
      <c r="A583" s="42"/>
    </row>
    <row r="584" spans="1:1" ht="14.25" customHeight="1" x14ac:dyDescent="0.25">
      <c r="A584" s="42"/>
    </row>
    <row r="585" spans="1:1" ht="14.25" customHeight="1" x14ac:dyDescent="0.25">
      <c r="A585" s="42"/>
    </row>
    <row r="586" spans="1:1" ht="14.25" customHeight="1" x14ac:dyDescent="0.25">
      <c r="A586" s="42"/>
    </row>
    <row r="587" spans="1:1" ht="14.25" customHeight="1" x14ac:dyDescent="0.25">
      <c r="A587" s="42"/>
    </row>
    <row r="588" spans="1:1" ht="14.25" customHeight="1" x14ac:dyDescent="0.25">
      <c r="A588" s="42"/>
    </row>
    <row r="589" spans="1:1" ht="14.25" customHeight="1" x14ac:dyDescent="0.25">
      <c r="A589" s="42"/>
    </row>
    <row r="590" spans="1:1" ht="14.25" customHeight="1" x14ac:dyDescent="0.25">
      <c r="A590" s="42"/>
    </row>
    <row r="591" spans="1:1" ht="14.25" customHeight="1" x14ac:dyDescent="0.25">
      <c r="A591" s="42"/>
    </row>
    <row r="592" spans="1:1" ht="14.25" customHeight="1" x14ac:dyDescent="0.25">
      <c r="A592" s="42"/>
    </row>
    <row r="593" spans="1:1" ht="14.25" customHeight="1" x14ac:dyDescent="0.25">
      <c r="A593" s="42"/>
    </row>
    <row r="594" spans="1:1" ht="14.25" customHeight="1" x14ac:dyDescent="0.25">
      <c r="A594" s="42"/>
    </row>
    <row r="595" spans="1:1" ht="14.25" customHeight="1" x14ac:dyDescent="0.25">
      <c r="A595" s="42"/>
    </row>
    <row r="596" spans="1:1" ht="14.25" customHeight="1" x14ac:dyDescent="0.25">
      <c r="A596" s="42"/>
    </row>
    <row r="597" spans="1:1" ht="14.25" customHeight="1" x14ac:dyDescent="0.25">
      <c r="A597" s="42"/>
    </row>
    <row r="598" spans="1:1" ht="14.25" customHeight="1" x14ac:dyDescent="0.25">
      <c r="A598" s="42"/>
    </row>
    <row r="599" spans="1:1" ht="14.25" customHeight="1" x14ac:dyDescent="0.25">
      <c r="A599" s="42"/>
    </row>
    <row r="600" spans="1:1" ht="14.25" customHeight="1" x14ac:dyDescent="0.25">
      <c r="A600" s="42"/>
    </row>
    <row r="601" spans="1:1" ht="14.25" customHeight="1" x14ac:dyDescent="0.25">
      <c r="A601" s="42"/>
    </row>
    <row r="602" spans="1:1" ht="14.25" customHeight="1" x14ac:dyDescent="0.25">
      <c r="A602" s="42"/>
    </row>
    <row r="603" spans="1:1" ht="14.25" customHeight="1" x14ac:dyDescent="0.25">
      <c r="A603" s="42"/>
    </row>
    <row r="604" spans="1:1" ht="14.25" customHeight="1" x14ac:dyDescent="0.25">
      <c r="A604" s="42"/>
    </row>
    <row r="605" spans="1:1" ht="14.25" customHeight="1" x14ac:dyDescent="0.25">
      <c r="A605" s="42"/>
    </row>
    <row r="606" spans="1:1" ht="14.25" customHeight="1" x14ac:dyDescent="0.25">
      <c r="A606" s="42"/>
    </row>
    <row r="607" spans="1:1" ht="14.25" customHeight="1" x14ac:dyDescent="0.25">
      <c r="A607" s="42"/>
    </row>
    <row r="608" spans="1:1" ht="14.25" customHeight="1" x14ac:dyDescent="0.25">
      <c r="A608" s="42"/>
    </row>
    <row r="609" spans="1:1" ht="14.25" customHeight="1" x14ac:dyDescent="0.25">
      <c r="A609" s="42"/>
    </row>
    <row r="610" spans="1:1" ht="14.25" customHeight="1" x14ac:dyDescent="0.25">
      <c r="A610" s="42"/>
    </row>
    <row r="611" spans="1:1" ht="14.25" customHeight="1" x14ac:dyDescent="0.25">
      <c r="A611" s="42"/>
    </row>
    <row r="612" spans="1:1" ht="14.25" customHeight="1" x14ac:dyDescent="0.25">
      <c r="A612" s="42"/>
    </row>
    <row r="613" spans="1:1" ht="14.25" customHeight="1" x14ac:dyDescent="0.25">
      <c r="A613" s="42"/>
    </row>
    <row r="614" spans="1:1" ht="14.25" customHeight="1" x14ac:dyDescent="0.25">
      <c r="A614" s="42"/>
    </row>
    <row r="615" spans="1:1" ht="14.25" customHeight="1" x14ac:dyDescent="0.25">
      <c r="A615" s="42"/>
    </row>
    <row r="616" spans="1:1" ht="14.25" customHeight="1" x14ac:dyDescent="0.25">
      <c r="A616" s="42"/>
    </row>
    <row r="617" spans="1:1" ht="14.25" customHeight="1" x14ac:dyDescent="0.25">
      <c r="A617" s="42"/>
    </row>
    <row r="618" spans="1:1" ht="14.25" customHeight="1" x14ac:dyDescent="0.25">
      <c r="A618" s="42"/>
    </row>
    <row r="619" spans="1:1" ht="14.25" customHeight="1" x14ac:dyDescent="0.25">
      <c r="A619" s="42"/>
    </row>
    <row r="620" spans="1:1" ht="14.25" customHeight="1" x14ac:dyDescent="0.25">
      <c r="A620" s="42"/>
    </row>
    <row r="621" spans="1:1" ht="14.25" customHeight="1" x14ac:dyDescent="0.25">
      <c r="A621" s="42"/>
    </row>
    <row r="622" spans="1:1" ht="14.25" customHeight="1" x14ac:dyDescent="0.25">
      <c r="A622" s="42"/>
    </row>
    <row r="623" spans="1:1" ht="14.25" customHeight="1" x14ac:dyDescent="0.25">
      <c r="A623" s="42"/>
    </row>
    <row r="624" spans="1:1" ht="14.25" customHeight="1" x14ac:dyDescent="0.25">
      <c r="A624" s="42"/>
    </row>
    <row r="625" spans="1:1" ht="14.25" customHeight="1" x14ac:dyDescent="0.25">
      <c r="A625" s="42"/>
    </row>
    <row r="626" spans="1:1" ht="14.25" customHeight="1" x14ac:dyDescent="0.25">
      <c r="A626" s="42"/>
    </row>
    <row r="627" spans="1:1" ht="14.25" customHeight="1" x14ac:dyDescent="0.25">
      <c r="A627" s="42"/>
    </row>
    <row r="628" spans="1:1" ht="14.25" customHeight="1" x14ac:dyDescent="0.25">
      <c r="A628" s="42"/>
    </row>
    <row r="629" spans="1:1" ht="14.25" customHeight="1" x14ac:dyDescent="0.25">
      <c r="A629" s="42"/>
    </row>
    <row r="630" spans="1:1" ht="14.25" customHeight="1" x14ac:dyDescent="0.25">
      <c r="A630" s="42"/>
    </row>
    <row r="631" spans="1:1" ht="14.25" customHeight="1" x14ac:dyDescent="0.25">
      <c r="A631" s="42"/>
    </row>
    <row r="632" spans="1:1" ht="14.25" customHeight="1" x14ac:dyDescent="0.25">
      <c r="A632" s="42"/>
    </row>
    <row r="633" spans="1:1" ht="14.25" customHeight="1" x14ac:dyDescent="0.25">
      <c r="A633" s="42"/>
    </row>
    <row r="634" spans="1:1" ht="14.25" customHeight="1" x14ac:dyDescent="0.25">
      <c r="A634" s="42"/>
    </row>
    <row r="635" spans="1:1" ht="14.25" customHeight="1" x14ac:dyDescent="0.25">
      <c r="A635" s="42"/>
    </row>
    <row r="636" spans="1:1" ht="14.25" customHeight="1" x14ac:dyDescent="0.25">
      <c r="A636" s="42"/>
    </row>
    <row r="637" spans="1:1" ht="14.25" customHeight="1" x14ac:dyDescent="0.25">
      <c r="A637" s="42"/>
    </row>
    <row r="638" spans="1:1" ht="14.25" customHeight="1" x14ac:dyDescent="0.25">
      <c r="A638" s="42"/>
    </row>
    <row r="639" spans="1:1" ht="14.25" customHeight="1" x14ac:dyDescent="0.25">
      <c r="A639" s="42"/>
    </row>
    <row r="640" spans="1:1" ht="14.25" customHeight="1" x14ac:dyDescent="0.25">
      <c r="A640" s="42"/>
    </row>
    <row r="641" spans="1:1" ht="14.25" customHeight="1" x14ac:dyDescent="0.25">
      <c r="A641" s="42"/>
    </row>
    <row r="642" spans="1:1" ht="14.25" customHeight="1" x14ac:dyDescent="0.25">
      <c r="A642" s="42"/>
    </row>
    <row r="643" spans="1:1" ht="14.25" customHeight="1" x14ac:dyDescent="0.25">
      <c r="A643" s="42"/>
    </row>
    <row r="644" spans="1:1" ht="14.25" customHeight="1" x14ac:dyDescent="0.25">
      <c r="A644" s="42"/>
    </row>
    <row r="645" spans="1:1" ht="14.25" customHeight="1" x14ac:dyDescent="0.25">
      <c r="A645" s="42"/>
    </row>
    <row r="646" spans="1:1" ht="14.25" customHeight="1" x14ac:dyDescent="0.25">
      <c r="A646" s="42"/>
    </row>
    <row r="647" spans="1:1" ht="14.25" customHeight="1" x14ac:dyDescent="0.25">
      <c r="A647" s="42"/>
    </row>
    <row r="648" spans="1:1" ht="14.25" customHeight="1" x14ac:dyDescent="0.25">
      <c r="A648" s="42"/>
    </row>
    <row r="649" spans="1:1" ht="14.25" customHeight="1" x14ac:dyDescent="0.25">
      <c r="A649" s="42"/>
    </row>
    <row r="650" spans="1:1" ht="14.25" customHeight="1" x14ac:dyDescent="0.25">
      <c r="A650" s="42"/>
    </row>
    <row r="651" spans="1:1" ht="14.25" customHeight="1" x14ac:dyDescent="0.25">
      <c r="A651" s="42"/>
    </row>
    <row r="652" spans="1:1" ht="14.25" customHeight="1" x14ac:dyDescent="0.25">
      <c r="A652" s="42"/>
    </row>
    <row r="653" spans="1:1" ht="14.25" customHeight="1" x14ac:dyDescent="0.25">
      <c r="A653" s="42"/>
    </row>
    <row r="654" spans="1:1" ht="14.25" customHeight="1" x14ac:dyDescent="0.25">
      <c r="A654" s="42"/>
    </row>
    <row r="655" spans="1:1" ht="14.25" customHeight="1" x14ac:dyDescent="0.25">
      <c r="A655" s="42"/>
    </row>
    <row r="656" spans="1:1" ht="14.25" customHeight="1" x14ac:dyDescent="0.25">
      <c r="A656" s="42"/>
    </row>
    <row r="657" spans="1:1" ht="14.25" customHeight="1" x14ac:dyDescent="0.25">
      <c r="A657" s="42"/>
    </row>
    <row r="658" spans="1:1" ht="14.25" customHeight="1" x14ac:dyDescent="0.25">
      <c r="A658" s="42"/>
    </row>
    <row r="659" spans="1:1" ht="14.25" customHeight="1" x14ac:dyDescent="0.25">
      <c r="A659" s="42"/>
    </row>
    <row r="660" spans="1:1" ht="14.25" customHeight="1" x14ac:dyDescent="0.25">
      <c r="A660" s="42"/>
    </row>
    <row r="661" spans="1:1" ht="14.25" customHeight="1" x14ac:dyDescent="0.25">
      <c r="A661" s="42"/>
    </row>
    <row r="662" spans="1:1" ht="14.25" customHeight="1" x14ac:dyDescent="0.25">
      <c r="A662" s="42"/>
    </row>
    <row r="663" spans="1:1" ht="14.25" customHeight="1" x14ac:dyDescent="0.25">
      <c r="A663" s="42"/>
    </row>
    <row r="664" spans="1:1" ht="14.25" customHeight="1" x14ac:dyDescent="0.25">
      <c r="A664" s="42"/>
    </row>
    <row r="665" spans="1:1" ht="14.25" customHeight="1" x14ac:dyDescent="0.25">
      <c r="A665" s="42"/>
    </row>
    <row r="666" spans="1:1" ht="14.25" customHeight="1" x14ac:dyDescent="0.25">
      <c r="A666" s="42"/>
    </row>
    <row r="667" spans="1:1" ht="14.25" customHeight="1" x14ac:dyDescent="0.25">
      <c r="A667" s="42"/>
    </row>
    <row r="668" spans="1:1" ht="14.25" customHeight="1" x14ac:dyDescent="0.25">
      <c r="A668" s="42"/>
    </row>
    <row r="669" spans="1:1" ht="14.25" customHeight="1" x14ac:dyDescent="0.25">
      <c r="A669" s="42"/>
    </row>
    <row r="670" spans="1:1" ht="14.25" customHeight="1" x14ac:dyDescent="0.25">
      <c r="A670" s="42"/>
    </row>
    <row r="671" spans="1:1" ht="14.25" customHeight="1" x14ac:dyDescent="0.25">
      <c r="A671" s="42"/>
    </row>
    <row r="672" spans="1:1" ht="14.25" customHeight="1" x14ac:dyDescent="0.25">
      <c r="A672" s="42"/>
    </row>
    <row r="673" spans="1:1" ht="14.25" customHeight="1" x14ac:dyDescent="0.25">
      <c r="A673" s="42"/>
    </row>
    <row r="674" spans="1:1" ht="14.25" customHeight="1" x14ac:dyDescent="0.25">
      <c r="A674" s="42"/>
    </row>
    <row r="675" spans="1:1" ht="14.25" customHeight="1" x14ac:dyDescent="0.25">
      <c r="A675" s="42"/>
    </row>
    <row r="676" spans="1:1" ht="14.25" customHeight="1" x14ac:dyDescent="0.25">
      <c r="A676" s="42"/>
    </row>
    <row r="677" spans="1:1" ht="14.25" customHeight="1" x14ac:dyDescent="0.25">
      <c r="A677" s="42"/>
    </row>
    <row r="678" spans="1:1" ht="14.25" customHeight="1" x14ac:dyDescent="0.25">
      <c r="A678" s="42"/>
    </row>
    <row r="679" spans="1:1" ht="14.25" customHeight="1" x14ac:dyDescent="0.25">
      <c r="A679" s="42"/>
    </row>
    <row r="680" spans="1:1" ht="14.25" customHeight="1" x14ac:dyDescent="0.25">
      <c r="A680" s="42"/>
    </row>
    <row r="681" spans="1:1" ht="14.25" customHeight="1" x14ac:dyDescent="0.25">
      <c r="A681" s="42"/>
    </row>
    <row r="682" spans="1:1" ht="14.25" customHeight="1" x14ac:dyDescent="0.25">
      <c r="A682" s="42"/>
    </row>
    <row r="683" spans="1:1" ht="14.25" customHeight="1" x14ac:dyDescent="0.25">
      <c r="A683" s="42"/>
    </row>
    <row r="684" spans="1:1" ht="14.25" customHeight="1" x14ac:dyDescent="0.25">
      <c r="A684" s="42"/>
    </row>
    <row r="685" spans="1:1" ht="14.25" customHeight="1" x14ac:dyDescent="0.25">
      <c r="A685" s="42"/>
    </row>
    <row r="686" spans="1:1" ht="14.25" customHeight="1" x14ac:dyDescent="0.25">
      <c r="A686" s="42"/>
    </row>
    <row r="687" spans="1:1" ht="14.25" customHeight="1" x14ac:dyDescent="0.25">
      <c r="A687" s="42"/>
    </row>
    <row r="688" spans="1:1" ht="14.25" customHeight="1" x14ac:dyDescent="0.25">
      <c r="A688" s="42"/>
    </row>
    <row r="689" spans="1:1" ht="14.25" customHeight="1" x14ac:dyDescent="0.25">
      <c r="A689" s="42"/>
    </row>
    <row r="690" spans="1:1" ht="14.25" customHeight="1" x14ac:dyDescent="0.25">
      <c r="A690" s="42"/>
    </row>
    <row r="691" spans="1:1" ht="14.25" customHeight="1" x14ac:dyDescent="0.25">
      <c r="A691" s="42"/>
    </row>
    <row r="692" spans="1:1" ht="14.25" customHeight="1" x14ac:dyDescent="0.25">
      <c r="A692" s="42"/>
    </row>
    <row r="693" spans="1:1" ht="14.25" customHeight="1" x14ac:dyDescent="0.25">
      <c r="A693" s="42"/>
    </row>
    <row r="694" spans="1:1" ht="14.25" customHeight="1" x14ac:dyDescent="0.25">
      <c r="A694" s="42"/>
    </row>
    <row r="695" spans="1:1" ht="14.25" customHeight="1" x14ac:dyDescent="0.25">
      <c r="A695" s="42"/>
    </row>
    <row r="696" spans="1:1" ht="14.25" customHeight="1" x14ac:dyDescent="0.25">
      <c r="A696" s="42"/>
    </row>
    <row r="697" spans="1:1" ht="14.25" customHeight="1" x14ac:dyDescent="0.25">
      <c r="A697" s="42"/>
    </row>
    <row r="698" spans="1:1" ht="14.25" customHeight="1" x14ac:dyDescent="0.25">
      <c r="A698" s="42"/>
    </row>
    <row r="699" spans="1:1" ht="14.25" customHeight="1" x14ac:dyDescent="0.25">
      <c r="A699" s="42"/>
    </row>
    <row r="700" spans="1:1" ht="14.25" customHeight="1" x14ac:dyDescent="0.25">
      <c r="A700" s="42"/>
    </row>
    <row r="701" spans="1:1" ht="14.25" customHeight="1" x14ac:dyDescent="0.25">
      <c r="A701" s="42"/>
    </row>
    <row r="702" spans="1:1" ht="14.25" customHeight="1" x14ac:dyDescent="0.25">
      <c r="A702" s="42"/>
    </row>
    <row r="703" spans="1:1" ht="14.25" customHeight="1" x14ac:dyDescent="0.25">
      <c r="A703" s="42"/>
    </row>
    <row r="704" spans="1:1" ht="14.25" customHeight="1" x14ac:dyDescent="0.25">
      <c r="A704" s="42"/>
    </row>
    <row r="705" spans="1:1" ht="14.25" customHeight="1" x14ac:dyDescent="0.25">
      <c r="A705" s="42"/>
    </row>
    <row r="706" spans="1:1" ht="14.25" customHeight="1" x14ac:dyDescent="0.25">
      <c r="A706" s="42"/>
    </row>
    <row r="707" spans="1:1" ht="14.25" customHeight="1" x14ac:dyDescent="0.25">
      <c r="A707" s="42"/>
    </row>
    <row r="708" spans="1:1" ht="14.25" customHeight="1" x14ac:dyDescent="0.25">
      <c r="A708" s="42"/>
    </row>
    <row r="709" spans="1:1" ht="14.25" customHeight="1" x14ac:dyDescent="0.25">
      <c r="A709" s="42"/>
    </row>
    <row r="710" spans="1:1" ht="14.25" customHeight="1" x14ac:dyDescent="0.25">
      <c r="A710" s="42"/>
    </row>
    <row r="711" spans="1:1" ht="14.25" customHeight="1" x14ac:dyDescent="0.25">
      <c r="A711" s="42"/>
    </row>
    <row r="712" spans="1:1" ht="14.25" customHeight="1" x14ac:dyDescent="0.25">
      <c r="A712" s="42"/>
    </row>
    <row r="713" spans="1:1" ht="14.25" customHeight="1" x14ac:dyDescent="0.25">
      <c r="A713" s="42"/>
    </row>
    <row r="714" spans="1:1" ht="14.25" customHeight="1" x14ac:dyDescent="0.25">
      <c r="A714" s="42"/>
    </row>
    <row r="715" spans="1:1" ht="14.25" customHeight="1" x14ac:dyDescent="0.25">
      <c r="A715" s="42"/>
    </row>
    <row r="716" spans="1:1" ht="14.25" customHeight="1" x14ac:dyDescent="0.25">
      <c r="A716" s="42"/>
    </row>
    <row r="717" spans="1:1" ht="14.25" customHeight="1" x14ac:dyDescent="0.25">
      <c r="A717" s="42"/>
    </row>
    <row r="718" spans="1:1" ht="14.25" customHeight="1" x14ac:dyDescent="0.25">
      <c r="A718" s="42"/>
    </row>
    <row r="719" spans="1:1" ht="14.25" customHeight="1" x14ac:dyDescent="0.25">
      <c r="A719" s="42"/>
    </row>
    <row r="720" spans="1:1" ht="14.25" customHeight="1" x14ac:dyDescent="0.25">
      <c r="A720" s="42"/>
    </row>
    <row r="721" spans="1:1" ht="14.25" customHeight="1" x14ac:dyDescent="0.25">
      <c r="A721" s="42"/>
    </row>
    <row r="722" spans="1:1" ht="14.25" customHeight="1" x14ac:dyDescent="0.25">
      <c r="A722" s="42"/>
    </row>
    <row r="723" spans="1:1" ht="14.25" customHeight="1" x14ac:dyDescent="0.25">
      <c r="A723" s="42"/>
    </row>
    <row r="724" spans="1:1" ht="14.25" customHeight="1" x14ac:dyDescent="0.25">
      <c r="A724" s="42"/>
    </row>
    <row r="725" spans="1:1" ht="14.25" customHeight="1" x14ac:dyDescent="0.25">
      <c r="A725" s="42"/>
    </row>
    <row r="726" spans="1:1" ht="14.25" customHeight="1" x14ac:dyDescent="0.25">
      <c r="A726" s="42"/>
    </row>
    <row r="727" spans="1:1" ht="14.25" customHeight="1" x14ac:dyDescent="0.25">
      <c r="A727" s="42"/>
    </row>
    <row r="728" spans="1:1" ht="14.25" customHeight="1" x14ac:dyDescent="0.25">
      <c r="A728" s="42"/>
    </row>
    <row r="729" spans="1:1" ht="14.25" customHeight="1" x14ac:dyDescent="0.25">
      <c r="A729" s="42"/>
    </row>
    <row r="730" spans="1:1" ht="14.25" customHeight="1" x14ac:dyDescent="0.25">
      <c r="A730" s="42"/>
    </row>
    <row r="731" spans="1:1" ht="14.25" customHeight="1" x14ac:dyDescent="0.25">
      <c r="A731" s="42"/>
    </row>
    <row r="732" spans="1:1" ht="14.25" customHeight="1" x14ac:dyDescent="0.25">
      <c r="A732" s="42"/>
    </row>
    <row r="733" spans="1:1" ht="14.25" customHeight="1" x14ac:dyDescent="0.25">
      <c r="A733" s="42"/>
    </row>
    <row r="734" spans="1:1" ht="14.25" customHeight="1" x14ac:dyDescent="0.25">
      <c r="A734" s="42"/>
    </row>
    <row r="735" spans="1:1" ht="14.25" customHeight="1" x14ac:dyDescent="0.25">
      <c r="A735" s="42"/>
    </row>
    <row r="736" spans="1:1" ht="14.25" customHeight="1" x14ac:dyDescent="0.25">
      <c r="A736" s="42"/>
    </row>
    <row r="737" spans="1:1" ht="14.25" customHeight="1" x14ac:dyDescent="0.25">
      <c r="A737" s="42"/>
    </row>
    <row r="738" spans="1:1" ht="14.25" customHeight="1" x14ac:dyDescent="0.25">
      <c r="A738" s="42"/>
    </row>
    <row r="739" spans="1:1" ht="14.25" customHeight="1" x14ac:dyDescent="0.25">
      <c r="A739" s="42"/>
    </row>
    <row r="740" spans="1:1" ht="14.25" customHeight="1" x14ac:dyDescent="0.25">
      <c r="A740" s="42"/>
    </row>
    <row r="741" spans="1:1" ht="14.25" customHeight="1" x14ac:dyDescent="0.25">
      <c r="A741" s="42"/>
    </row>
    <row r="742" spans="1:1" ht="14.25" customHeight="1" x14ac:dyDescent="0.25">
      <c r="A742" s="42"/>
    </row>
    <row r="743" spans="1:1" ht="14.25" customHeight="1" x14ac:dyDescent="0.25">
      <c r="A743" s="42"/>
    </row>
    <row r="744" spans="1:1" ht="14.25" customHeight="1" x14ac:dyDescent="0.25">
      <c r="A744" s="42"/>
    </row>
    <row r="745" spans="1:1" ht="14.25" customHeight="1" x14ac:dyDescent="0.25">
      <c r="A745" s="42"/>
    </row>
    <row r="746" spans="1:1" ht="14.25" customHeight="1" x14ac:dyDescent="0.25">
      <c r="A746" s="42"/>
    </row>
    <row r="747" spans="1:1" ht="14.25" customHeight="1" x14ac:dyDescent="0.25">
      <c r="A747" s="42"/>
    </row>
    <row r="748" spans="1:1" ht="14.25" customHeight="1" x14ac:dyDescent="0.25">
      <c r="A748" s="42"/>
    </row>
    <row r="749" spans="1:1" ht="14.25" customHeight="1" x14ac:dyDescent="0.25">
      <c r="A749" s="42"/>
    </row>
    <row r="750" spans="1:1" ht="14.25" customHeight="1" x14ac:dyDescent="0.25">
      <c r="A750" s="42"/>
    </row>
    <row r="751" spans="1:1" ht="14.25" customHeight="1" x14ac:dyDescent="0.25">
      <c r="A751" s="42"/>
    </row>
    <row r="752" spans="1:1" ht="14.25" customHeight="1" x14ac:dyDescent="0.25">
      <c r="A752" s="42"/>
    </row>
    <row r="753" spans="1:1" ht="14.25" customHeight="1" x14ac:dyDescent="0.25">
      <c r="A753" s="42"/>
    </row>
    <row r="754" spans="1:1" ht="14.25" customHeight="1" x14ac:dyDescent="0.25">
      <c r="A754" s="42"/>
    </row>
    <row r="755" spans="1:1" ht="14.25" customHeight="1" x14ac:dyDescent="0.25">
      <c r="A755" s="42"/>
    </row>
    <row r="756" spans="1:1" ht="14.25" customHeight="1" x14ac:dyDescent="0.25">
      <c r="A756" s="42"/>
    </row>
    <row r="757" spans="1:1" ht="14.25" customHeight="1" x14ac:dyDescent="0.25">
      <c r="A757" s="42"/>
    </row>
    <row r="758" spans="1:1" ht="14.25" customHeight="1" x14ac:dyDescent="0.25">
      <c r="A758" s="42"/>
    </row>
    <row r="759" spans="1:1" ht="14.25" customHeight="1" x14ac:dyDescent="0.25">
      <c r="A759" s="42"/>
    </row>
    <row r="760" spans="1:1" ht="14.25" customHeight="1" x14ac:dyDescent="0.25">
      <c r="A760" s="42"/>
    </row>
    <row r="761" spans="1:1" ht="14.25" customHeight="1" x14ac:dyDescent="0.25">
      <c r="A761" s="42"/>
    </row>
    <row r="762" spans="1:1" ht="14.25" customHeight="1" x14ac:dyDescent="0.25">
      <c r="A762" s="42"/>
    </row>
    <row r="763" spans="1:1" ht="14.25" customHeight="1" x14ac:dyDescent="0.25">
      <c r="A763" s="42"/>
    </row>
    <row r="764" spans="1:1" ht="14.25" customHeight="1" x14ac:dyDescent="0.25">
      <c r="A764" s="42"/>
    </row>
    <row r="765" spans="1:1" ht="14.25" customHeight="1" x14ac:dyDescent="0.25">
      <c r="A765" s="42"/>
    </row>
    <row r="766" spans="1:1" ht="14.25" customHeight="1" x14ac:dyDescent="0.25">
      <c r="A766" s="42"/>
    </row>
    <row r="767" spans="1:1" ht="14.25" customHeight="1" x14ac:dyDescent="0.25">
      <c r="A767" s="42"/>
    </row>
    <row r="768" spans="1:1" ht="14.25" customHeight="1" x14ac:dyDescent="0.25">
      <c r="A768" s="42"/>
    </row>
    <row r="769" spans="1:1" ht="14.25" customHeight="1" x14ac:dyDescent="0.25">
      <c r="A769" s="42"/>
    </row>
    <row r="770" spans="1:1" ht="14.25" customHeight="1" x14ac:dyDescent="0.25">
      <c r="A770" s="42"/>
    </row>
    <row r="771" spans="1:1" ht="14.25" customHeight="1" x14ac:dyDescent="0.25">
      <c r="A771" s="42"/>
    </row>
    <row r="772" spans="1:1" ht="14.25" customHeight="1" x14ac:dyDescent="0.25">
      <c r="A772" s="42"/>
    </row>
    <row r="773" spans="1:1" ht="14.25" customHeight="1" x14ac:dyDescent="0.25">
      <c r="A773" s="42"/>
    </row>
    <row r="774" spans="1:1" ht="14.25" customHeight="1" x14ac:dyDescent="0.25">
      <c r="A774" s="42"/>
    </row>
    <row r="775" spans="1:1" ht="14.25" customHeight="1" x14ac:dyDescent="0.25">
      <c r="A775" s="42"/>
    </row>
    <row r="776" spans="1:1" ht="14.25" customHeight="1" x14ac:dyDescent="0.25">
      <c r="A776" s="42"/>
    </row>
    <row r="777" spans="1:1" ht="14.25" customHeight="1" x14ac:dyDescent="0.25">
      <c r="A777" s="42"/>
    </row>
    <row r="778" spans="1:1" ht="14.25" customHeight="1" x14ac:dyDescent="0.25">
      <c r="A778" s="42"/>
    </row>
    <row r="779" spans="1:1" ht="14.25" customHeight="1" x14ac:dyDescent="0.25">
      <c r="A779" s="42"/>
    </row>
    <row r="780" spans="1:1" ht="14.25" customHeight="1" x14ac:dyDescent="0.25">
      <c r="A780" s="42"/>
    </row>
    <row r="781" spans="1:1" ht="14.25" customHeight="1" x14ac:dyDescent="0.25">
      <c r="A781" s="42"/>
    </row>
    <row r="782" spans="1:1" ht="14.25" customHeight="1" x14ac:dyDescent="0.25">
      <c r="A782" s="42"/>
    </row>
    <row r="783" spans="1:1" ht="14.25" customHeight="1" x14ac:dyDescent="0.25">
      <c r="A783" s="42"/>
    </row>
    <row r="784" spans="1:1" ht="14.25" customHeight="1" x14ac:dyDescent="0.25">
      <c r="A784" s="42"/>
    </row>
    <row r="785" spans="1:1" ht="14.25" customHeight="1" x14ac:dyDescent="0.25">
      <c r="A785" s="42"/>
    </row>
    <row r="786" spans="1:1" ht="14.25" customHeight="1" x14ac:dyDescent="0.25">
      <c r="A786" s="42"/>
    </row>
    <row r="787" spans="1:1" ht="14.25" customHeight="1" x14ac:dyDescent="0.25">
      <c r="A787" s="42"/>
    </row>
    <row r="788" spans="1:1" ht="14.25" customHeight="1" x14ac:dyDescent="0.25">
      <c r="A788" s="42"/>
    </row>
    <row r="789" spans="1:1" ht="14.25" customHeight="1" x14ac:dyDescent="0.25">
      <c r="A789" s="42"/>
    </row>
    <row r="790" spans="1:1" ht="14.25" customHeight="1" x14ac:dyDescent="0.25">
      <c r="A790" s="42"/>
    </row>
    <row r="791" spans="1:1" ht="14.25" customHeight="1" x14ac:dyDescent="0.25">
      <c r="A791" s="42"/>
    </row>
    <row r="792" spans="1:1" ht="14.25" customHeight="1" x14ac:dyDescent="0.25">
      <c r="A792" s="42"/>
    </row>
    <row r="793" spans="1:1" ht="14.25" customHeight="1" x14ac:dyDescent="0.25">
      <c r="A793" s="42"/>
    </row>
    <row r="794" spans="1:1" ht="14.25" customHeight="1" x14ac:dyDescent="0.25">
      <c r="A794" s="42"/>
    </row>
    <row r="795" spans="1:1" ht="14.25" customHeight="1" x14ac:dyDescent="0.25">
      <c r="A795" s="42"/>
    </row>
    <row r="796" spans="1:1" ht="14.25" customHeight="1" x14ac:dyDescent="0.25">
      <c r="A796" s="42"/>
    </row>
    <row r="797" spans="1:1" ht="14.25" customHeight="1" x14ac:dyDescent="0.25">
      <c r="A797" s="42"/>
    </row>
    <row r="798" spans="1:1" ht="14.25" customHeight="1" x14ac:dyDescent="0.25">
      <c r="A798" s="42"/>
    </row>
    <row r="799" spans="1:1" ht="14.25" customHeight="1" x14ac:dyDescent="0.25">
      <c r="A799" s="42"/>
    </row>
    <row r="800" spans="1:1" ht="14.25" customHeight="1" x14ac:dyDescent="0.25">
      <c r="A800" s="42"/>
    </row>
    <row r="801" spans="1:1" ht="14.25" customHeight="1" x14ac:dyDescent="0.25">
      <c r="A801" s="42"/>
    </row>
    <row r="802" spans="1:1" ht="14.25" customHeight="1" x14ac:dyDescent="0.25">
      <c r="A802" s="42"/>
    </row>
    <row r="803" spans="1:1" ht="14.25" customHeight="1" x14ac:dyDescent="0.25">
      <c r="A803" s="42"/>
    </row>
    <row r="804" spans="1:1" ht="14.25" customHeight="1" x14ac:dyDescent="0.25">
      <c r="A804" s="42"/>
    </row>
    <row r="805" spans="1:1" ht="14.25" customHeight="1" x14ac:dyDescent="0.25">
      <c r="A805" s="42"/>
    </row>
    <row r="806" spans="1:1" ht="14.25" customHeight="1" x14ac:dyDescent="0.25">
      <c r="A806" s="42"/>
    </row>
    <row r="807" spans="1:1" ht="14.25" customHeight="1" x14ac:dyDescent="0.25">
      <c r="A807" s="42"/>
    </row>
    <row r="808" spans="1:1" ht="14.25" customHeight="1" x14ac:dyDescent="0.25">
      <c r="A808" s="42"/>
    </row>
    <row r="809" spans="1:1" ht="14.25" customHeight="1" x14ac:dyDescent="0.25">
      <c r="A809" s="42"/>
    </row>
    <row r="810" spans="1:1" ht="14.25" customHeight="1" x14ac:dyDescent="0.25">
      <c r="A810" s="42"/>
    </row>
    <row r="811" spans="1:1" ht="14.25" customHeight="1" x14ac:dyDescent="0.25">
      <c r="A811" s="42"/>
    </row>
    <row r="812" spans="1:1" ht="14.25" customHeight="1" x14ac:dyDescent="0.25">
      <c r="A812" s="42"/>
    </row>
    <row r="813" spans="1:1" ht="14.25" customHeight="1" x14ac:dyDescent="0.25">
      <c r="A813" s="42"/>
    </row>
    <row r="814" spans="1:1" ht="14.25" customHeight="1" x14ac:dyDescent="0.25">
      <c r="A814" s="42"/>
    </row>
    <row r="815" spans="1:1" ht="14.25" customHeight="1" x14ac:dyDescent="0.25">
      <c r="A815" s="42"/>
    </row>
    <row r="816" spans="1:1" ht="14.25" customHeight="1" x14ac:dyDescent="0.25">
      <c r="A816" s="42"/>
    </row>
    <row r="817" spans="1:1" ht="14.25" customHeight="1" x14ac:dyDescent="0.25">
      <c r="A817" s="42"/>
    </row>
    <row r="818" spans="1:1" ht="14.25" customHeight="1" x14ac:dyDescent="0.25">
      <c r="A818" s="42"/>
    </row>
    <row r="819" spans="1:1" ht="14.25" customHeight="1" x14ac:dyDescent="0.25">
      <c r="A819" s="42"/>
    </row>
    <row r="820" spans="1:1" ht="14.25" customHeight="1" x14ac:dyDescent="0.25">
      <c r="A820" s="42"/>
    </row>
    <row r="821" spans="1:1" ht="14.25" customHeight="1" x14ac:dyDescent="0.25">
      <c r="A821" s="42"/>
    </row>
    <row r="822" spans="1:1" ht="14.25" customHeight="1" x14ac:dyDescent="0.25">
      <c r="A822" s="42"/>
    </row>
    <row r="823" spans="1:1" ht="14.25" customHeight="1" x14ac:dyDescent="0.25">
      <c r="A823" s="42"/>
    </row>
    <row r="824" spans="1:1" ht="14.25" customHeight="1" x14ac:dyDescent="0.25">
      <c r="A824" s="42"/>
    </row>
    <row r="825" spans="1:1" ht="14.25" customHeight="1" x14ac:dyDescent="0.25">
      <c r="A825" s="42"/>
    </row>
    <row r="826" spans="1:1" ht="14.25" customHeight="1" x14ac:dyDescent="0.25">
      <c r="A826" s="42"/>
    </row>
    <row r="827" spans="1:1" ht="14.25" customHeight="1" x14ac:dyDescent="0.25">
      <c r="A827" s="42"/>
    </row>
    <row r="828" spans="1:1" ht="14.25" customHeight="1" x14ac:dyDescent="0.25">
      <c r="A828" s="42"/>
    </row>
    <row r="829" spans="1:1" ht="14.25" customHeight="1" x14ac:dyDescent="0.25">
      <c r="A829" s="42"/>
    </row>
    <row r="830" spans="1:1" ht="14.25" customHeight="1" x14ac:dyDescent="0.25">
      <c r="A830" s="42"/>
    </row>
    <row r="831" spans="1:1" ht="14.25" customHeight="1" x14ac:dyDescent="0.25">
      <c r="A831" s="42"/>
    </row>
    <row r="832" spans="1:1" ht="14.25" customHeight="1" x14ac:dyDescent="0.25">
      <c r="A832" s="42"/>
    </row>
    <row r="833" spans="1:1" ht="14.25" customHeight="1" x14ac:dyDescent="0.25">
      <c r="A833" s="42"/>
    </row>
    <row r="834" spans="1:1" ht="14.25" customHeight="1" x14ac:dyDescent="0.25">
      <c r="A834" s="42"/>
    </row>
    <row r="835" spans="1:1" ht="14.25" customHeight="1" x14ac:dyDescent="0.25">
      <c r="A835" s="42"/>
    </row>
    <row r="836" spans="1:1" ht="14.25" customHeight="1" x14ac:dyDescent="0.25">
      <c r="A836" s="42"/>
    </row>
    <row r="837" spans="1:1" ht="14.25" customHeight="1" x14ac:dyDescent="0.25">
      <c r="A837" s="42"/>
    </row>
    <row r="838" spans="1:1" ht="14.25" customHeight="1" x14ac:dyDescent="0.25">
      <c r="A838" s="42"/>
    </row>
    <row r="839" spans="1:1" ht="14.25" customHeight="1" x14ac:dyDescent="0.25">
      <c r="A839" s="42"/>
    </row>
    <row r="840" spans="1:1" ht="14.25" customHeight="1" x14ac:dyDescent="0.25">
      <c r="A840" s="42"/>
    </row>
    <row r="841" spans="1:1" ht="14.25" customHeight="1" x14ac:dyDescent="0.25">
      <c r="A841" s="42"/>
    </row>
    <row r="842" spans="1:1" ht="14.25" customHeight="1" x14ac:dyDescent="0.25">
      <c r="A842" s="42"/>
    </row>
    <row r="843" spans="1:1" ht="14.25" customHeight="1" x14ac:dyDescent="0.25">
      <c r="A843" s="42"/>
    </row>
    <row r="844" spans="1:1" ht="14.25" customHeight="1" x14ac:dyDescent="0.25">
      <c r="A844" s="42"/>
    </row>
    <row r="845" spans="1:1" ht="14.25" customHeight="1" x14ac:dyDescent="0.25">
      <c r="A845" s="42"/>
    </row>
    <row r="846" spans="1:1" ht="14.25" customHeight="1" x14ac:dyDescent="0.25">
      <c r="A846" s="42"/>
    </row>
    <row r="847" spans="1:1" ht="14.25" customHeight="1" x14ac:dyDescent="0.25">
      <c r="A847" s="42"/>
    </row>
    <row r="848" spans="1:1" ht="14.25" customHeight="1" x14ac:dyDescent="0.25">
      <c r="A848" s="42"/>
    </row>
    <row r="849" spans="1:1" ht="14.25" customHeight="1" x14ac:dyDescent="0.25">
      <c r="A849" s="42"/>
    </row>
    <row r="850" spans="1:1" ht="14.25" customHeight="1" x14ac:dyDescent="0.25">
      <c r="A850" s="42"/>
    </row>
    <row r="851" spans="1:1" ht="14.25" customHeight="1" x14ac:dyDescent="0.25">
      <c r="A851" s="42"/>
    </row>
    <row r="852" spans="1:1" ht="14.25" customHeight="1" x14ac:dyDescent="0.25">
      <c r="A852" s="42"/>
    </row>
    <row r="853" spans="1:1" ht="14.25" customHeight="1" x14ac:dyDescent="0.25">
      <c r="A853" s="42"/>
    </row>
    <row r="854" spans="1:1" ht="14.25" customHeight="1" x14ac:dyDescent="0.25">
      <c r="A854" s="42"/>
    </row>
    <row r="855" spans="1:1" ht="14.25" customHeight="1" x14ac:dyDescent="0.25">
      <c r="A855" s="42"/>
    </row>
    <row r="856" spans="1:1" ht="14.25" customHeight="1" x14ac:dyDescent="0.25">
      <c r="A856" s="42"/>
    </row>
    <row r="857" spans="1:1" ht="14.25" customHeight="1" x14ac:dyDescent="0.25">
      <c r="A857" s="42"/>
    </row>
    <row r="858" spans="1:1" ht="14.25" customHeight="1" x14ac:dyDescent="0.25">
      <c r="A858" s="42"/>
    </row>
    <row r="859" spans="1:1" ht="14.25" customHeight="1" x14ac:dyDescent="0.25">
      <c r="A859" s="42"/>
    </row>
    <row r="860" spans="1:1" ht="14.25" customHeight="1" x14ac:dyDescent="0.25">
      <c r="A860" s="42"/>
    </row>
    <row r="861" spans="1:1" ht="14.25" customHeight="1" x14ac:dyDescent="0.25">
      <c r="A861" s="42"/>
    </row>
    <row r="862" spans="1:1" ht="14.25" customHeight="1" x14ac:dyDescent="0.25">
      <c r="A862" s="42"/>
    </row>
    <row r="863" spans="1:1" ht="14.25" customHeight="1" x14ac:dyDescent="0.25">
      <c r="A863" s="42"/>
    </row>
    <row r="864" spans="1:1" ht="14.25" customHeight="1" x14ac:dyDescent="0.25">
      <c r="A864" s="42"/>
    </row>
    <row r="865" spans="1:1" ht="14.25" customHeight="1" x14ac:dyDescent="0.25">
      <c r="A865" s="42"/>
    </row>
    <row r="866" spans="1:1" ht="14.25" customHeight="1" x14ac:dyDescent="0.25">
      <c r="A866" s="42"/>
    </row>
    <row r="867" spans="1:1" ht="14.25" customHeight="1" x14ac:dyDescent="0.25">
      <c r="A867" s="42"/>
    </row>
    <row r="868" spans="1:1" ht="14.25" customHeight="1" x14ac:dyDescent="0.25">
      <c r="A868" s="42"/>
    </row>
    <row r="869" spans="1:1" ht="14.25" customHeight="1" x14ac:dyDescent="0.25">
      <c r="A869" s="42"/>
    </row>
    <row r="870" spans="1:1" ht="14.25" customHeight="1" x14ac:dyDescent="0.25">
      <c r="A870" s="42"/>
    </row>
    <row r="871" spans="1:1" ht="14.25" customHeight="1" x14ac:dyDescent="0.25">
      <c r="A871" s="42"/>
    </row>
    <row r="872" spans="1:1" ht="14.25" customHeight="1" x14ac:dyDescent="0.25">
      <c r="A872" s="42"/>
    </row>
    <row r="873" spans="1:1" ht="14.25" customHeight="1" x14ac:dyDescent="0.25">
      <c r="A873" s="42"/>
    </row>
    <row r="874" spans="1:1" ht="14.25" customHeight="1" x14ac:dyDescent="0.25">
      <c r="A874" s="42"/>
    </row>
    <row r="875" spans="1:1" ht="14.25" customHeight="1" x14ac:dyDescent="0.25">
      <c r="A875" s="42"/>
    </row>
    <row r="876" spans="1:1" ht="14.25" customHeight="1" x14ac:dyDescent="0.25">
      <c r="A876" s="42"/>
    </row>
    <row r="877" spans="1:1" ht="14.25" customHeight="1" x14ac:dyDescent="0.25">
      <c r="A877" s="42"/>
    </row>
    <row r="878" spans="1:1" ht="14.25" customHeight="1" x14ac:dyDescent="0.25">
      <c r="A878" s="42"/>
    </row>
    <row r="879" spans="1:1" ht="14.25" customHeight="1" x14ac:dyDescent="0.25">
      <c r="A879" s="42"/>
    </row>
    <row r="880" spans="1:1" ht="14.25" customHeight="1" x14ac:dyDescent="0.25">
      <c r="A880" s="42"/>
    </row>
    <row r="881" spans="1:1" ht="14.25" customHeight="1" x14ac:dyDescent="0.25">
      <c r="A881" s="42"/>
    </row>
    <row r="882" spans="1:1" ht="14.25" customHeight="1" x14ac:dyDescent="0.25">
      <c r="A882" s="42"/>
    </row>
    <row r="883" spans="1:1" ht="14.25" customHeight="1" x14ac:dyDescent="0.25">
      <c r="A883" s="42"/>
    </row>
    <row r="884" spans="1:1" ht="14.25" customHeight="1" x14ac:dyDescent="0.25">
      <c r="A884" s="42"/>
    </row>
    <row r="885" spans="1:1" ht="14.25" customHeight="1" x14ac:dyDescent="0.25">
      <c r="A885" s="42"/>
    </row>
    <row r="886" spans="1:1" ht="14.25" customHeight="1" x14ac:dyDescent="0.25">
      <c r="A886" s="42"/>
    </row>
    <row r="887" spans="1:1" ht="14.25" customHeight="1" x14ac:dyDescent="0.25">
      <c r="A887" s="42"/>
    </row>
    <row r="888" spans="1:1" ht="14.25" customHeight="1" x14ac:dyDescent="0.25">
      <c r="A888" s="42"/>
    </row>
    <row r="889" spans="1:1" ht="14.25" customHeight="1" x14ac:dyDescent="0.25">
      <c r="A889" s="42"/>
    </row>
    <row r="890" spans="1:1" ht="14.25" customHeight="1" x14ac:dyDescent="0.25">
      <c r="A890" s="42"/>
    </row>
    <row r="891" spans="1:1" ht="14.25" customHeight="1" x14ac:dyDescent="0.25">
      <c r="A891" s="42"/>
    </row>
    <row r="892" spans="1:1" ht="14.25" customHeight="1" x14ac:dyDescent="0.25">
      <c r="A892" s="42"/>
    </row>
    <row r="893" spans="1:1" ht="14.25" customHeight="1" x14ac:dyDescent="0.25">
      <c r="A893" s="42"/>
    </row>
    <row r="894" spans="1:1" ht="14.25" customHeight="1" x14ac:dyDescent="0.25">
      <c r="A894" s="42"/>
    </row>
    <row r="895" spans="1:1" ht="14.25" customHeight="1" x14ac:dyDescent="0.25">
      <c r="A895" s="42"/>
    </row>
    <row r="896" spans="1:1" ht="14.25" customHeight="1" x14ac:dyDescent="0.25">
      <c r="A896" s="42"/>
    </row>
    <row r="897" spans="1:1" ht="14.25" customHeight="1" x14ac:dyDescent="0.25">
      <c r="A897" s="42"/>
    </row>
    <row r="898" spans="1:1" ht="14.25" customHeight="1" x14ac:dyDescent="0.25">
      <c r="A898" s="42"/>
    </row>
    <row r="899" spans="1:1" ht="14.25" customHeight="1" x14ac:dyDescent="0.25">
      <c r="A899" s="42"/>
    </row>
    <row r="900" spans="1:1" ht="14.25" customHeight="1" x14ac:dyDescent="0.25">
      <c r="A900" s="42"/>
    </row>
    <row r="901" spans="1:1" ht="14.25" customHeight="1" x14ac:dyDescent="0.25">
      <c r="A901" s="42"/>
    </row>
    <row r="902" spans="1:1" ht="14.25" customHeight="1" x14ac:dyDescent="0.25">
      <c r="A902" s="42"/>
    </row>
    <row r="903" spans="1:1" ht="14.25" customHeight="1" x14ac:dyDescent="0.25">
      <c r="A903" s="42"/>
    </row>
    <row r="904" spans="1:1" ht="14.25" customHeight="1" x14ac:dyDescent="0.25">
      <c r="A904" s="42"/>
    </row>
    <row r="905" spans="1:1" ht="14.25" customHeight="1" x14ac:dyDescent="0.25">
      <c r="A905" s="42"/>
    </row>
    <row r="906" spans="1:1" ht="14.25" customHeight="1" x14ac:dyDescent="0.25">
      <c r="A906" s="42"/>
    </row>
    <row r="907" spans="1:1" ht="14.25" customHeight="1" x14ac:dyDescent="0.25">
      <c r="A907" s="42"/>
    </row>
    <row r="908" spans="1:1" ht="14.25" customHeight="1" x14ac:dyDescent="0.25">
      <c r="A908" s="42"/>
    </row>
    <row r="909" spans="1:1" ht="14.25" customHeight="1" x14ac:dyDescent="0.25">
      <c r="A909" s="42"/>
    </row>
    <row r="910" spans="1:1" ht="14.25" customHeight="1" x14ac:dyDescent="0.25">
      <c r="A910" s="42"/>
    </row>
    <row r="911" spans="1:1" ht="14.25" customHeight="1" x14ac:dyDescent="0.25">
      <c r="A911" s="42"/>
    </row>
    <row r="912" spans="1:1" ht="14.25" customHeight="1" x14ac:dyDescent="0.25">
      <c r="A912" s="42"/>
    </row>
    <row r="913" spans="1:1" ht="14.25" customHeight="1" x14ac:dyDescent="0.25">
      <c r="A913" s="42"/>
    </row>
    <row r="914" spans="1:1" ht="14.25" customHeight="1" x14ac:dyDescent="0.25">
      <c r="A914" s="42"/>
    </row>
    <row r="915" spans="1:1" ht="14.25" customHeight="1" x14ac:dyDescent="0.25">
      <c r="A915" s="42"/>
    </row>
    <row r="916" spans="1:1" ht="14.25" customHeight="1" x14ac:dyDescent="0.25">
      <c r="A916" s="42"/>
    </row>
    <row r="917" spans="1:1" ht="14.25" customHeight="1" x14ac:dyDescent="0.25">
      <c r="A917" s="42"/>
    </row>
    <row r="918" spans="1:1" ht="14.25" customHeight="1" x14ac:dyDescent="0.25">
      <c r="A918" s="42"/>
    </row>
    <row r="919" spans="1:1" ht="14.25" customHeight="1" x14ac:dyDescent="0.25">
      <c r="A919" s="42"/>
    </row>
    <row r="920" spans="1:1" ht="14.25" customHeight="1" x14ac:dyDescent="0.25">
      <c r="A920" s="42"/>
    </row>
    <row r="921" spans="1:1" ht="14.25" customHeight="1" x14ac:dyDescent="0.25">
      <c r="A921" s="42"/>
    </row>
    <row r="922" spans="1:1" ht="14.25" customHeight="1" x14ac:dyDescent="0.25">
      <c r="A922" s="42"/>
    </row>
    <row r="923" spans="1:1" ht="14.25" customHeight="1" x14ac:dyDescent="0.25">
      <c r="A923" s="42"/>
    </row>
    <row r="924" spans="1:1" ht="14.25" customHeight="1" x14ac:dyDescent="0.25">
      <c r="A924" s="42"/>
    </row>
    <row r="925" spans="1:1" ht="14.25" customHeight="1" x14ac:dyDescent="0.25">
      <c r="A925" s="42"/>
    </row>
    <row r="926" spans="1:1" ht="14.25" customHeight="1" x14ac:dyDescent="0.25">
      <c r="A926" s="42"/>
    </row>
    <row r="927" spans="1:1" ht="14.25" customHeight="1" x14ac:dyDescent="0.25">
      <c r="A927" s="42"/>
    </row>
    <row r="928" spans="1:1" ht="14.25" customHeight="1" x14ac:dyDescent="0.25">
      <c r="A928" s="42"/>
    </row>
    <row r="929" spans="1:1" ht="14.25" customHeight="1" x14ac:dyDescent="0.25">
      <c r="A929" s="42"/>
    </row>
    <row r="930" spans="1:1" ht="14.25" customHeight="1" x14ac:dyDescent="0.25">
      <c r="A930" s="42"/>
    </row>
    <row r="931" spans="1:1" ht="14.25" customHeight="1" x14ac:dyDescent="0.25">
      <c r="A931" s="42"/>
    </row>
    <row r="932" spans="1:1" ht="14.25" customHeight="1" x14ac:dyDescent="0.25">
      <c r="A932" s="42"/>
    </row>
    <row r="933" spans="1:1" ht="14.25" customHeight="1" x14ac:dyDescent="0.25">
      <c r="A933" s="42"/>
    </row>
    <row r="934" spans="1:1" ht="14.25" customHeight="1" x14ac:dyDescent="0.25">
      <c r="A934" s="42"/>
    </row>
    <row r="935" spans="1:1" ht="14.25" customHeight="1" x14ac:dyDescent="0.25">
      <c r="A935" s="42"/>
    </row>
    <row r="936" spans="1:1" ht="14.25" customHeight="1" x14ac:dyDescent="0.25">
      <c r="A936" s="42"/>
    </row>
    <row r="937" spans="1:1" ht="14.25" customHeight="1" x14ac:dyDescent="0.25">
      <c r="A937" s="42"/>
    </row>
    <row r="938" spans="1:1" ht="14.25" customHeight="1" x14ac:dyDescent="0.25">
      <c r="A938" s="42"/>
    </row>
    <row r="939" spans="1:1" ht="14.25" customHeight="1" x14ac:dyDescent="0.25">
      <c r="A939" s="42"/>
    </row>
    <row r="940" spans="1:1" ht="14.25" customHeight="1" x14ac:dyDescent="0.25">
      <c r="A940" s="42"/>
    </row>
    <row r="941" spans="1:1" ht="14.25" customHeight="1" x14ac:dyDescent="0.25">
      <c r="A941" s="42"/>
    </row>
    <row r="942" spans="1:1" ht="14.25" customHeight="1" x14ac:dyDescent="0.25">
      <c r="A942" s="42"/>
    </row>
    <row r="943" spans="1:1" ht="14.25" customHeight="1" x14ac:dyDescent="0.25">
      <c r="A943" s="42"/>
    </row>
    <row r="944" spans="1:1" ht="14.25" customHeight="1" x14ac:dyDescent="0.25">
      <c r="A944" s="42"/>
    </row>
    <row r="945" spans="1:1" ht="14.25" customHeight="1" x14ac:dyDescent="0.25">
      <c r="A945" s="42"/>
    </row>
    <row r="946" spans="1:1" ht="14.25" customHeight="1" x14ac:dyDescent="0.25">
      <c r="A946" s="42"/>
    </row>
    <row r="947" spans="1:1" ht="14.25" customHeight="1" x14ac:dyDescent="0.25">
      <c r="A947" s="42"/>
    </row>
    <row r="948" spans="1:1" ht="14.25" customHeight="1" x14ac:dyDescent="0.25">
      <c r="A948" s="42"/>
    </row>
    <row r="949" spans="1:1" ht="14.25" customHeight="1" x14ac:dyDescent="0.25">
      <c r="A949" s="42"/>
    </row>
    <row r="950" spans="1:1" ht="14.25" customHeight="1" x14ac:dyDescent="0.25">
      <c r="A950" s="42"/>
    </row>
    <row r="951" spans="1:1" ht="14.25" customHeight="1" x14ac:dyDescent="0.25">
      <c r="A951" s="42"/>
    </row>
    <row r="952" spans="1:1" ht="14.25" customHeight="1" x14ac:dyDescent="0.25">
      <c r="A952" s="42"/>
    </row>
    <row r="953" spans="1:1" ht="14.25" customHeight="1" x14ac:dyDescent="0.25">
      <c r="A953" s="42"/>
    </row>
    <row r="954" spans="1:1" ht="14.25" customHeight="1" x14ac:dyDescent="0.25">
      <c r="A954" s="42"/>
    </row>
    <row r="955" spans="1:1" ht="14.25" customHeight="1" x14ac:dyDescent="0.25">
      <c r="A955" s="42"/>
    </row>
    <row r="956" spans="1:1" ht="14.25" customHeight="1" x14ac:dyDescent="0.25">
      <c r="A956" s="42"/>
    </row>
    <row r="957" spans="1:1" ht="14.25" customHeight="1" x14ac:dyDescent="0.25">
      <c r="A957" s="42"/>
    </row>
    <row r="958" spans="1:1" ht="14.25" customHeight="1" x14ac:dyDescent="0.25">
      <c r="A958" s="42"/>
    </row>
    <row r="959" spans="1:1" ht="14.25" customHeight="1" x14ac:dyDescent="0.25">
      <c r="A959" s="42"/>
    </row>
    <row r="960" spans="1:1" ht="14.25" customHeight="1" x14ac:dyDescent="0.25">
      <c r="A960" s="42"/>
    </row>
    <row r="961" spans="1:1" ht="14.25" customHeight="1" x14ac:dyDescent="0.25">
      <c r="A961" s="42"/>
    </row>
    <row r="962" spans="1:1" ht="14.25" customHeight="1" x14ac:dyDescent="0.25">
      <c r="A962" s="42"/>
    </row>
    <row r="963" spans="1:1" ht="14.25" customHeight="1" x14ac:dyDescent="0.25">
      <c r="A963" s="42"/>
    </row>
    <row r="964" spans="1:1" ht="14.25" customHeight="1" x14ac:dyDescent="0.25">
      <c r="A964" s="42"/>
    </row>
    <row r="965" spans="1:1" ht="14.25" customHeight="1" x14ac:dyDescent="0.25">
      <c r="A965" s="42"/>
    </row>
    <row r="966" spans="1:1" ht="14.25" customHeight="1" x14ac:dyDescent="0.25">
      <c r="A966" s="42"/>
    </row>
    <row r="967" spans="1:1" ht="14.25" customHeight="1" x14ac:dyDescent="0.25">
      <c r="A967" s="42"/>
    </row>
    <row r="968" spans="1:1" ht="14.25" customHeight="1" x14ac:dyDescent="0.25">
      <c r="A968" s="42"/>
    </row>
    <row r="969" spans="1:1" ht="14.25" customHeight="1" x14ac:dyDescent="0.25">
      <c r="A969" s="42"/>
    </row>
    <row r="970" spans="1:1" ht="14.25" customHeight="1" x14ac:dyDescent="0.25">
      <c r="A970" s="42"/>
    </row>
    <row r="971" spans="1:1" ht="14.25" customHeight="1" x14ac:dyDescent="0.25">
      <c r="A971" s="42"/>
    </row>
    <row r="972" spans="1:1" ht="14.25" customHeight="1" x14ac:dyDescent="0.25">
      <c r="A972" s="42"/>
    </row>
    <row r="973" spans="1:1" ht="14.25" customHeight="1" x14ac:dyDescent="0.25">
      <c r="A973" s="42"/>
    </row>
    <row r="974" spans="1:1" ht="14.25" customHeight="1" x14ac:dyDescent="0.25">
      <c r="A974" s="42"/>
    </row>
    <row r="975" spans="1:1" ht="14.25" customHeight="1" x14ac:dyDescent="0.25">
      <c r="A975" s="42"/>
    </row>
    <row r="976" spans="1:1" ht="14.25" customHeight="1" x14ac:dyDescent="0.25">
      <c r="A976" s="42"/>
    </row>
    <row r="977" spans="1:1" ht="14.25" customHeight="1" x14ac:dyDescent="0.25">
      <c r="A977" s="42"/>
    </row>
    <row r="978" spans="1:1" ht="14.25" customHeight="1" x14ac:dyDescent="0.25">
      <c r="A978" s="42"/>
    </row>
    <row r="979" spans="1:1" ht="14.25" customHeight="1" x14ac:dyDescent="0.25">
      <c r="A979" s="42"/>
    </row>
    <row r="980" spans="1:1" ht="14.25" customHeight="1" x14ac:dyDescent="0.25">
      <c r="A980" s="42"/>
    </row>
    <row r="981" spans="1:1" ht="14.25" customHeight="1" x14ac:dyDescent="0.25">
      <c r="A981" s="42"/>
    </row>
    <row r="982" spans="1:1" ht="14.25" customHeight="1" x14ac:dyDescent="0.25">
      <c r="A982" s="42"/>
    </row>
    <row r="983" spans="1:1" ht="14.25" customHeight="1" x14ac:dyDescent="0.25">
      <c r="A983" s="42"/>
    </row>
    <row r="984" spans="1:1" ht="14.25" customHeight="1" x14ac:dyDescent="0.25">
      <c r="A984" s="42"/>
    </row>
    <row r="985" spans="1:1" ht="14.25" customHeight="1" x14ac:dyDescent="0.25">
      <c r="A985" s="42"/>
    </row>
    <row r="986" spans="1:1" ht="14.25" customHeight="1" x14ac:dyDescent="0.25">
      <c r="A986" s="42"/>
    </row>
    <row r="987" spans="1:1" ht="14.25" customHeight="1" x14ac:dyDescent="0.25">
      <c r="A987" s="42"/>
    </row>
    <row r="988" spans="1:1" ht="14.25" customHeight="1" x14ac:dyDescent="0.25">
      <c r="A988" s="42"/>
    </row>
    <row r="989" spans="1:1" ht="14.25" customHeight="1" x14ac:dyDescent="0.25">
      <c r="A989" s="42"/>
    </row>
    <row r="990" spans="1:1" ht="14.25" customHeight="1" x14ac:dyDescent="0.25">
      <c r="A990" s="42"/>
    </row>
    <row r="991" spans="1:1" ht="14.25" customHeight="1" x14ac:dyDescent="0.25">
      <c r="A991" s="42"/>
    </row>
    <row r="992" spans="1:1" ht="14.25" customHeight="1" x14ac:dyDescent="0.25">
      <c r="A992" s="42"/>
    </row>
    <row r="993" spans="1:1" ht="14.25" customHeight="1" x14ac:dyDescent="0.25">
      <c r="A993" s="42"/>
    </row>
    <row r="994" spans="1:1" ht="14.25" customHeight="1" x14ac:dyDescent="0.25">
      <c r="A994" s="42"/>
    </row>
    <row r="995" spans="1:1" ht="14.25" customHeight="1" x14ac:dyDescent="0.25">
      <c r="A995" s="42"/>
    </row>
    <row r="996" spans="1:1" ht="14.25" customHeight="1" x14ac:dyDescent="0.25">
      <c r="A996" s="42"/>
    </row>
    <row r="997" spans="1:1" ht="14.25" customHeight="1" x14ac:dyDescent="0.25">
      <c r="A997" s="42"/>
    </row>
    <row r="998" spans="1:1" ht="14.25" customHeight="1" x14ac:dyDescent="0.25">
      <c r="A998" s="42"/>
    </row>
    <row r="999" spans="1:1" ht="14.25" customHeight="1" x14ac:dyDescent="0.25">
      <c r="A999" s="42"/>
    </row>
    <row r="1000" spans="1:1" ht="14.25" customHeight="1" x14ac:dyDescent="0.25">
      <c r="A1000" s="42"/>
    </row>
    <row r="1001" spans="1:1" ht="15" customHeight="1" x14ac:dyDescent="0.25">
      <c r="A1001" s="42"/>
    </row>
    <row r="1002" spans="1:1" ht="15" customHeight="1" x14ac:dyDescent="0.25">
      <c r="A1002" s="42"/>
    </row>
    <row r="1003" spans="1:1" ht="15" customHeight="1" x14ac:dyDescent="0.25">
      <c r="A1003" s="42"/>
    </row>
    <row r="1004" spans="1:1" ht="15" customHeight="1" x14ac:dyDescent="0.25">
      <c r="A1004" s="42"/>
    </row>
    <row r="1005" spans="1:1" ht="15" customHeight="1" x14ac:dyDescent="0.25">
      <c r="A1005" s="42"/>
    </row>
    <row r="1006" spans="1:1" ht="15" customHeight="1" x14ac:dyDescent="0.25">
      <c r="A1006" s="42"/>
    </row>
    <row r="1007" spans="1:1" ht="15" customHeight="1" x14ac:dyDescent="0.25">
      <c r="A1007" s="42"/>
    </row>
    <row r="1008" spans="1:1" ht="15" customHeight="1" x14ac:dyDescent="0.25">
      <c r="A1008" s="42"/>
    </row>
    <row r="1009" spans="1:1" ht="15" customHeight="1" x14ac:dyDescent="0.25">
      <c r="A1009" s="42"/>
    </row>
    <row r="1010" spans="1:1" ht="15" customHeight="1" x14ac:dyDescent="0.25">
      <c r="A1010" s="42"/>
    </row>
    <row r="1011" spans="1:1" ht="15" customHeight="1" x14ac:dyDescent="0.25">
      <c r="A1011" s="42"/>
    </row>
    <row r="1012" spans="1:1" ht="15" customHeight="1" x14ac:dyDescent="0.25">
      <c r="A1012" s="42"/>
    </row>
    <row r="1013" spans="1:1" ht="15" customHeight="1" x14ac:dyDescent="0.25">
      <c r="A1013" s="42"/>
    </row>
    <row r="1014" spans="1:1" ht="15" customHeight="1" x14ac:dyDescent="0.25">
      <c r="A1014" s="42"/>
    </row>
    <row r="1015" spans="1:1" ht="15" customHeight="1" x14ac:dyDescent="0.25">
      <c r="A1015" s="42"/>
    </row>
    <row r="1016" spans="1:1" ht="15" customHeight="1" x14ac:dyDescent="0.25">
      <c r="A1016" s="42"/>
    </row>
    <row r="1017" spans="1:1" ht="15" customHeight="1" x14ac:dyDescent="0.25">
      <c r="A1017" s="42"/>
    </row>
    <row r="1018" spans="1:1" ht="15" customHeight="1" x14ac:dyDescent="0.25">
      <c r="A1018" s="42"/>
    </row>
    <row r="1019" spans="1:1" ht="15" customHeight="1" x14ac:dyDescent="0.25">
      <c r="A1019" s="42"/>
    </row>
    <row r="1020" spans="1:1" ht="15" customHeight="1" x14ac:dyDescent="0.25">
      <c r="A1020" s="42"/>
    </row>
    <row r="1021" spans="1:1" ht="15" customHeight="1" x14ac:dyDescent="0.25">
      <c r="A1021" s="42"/>
    </row>
    <row r="1022" spans="1:1" ht="15" customHeight="1" x14ac:dyDescent="0.25">
      <c r="A1022" s="42"/>
    </row>
    <row r="1023" spans="1:1" ht="15" customHeight="1" x14ac:dyDescent="0.25">
      <c r="A1023" s="42"/>
    </row>
    <row r="1024" spans="1:1" ht="15" customHeight="1" x14ac:dyDescent="0.25">
      <c r="A1024" s="42"/>
    </row>
    <row r="1025" spans="1:1" ht="15" customHeight="1" x14ac:dyDescent="0.25">
      <c r="A1025" s="42"/>
    </row>
    <row r="1026" spans="1:1" ht="15" customHeight="1" x14ac:dyDescent="0.25">
      <c r="A1026" s="42"/>
    </row>
    <row r="1027" spans="1:1" ht="15" customHeight="1" x14ac:dyDescent="0.25">
      <c r="A1027" s="42"/>
    </row>
    <row r="1028" spans="1:1" ht="15" customHeight="1" x14ac:dyDescent="0.25">
      <c r="A1028" s="42"/>
    </row>
    <row r="1029" spans="1:1" ht="15" customHeight="1" x14ac:dyDescent="0.25">
      <c r="A1029" s="42"/>
    </row>
    <row r="1030" spans="1:1" ht="15" customHeight="1" x14ac:dyDescent="0.25">
      <c r="A1030" s="42"/>
    </row>
    <row r="1031" spans="1:1" ht="15" customHeight="1" x14ac:dyDescent="0.25">
      <c r="A1031" s="42"/>
    </row>
    <row r="1032" spans="1:1" ht="15" customHeight="1" x14ac:dyDescent="0.25">
      <c r="A1032" s="42"/>
    </row>
    <row r="1033" spans="1:1" ht="15" customHeight="1" x14ac:dyDescent="0.25">
      <c r="A1033" s="42"/>
    </row>
    <row r="1034" spans="1:1" ht="15" customHeight="1" x14ac:dyDescent="0.25">
      <c r="A1034" s="42"/>
    </row>
    <row r="1035" spans="1:1" ht="15" customHeight="1" x14ac:dyDescent="0.25">
      <c r="A1035" s="42"/>
    </row>
    <row r="1036" spans="1:1" ht="15" customHeight="1" x14ac:dyDescent="0.25">
      <c r="A1036" s="42"/>
    </row>
    <row r="1037" spans="1:1" ht="15" customHeight="1" x14ac:dyDescent="0.25">
      <c r="A1037" s="42"/>
    </row>
    <row r="1038" spans="1:1" ht="15" customHeight="1" x14ac:dyDescent="0.25">
      <c r="A1038" s="42"/>
    </row>
    <row r="1039" spans="1:1" ht="15" customHeight="1" x14ac:dyDescent="0.25">
      <c r="A1039" s="42"/>
    </row>
    <row r="1040" spans="1:1" ht="15" customHeight="1" x14ac:dyDescent="0.25">
      <c r="A1040" s="42"/>
    </row>
    <row r="1041" spans="1:1" ht="15" customHeight="1" x14ac:dyDescent="0.25">
      <c r="A1041" s="42"/>
    </row>
    <row r="1042" spans="1:1" ht="15" customHeight="1" x14ac:dyDescent="0.25">
      <c r="A1042" s="42"/>
    </row>
    <row r="1043" spans="1:1" ht="15" customHeight="1" x14ac:dyDescent="0.25">
      <c r="A1043" s="42"/>
    </row>
    <row r="1044" spans="1:1" ht="15" customHeight="1" x14ac:dyDescent="0.25">
      <c r="A1044" s="42"/>
    </row>
    <row r="1045" spans="1:1" ht="15" customHeight="1" x14ac:dyDescent="0.25">
      <c r="A1045" s="42"/>
    </row>
    <row r="1046" spans="1:1" ht="15" customHeight="1" x14ac:dyDescent="0.25">
      <c r="A1046" s="42"/>
    </row>
    <row r="1047" spans="1:1" ht="15" customHeight="1" x14ac:dyDescent="0.25">
      <c r="A1047" s="42"/>
    </row>
    <row r="1048" spans="1:1" ht="15" customHeight="1" x14ac:dyDescent="0.25">
      <c r="A1048" s="42"/>
    </row>
    <row r="1049" spans="1:1" ht="15" customHeight="1" x14ac:dyDescent="0.25">
      <c r="A1049" s="42"/>
    </row>
    <row r="1050" spans="1:1" ht="15" customHeight="1" x14ac:dyDescent="0.25">
      <c r="A1050" s="42"/>
    </row>
    <row r="1051" spans="1:1" ht="15" customHeight="1" x14ac:dyDescent="0.25">
      <c r="A1051" s="42"/>
    </row>
    <row r="1052" spans="1:1" ht="15" customHeight="1" x14ac:dyDescent="0.25">
      <c r="A1052" s="42"/>
    </row>
    <row r="1053" spans="1:1" ht="15" customHeight="1" x14ac:dyDescent="0.25">
      <c r="A1053" s="42"/>
    </row>
    <row r="1054" spans="1:1" ht="15" customHeight="1" x14ac:dyDescent="0.25">
      <c r="A1054" s="42"/>
    </row>
    <row r="1055" spans="1:1" ht="15" customHeight="1" x14ac:dyDescent="0.25">
      <c r="A1055" s="42"/>
    </row>
    <row r="1056" spans="1:1" ht="15" customHeight="1" x14ac:dyDescent="0.25">
      <c r="A1056" s="42"/>
    </row>
    <row r="1057" spans="1:1" ht="15" customHeight="1" x14ac:dyDescent="0.25">
      <c r="A1057" s="42"/>
    </row>
    <row r="1058" spans="1:1" ht="15" customHeight="1" x14ac:dyDescent="0.25">
      <c r="A1058" s="42"/>
    </row>
    <row r="1059" spans="1:1" ht="15" customHeight="1" x14ac:dyDescent="0.25">
      <c r="A1059" s="42"/>
    </row>
    <row r="1060" spans="1:1" ht="15" customHeight="1" x14ac:dyDescent="0.25">
      <c r="A1060" s="42"/>
    </row>
    <row r="1061" spans="1:1" ht="15" customHeight="1" x14ac:dyDescent="0.25">
      <c r="A1061" s="42"/>
    </row>
    <row r="1062" spans="1:1" ht="15" customHeight="1" x14ac:dyDescent="0.25">
      <c r="A1062" s="42"/>
    </row>
    <row r="1063" spans="1:1" ht="15" customHeight="1" x14ac:dyDescent="0.25">
      <c r="A1063" s="42"/>
    </row>
    <row r="1064" spans="1:1" ht="15" customHeight="1" x14ac:dyDescent="0.25">
      <c r="A1064" s="42"/>
    </row>
    <row r="1065" spans="1:1" ht="15" customHeight="1" x14ac:dyDescent="0.25">
      <c r="A1065" s="42"/>
    </row>
    <row r="1066" spans="1:1" ht="15" customHeight="1" x14ac:dyDescent="0.25">
      <c r="A1066" s="42"/>
    </row>
    <row r="1067" spans="1:1" ht="15" customHeight="1" x14ac:dyDescent="0.25">
      <c r="A1067" s="42"/>
    </row>
    <row r="1068" spans="1:1" ht="15" customHeight="1" x14ac:dyDescent="0.25">
      <c r="A1068" s="42"/>
    </row>
    <row r="1069" spans="1:1" ht="15" customHeight="1" x14ac:dyDescent="0.25">
      <c r="A1069" s="42"/>
    </row>
    <row r="1070" spans="1:1" ht="15" customHeight="1" x14ac:dyDescent="0.25">
      <c r="A1070" s="42"/>
    </row>
    <row r="1071" spans="1:1" ht="15" customHeight="1" x14ac:dyDescent="0.25">
      <c r="A1071" s="42"/>
    </row>
    <row r="1072" spans="1:1" ht="15" customHeight="1" x14ac:dyDescent="0.25">
      <c r="A1072" s="42"/>
    </row>
    <row r="1073" spans="1:1" ht="15" customHeight="1" x14ac:dyDescent="0.25">
      <c r="A1073" s="42"/>
    </row>
    <row r="1074" spans="1:1" ht="15" customHeight="1" x14ac:dyDescent="0.25">
      <c r="A1074" s="42"/>
    </row>
    <row r="1075" spans="1:1" ht="15" customHeight="1" x14ac:dyDescent="0.25">
      <c r="A1075" s="42"/>
    </row>
    <row r="1076" spans="1:1" ht="15" customHeight="1" x14ac:dyDescent="0.25">
      <c r="A1076" s="42"/>
    </row>
    <row r="1077" spans="1:1" ht="15" customHeight="1" x14ac:dyDescent="0.25">
      <c r="A1077" s="42"/>
    </row>
    <row r="1078" spans="1:1" ht="15" customHeight="1" x14ac:dyDescent="0.25">
      <c r="A1078" s="42"/>
    </row>
    <row r="1079" spans="1:1" ht="15" customHeight="1" x14ac:dyDescent="0.25">
      <c r="A1079" s="42"/>
    </row>
    <row r="1080" spans="1:1" ht="15" customHeight="1" x14ac:dyDescent="0.25">
      <c r="A1080" s="42"/>
    </row>
    <row r="1081" spans="1:1" ht="15" customHeight="1" x14ac:dyDescent="0.25">
      <c r="A1081" s="42"/>
    </row>
    <row r="1082" spans="1:1" ht="15" customHeight="1" x14ac:dyDescent="0.25">
      <c r="A1082" s="42"/>
    </row>
    <row r="1083" spans="1:1" ht="15" customHeight="1" x14ac:dyDescent="0.25">
      <c r="A1083" s="42"/>
    </row>
    <row r="1084" spans="1:1" ht="15" customHeight="1" x14ac:dyDescent="0.25">
      <c r="A1084" s="42"/>
    </row>
    <row r="1085" spans="1:1" ht="15" customHeight="1" x14ac:dyDescent="0.25">
      <c r="A1085" s="42"/>
    </row>
    <row r="1086" spans="1:1" ht="15" customHeight="1" x14ac:dyDescent="0.25">
      <c r="A1086" s="42"/>
    </row>
    <row r="1087" spans="1:1" ht="15" customHeight="1" x14ac:dyDescent="0.25">
      <c r="A1087" s="42"/>
    </row>
    <row r="1088" spans="1:1" ht="15" customHeight="1" x14ac:dyDescent="0.25">
      <c r="A1088" s="42"/>
    </row>
    <row r="1089" spans="1:1" ht="15" customHeight="1" x14ac:dyDescent="0.25">
      <c r="A1089" s="42"/>
    </row>
    <row r="1090" spans="1:1" ht="15" customHeight="1" x14ac:dyDescent="0.25">
      <c r="A1090" s="42"/>
    </row>
    <row r="1091" spans="1:1" ht="15" customHeight="1" x14ac:dyDescent="0.25">
      <c r="A1091" s="42"/>
    </row>
    <row r="1092" spans="1:1" ht="15" customHeight="1" x14ac:dyDescent="0.25">
      <c r="A1092" s="42"/>
    </row>
    <row r="1093" spans="1:1" ht="15" customHeight="1" x14ac:dyDescent="0.25">
      <c r="A1093" s="42"/>
    </row>
    <row r="1094" spans="1:1" ht="15" customHeight="1" x14ac:dyDescent="0.25">
      <c r="A1094" s="42"/>
    </row>
    <row r="1095" spans="1:1" ht="15" customHeight="1" x14ac:dyDescent="0.25">
      <c r="A1095" s="42"/>
    </row>
    <row r="1096" spans="1:1" ht="15" customHeight="1" x14ac:dyDescent="0.25">
      <c r="A1096" s="42"/>
    </row>
    <row r="1097" spans="1:1" ht="15" customHeight="1" x14ac:dyDescent="0.25">
      <c r="A1097" s="42"/>
    </row>
    <row r="1098" spans="1:1" ht="15" customHeight="1" x14ac:dyDescent="0.25">
      <c r="A1098" s="42"/>
    </row>
    <row r="1099" spans="1:1" ht="15" customHeight="1" x14ac:dyDescent="0.25">
      <c r="A1099" s="42"/>
    </row>
    <row r="1100" spans="1:1" ht="15" customHeight="1" x14ac:dyDescent="0.25">
      <c r="A1100" s="42"/>
    </row>
    <row r="1101" spans="1:1" ht="15" customHeight="1" x14ac:dyDescent="0.25">
      <c r="A1101" s="42"/>
    </row>
    <row r="1102" spans="1:1" ht="15" customHeight="1" x14ac:dyDescent="0.25">
      <c r="A1102" s="42"/>
    </row>
    <row r="1103" spans="1:1" ht="15" customHeight="1" x14ac:dyDescent="0.25">
      <c r="A1103" s="42"/>
    </row>
    <row r="1104" spans="1:1" ht="15" customHeight="1" x14ac:dyDescent="0.25">
      <c r="A1104" s="42"/>
    </row>
    <row r="1105" spans="1:1" ht="15" customHeight="1" x14ac:dyDescent="0.25">
      <c r="A1105" s="42"/>
    </row>
    <row r="1106" spans="1:1" ht="15" customHeight="1" x14ac:dyDescent="0.25">
      <c r="A1106" s="42"/>
    </row>
    <row r="1107" spans="1:1" ht="15" customHeight="1" x14ac:dyDescent="0.25">
      <c r="A1107" s="42"/>
    </row>
    <row r="1108" spans="1:1" ht="15" customHeight="1" x14ac:dyDescent="0.25">
      <c r="A1108" s="42"/>
    </row>
    <row r="1109" spans="1:1" ht="15" customHeight="1" x14ac:dyDescent="0.25">
      <c r="A1109" s="42"/>
    </row>
    <row r="1110" spans="1:1" ht="15" customHeight="1" x14ac:dyDescent="0.25">
      <c r="A1110" s="42"/>
    </row>
    <row r="1111" spans="1:1" ht="15" customHeight="1" x14ac:dyDescent="0.25">
      <c r="A1111" s="42"/>
    </row>
    <row r="1112" spans="1:1" ht="15" customHeight="1" x14ac:dyDescent="0.25">
      <c r="A1112" s="42"/>
    </row>
    <row r="1113" spans="1:1" ht="15" customHeight="1" x14ac:dyDescent="0.25">
      <c r="A1113" s="42"/>
    </row>
    <row r="1114" spans="1:1" ht="15" customHeight="1" x14ac:dyDescent="0.25">
      <c r="A1114" s="42"/>
    </row>
    <row r="1115" spans="1:1" ht="15" customHeight="1" x14ac:dyDescent="0.25">
      <c r="A1115" s="42"/>
    </row>
    <row r="1116" spans="1:1" ht="15" customHeight="1" x14ac:dyDescent="0.25">
      <c r="A1116" s="42"/>
    </row>
    <row r="1117" spans="1:1" ht="15" customHeight="1" x14ac:dyDescent="0.25">
      <c r="A1117" s="42"/>
    </row>
    <row r="1118" spans="1:1" ht="15" customHeight="1" x14ac:dyDescent="0.25">
      <c r="A1118" s="42"/>
    </row>
    <row r="1119" spans="1:1" ht="15" customHeight="1" x14ac:dyDescent="0.25">
      <c r="A1119" s="42"/>
    </row>
    <row r="1120" spans="1:1" ht="15" customHeight="1" x14ac:dyDescent="0.25">
      <c r="A1120" s="42"/>
    </row>
    <row r="1121" spans="1:1" ht="15" customHeight="1" x14ac:dyDescent="0.25">
      <c r="A1121" s="42"/>
    </row>
    <row r="1122" spans="1:1" ht="15" customHeight="1" x14ac:dyDescent="0.25">
      <c r="A1122" s="42"/>
    </row>
    <row r="1123" spans="1:1" ht="15" customHeight="1" x14ac:dyDescent="0.25">
      <c r="A1123" s="42"/>
    </row>
    <row r="1124" spans="1:1" ht="15" customHeight="1" x14ac:dyDescent="0.25">
      <c r="A1124" s="42"/>
    </row>
    <row r="1125" spans="1:1" ht="15" customHeight="1" x14ac:dyDescent="0.25">
      <c r="A1125" s="42"/>
    </row>
    <row r="1126" spans="1:1" ht="15" customHeight="1" x14ac:dyDescent="0.25">
      <c r="A1126" s="42"/>
    </row>
    <row r="1127" spans="1:1" ht="15" customHeight="1" x14ac:dyDescent="0.25">
      <c r="A1127" s="42"/>
    </row>
  </sheetData>
  <pageMargins left="0.7" right="0.7" top="0.75" bottom="0.75" header="0" footer="0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>
          <x14:formula1>
            <xm:f>Data_Validation!$G$2:$G$24</xm:f>
          </x14:formula1>
          <xm:sqref>G12:G149</xm:sqref>
        </x14:dataValidation>
        <x14:dataValidation type="list" allowBlank="1" showErrorMessage="1">
          <x14:formula1>
            <xm:f>Data_Validation!$M$2:$M$6</xm:f>
          </x14:formula1>
          <xm:sqref>K12:K149</xm:sqref>
        </x14:dataValidation>
        <x14:dataValidation type="list" allowBlank="1" showErrorMessage="1">
          <x14:formula1>
            <xm:f>Data_Validation!$C$2:$C$34</xm:f>
          </x14:formula1>
          <xm:sqref>D12:D149</xm:sqref>
        </x14:dataValidation>
        <x14:dataValidation type="list" allowBlank="1" showErrorMessage="1">
          <x14:formula1>
            <xm:f>Data_Validation!$B$2:$B$8</xm:f>
          </x14:formula1>
          <xm:sqref>E13:E149</xm:sqref>
        </x14:dataValidation>
        <x14:dataValidation type="list" allowBlank="1" showErrorMessage="1">
          <x14:formula1>
            <xm:f>Data_Validation!$F$2:$F$53</xm:f>
          </x14:formula1>
          <xm:sqref>H12:H149</xm:sqref>
        </x14:dataValidation>
        <x14:dataValidation type="list" allowBlank="1" showErrorMessage="1">
          <x14:formula1>
            <xm:f>Data_Validation!$J$2:$J$4</xm:f>
          </x14:formula1>
          <xm:sqref>I12:I149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11" workbookViewId="0">
      <pane xSplit="1" topLeftCell="P1" activePane="topRight" state="frozen"/>
      <selection pane="topRight" activeCell="C2" sqref="C2"/>
    </sheetView>
  </sheetViews>
  <sheetFormatPr defaultColWidth="14.42578125" defaultRowHeight="15" customHeight="1" x14ac:dyDescent="0.25"/>
  <cols>
    <col min="1" max="1" width="24.7109375" customWidth="1"/>
    <col min="2" max="8" width="17.42578125" customWidth="1"/>
    <col min="9" max="10" width="19.28515625" customWidth="1"/>
    <col min="11" max="26" width="8.7109375" customWidth="1"/>
  </cols>
  <sheetData>
    <row r="1" spans="1:26" ht="38.25" customHeight="1" x14ac:dyDescent="0.25">
      <c r="A1" s="43" t="s">
        <v>178</v>
      </c>
      <c r="B1" s="43" t="s">
        <v>179</v>
      </c>
      <c r="C1" s="43" t="s">
        <v>180</v>
      </c>
      <c r="D1" s="43" t="s">
        <v>181</v>
      </c>
      <c r="E1" s="43" t="s">
        <v>182</v>
      </c>
      <c r="F1" s="43" t="s">
        <v>183</v>
      </c>
      <c r="G1" s="43" t="s">
        <v>184</v>
      </c>
      <c r="H1" s="39" t="s">
        <v>185</v>
      </c>
      <c r="I1" s="44" t="s">
        <v>186</v>
      </c>
      <c r="J1" s="45" t="s">
        <v>187</v>
      </c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8" customHeight="1" x14ac:dyDescent="0.25">
      <c r="A2" s="2" t="s">
        <v>16</v>
      </c>
      <c r="B2" s="2">
        <v>24</v>
      </c>
      <c r="C2" s="2">
        <f>SUMIFS(Added_Stock!C:C, Added_Stock!B:B, A2, Added_Stock!D:D, "Added")</f>
        <v>237</v>
      </c>
      <c r="D2" s="2">
        <v>3</v>
      </c>
      <c r="E2" s="40">
        <f>SUMIF(Sales!G:G, A2, Sales!L:L)</f>
        <v>248</v>
      </c>
      <c r="F2" s="40">
        <f>SUMIF(Returns!G:G, A2, Returns!N:N)</f>
        <v>3</v>
      </c>
      <c r="G2" s="40">
        <f>SUMIFS(Added_Stock!C:C, Added_Stock!B:B, Inventory!$A2, Added_Stock!D:D, "Transferred")</f>
        <v>6</v>
      </c>
      <c r="H2" s="47">
        <f>B2 + C2 + D2 + Inventory!$F2- E2 - G2</f>
        <v>13</v>
      </c>
      <c r="I2" s="48">
        <f>SUM(Inventory!$E2+Inventory!$H2)</f>
        <v>261</v>
      </c>
      <c r="J2" s="49">
        <f>Inventory!$I2*1</f>
        <v>261</v>
      </c>
    </row>
    <row r="3" spans="1:26" ht="18" customHeight="1" x14ac:dyDescent="0.25">
      <c r="A3" s="2" t="s">
        <v>24</v>
      </c>
      <c r="B3" s="2">
        <v>18</v>
      </c>
      <c r="C3" s="2">
        <f>SUMIFS(Added_Stock!C:C, Added_Stock!B:B, A3, Added_Stock!D:D, "Added")</f>
        <v>426</v>
      </c>
      <c r="D3" s="2">
        <v>0</v>
      </c>
      <c r="E3" s="40">
        <f>SUMIF(Sales!G:G, A3, Sales!L:L)</f>
        <v>975</v>
      </c>
      <c r="F3" s="40">
        <f>SUMIF(Returns!G:G, A3, Returns!N:N)</f>
        <v>30</v>
      </c>
      <c r="G3" s="40">
        <f>SUMIFS(Added_Stock!C:C, Added_Stock!B:B, Inventory!$A3, Added_Stock!D:D, "Transferred")</f>
        <v>0</v>
      </c>
      <c r="H3" s="47">
        <f>B3 + C3 + D3 + Inventory!$F3- E3 - G3</f>
        <v>-501</v>
      </c>
      <c r="I3" s="48">
        <f>SUM(Inventory!$E3+Inventory!$H3)</f>
        <v>474</v>
      </c>
      <c r="J3" s="49">
        <f>Inventory!$I3/3</f>
        <v>158</v>
      </c>
    </row>
    <row r="4" spans="1:26" ht="18" customHeight="1" x14ac:dyDescent="0.25">
      <c r="A4" s="2" t="s">
        <v>32</v>
      </c>
      <c r="B4" s="2">
        <v>24</v>
      </c>
      <c r="C4" s="2">
        <f>SUMIFS(Added_Stock!C:C, Added_Stock!B:B, A4, Added_Stock!D:D, "Added")</f>
        <v>6</v>
      </c>
      <c r="D4" s="2">
        <v>0</v>
      </c>
      <c r="E4" s="40">
        <f>SUMIF(Sales!G:G, A4, Sales!L:L)</f>
        <v>24</v>
      </c>
      <c r="F4" s="40">
        <f>SUMIF(Returns!G:G, A4, Returns!N:N)</f>
        <v>0</v>
      </c>
      <c r="G4" s="40">
        <f>SUMIFS(Added_Stock!C:C, Added_Stock!B:B, Inventory!$A4, Added_Stock!D:D, "Transferred")</f>
        <v>0</v>
      </c>
      <c r="H4" s="47">
        <f>B4 + C4 + D4 + Inventory!$F4- E4 - G4</f>
        <v>6</v>
      </c>
      <c r="I4" s="48">
        <f>SUM(Inventory!$E4+Inventory!$H4)</f>
        <v>30</v>
      </c>
      <c r="J4" s="49">
        <f>Inventory!$I4/6</f>
        <v>5</v>
      </c>
    </row>
    <row r="5" spans="1:26" ht="18" customHeight="1" x14ac:dyDescent="0.25">
      <c r="A5" s="2" t="s">
        <v>28</v>
      </c>
      <c r="B5" s="2">
        <v>13</v>
      </c>
      <c r="C5" s="2">
        <f>SUMIFS(Added_Stock!C:C, Added_Stock!B:B, A5, Added_Stock!D:D, "Added")</f>
        <v>7</v>
      </c>
      <c r="D5" s="2">
        <v>0</v>
      </c>
      <c r="E5" s="40">
        <f>SUMIF(Sales!G:G, A5, Sales!L:L)</f>
        <v>10</v>
      </c>
      <c r="F5" s="40">
        <f>SUMIF(Returns!G:G, A5, Returns!N:N)</f>
        <v>0</v>
      </c>
      <c r="G5" s="40">
        <f>SUMIFS(Added_Stock!C:C, Added_Stock!B:B, Inventory!$A5, Added_Stock!D:D, "Transferred")</f>
        <v>9</v>
      </c>
      <c r="H5" s="47">
        <f>B5 + C5 + D5 + Inventory!$F5- E5 - G5</f>
        <v>1</v>
      </c>
      <c r="I5" s="48">
        <f>SUM(Inventory!$E5+Inventory!$H5)</f>
        <v>11</v>
      </c>
      <c r="J5" s="49">
        <f>Inventory!$I5*1</f>
        <v>11</v>
      </c>
    </row>
    <row r="6" spans="1:26" ht="18" customHeight="1" x14ac:dyDescent="0.25">
      <c r="A6" s="2" t="s">
        <v>114</v>
      </c>
      <c r="B6" s="2">
        <v>15</v>
      </c>
      <c r="C6" s="2">
        <f>SUMIFS(Added_Stock!C:C, Added_Stock!B:B, A6, Added_Stock!D:D, "Added")</f>
        <v>0</v>
      </c>
      <c r="D6" s="2">
        <v>0</v>
      </c>
      <c r="E6" s="40">
        <f>SUMIF(Sales!G:G, A6, Sales!L:L)</f>
        <v>10</v>
      </c>
      <c r="F6" s="40">
        <f>SUMIF(Returns!G:G, A6, Returns!N:N)</f>
        <v>0</v>
      </c>
      <c r="G6" s="40">
        <f>SUMIFS(Added_Stock!C:C, Added_Stock!B:B, Inventory!$A6, Added_Stock!D:D, "Transferred")</f>
        <v>0</v>
      </c>
      <c r="H6" s="47">
        <f>B6 + C6 + D6 + Inventory!$F6- E6 - G6</f>
        <v>5</v>
      </c>
      <c r="I6" s="48">
        <f>SUM(Inventory!$E6+Inventory!$H6)</f>
        <v>15</v>
      </c>
      <c r="J6" s="49">
        <f>Inventory!$I6/3</f>
        <v>5</v>
      </c>
    </row>
    <row r="7" spans="1:26" ht="18" customHeight="1" x14ac:dyDescent="0.25">
      <c r="A7" s="2" t="s">
        <v>35</v>
      </c>
      <c r="B7" s="2">
        <v>18</v>
      </c>
      <c r="C7" s="2">
        <f>SUMIFS(Added_Stock!C:C, Added_Stock!B:B, A7, Added_Stock!D:D, "Added")</f>
        <v>258</v>
      </c>
      <c r="D7" s="2">
        <v>0</v>
      </c>
      <c r="E7" s="40">
        <f>SUMIF(Sales!G:G, A7, Sales!L:L)</f>
        <v>304</v>
      </c>
      <c r="F7" s="40">
        <f>SUMIF(Returns!G:G, A7, Returns!N:N)</f>
        <v>31</v>
      </c>
      <c r="G7" s="40">
        <f>SUMIFS(Added_Stock!C:C, Added_Stock!B:B, Inventory!$A7, Added_Stock!D:D, "Transferred")</f>
        <v>0</v>
      </c>
      <c r="H7" s="47">
        <f>B7 + C7 + D7 + Inventory!$F7- E7 - G7</f>
        <v>3</v>
      </c>
      <c r="I7" s="48">
        <f>SUM(Inventory!$E7+Inventory!$H7)</f>
        <v>307</v>
      </c>
      <c r="J7" s="49">
        <f>Inventory!$I7/3</f>
        <v>102.33333333333333</v>
      </c>
    </row>
    <row r="8" spans="1:26" ht="18" customHeight="1" x14ac:dyDescent="0.25">
      <c r="A8" s="2" t="s">
        <v>37</v>
      </c>
      <c r="B8" s="2">
        <v>12</v>
      </c>
      <c r="C8" s="2">
        <f>SUMIFS(Added_Stock!C:C, Added_Stock!B:B, A8, Added_Stock!D:D, "Added")</f>
        <v>0</v>
      </c>
      <c r="D8" s="2">
        <v>0</v>
      </c>
      <c r="E8" s="40">
        <f>SUMIF(Sales!G:G, A8, Sales!L:L)</f>
        <v>14</v>
      </c>
      <c r="F8" s="40">
        <f>SUMIF(Returns!G:G, A8, Returns!N:N)</f>
        <v>3</v>
      </c>
      <c r="G8" s="40">
        <f>SUMIFS(Added_Stock!C:C, Added_Stock!B:B, Inventory!$A8, Added_Stock!D:D, "Transferred")</f>
        <v>0</v>
      </c>
      <c r="H8" s="47">
        <f>B8 + C8 + D8 + Inventory!$F8- E8 - G8</f>
        <v>1</v>
      </c>
      <c r="I8" s="48">
        <f>SUM(Inventory!$E8+Inventory!$H8)</f>
        <v>15</v>
      </c>
      <c r="J8" s="49">
        <f>Inventory!$I8*1</f>
        <v>15</v>
      </c>
    </row>
    <row r="9" spans="1:26" ht="18" customHeight="1" x14ac:dyDescent="0.25">
      <c r="A9" s="2" t="s">
        <v>188</v>
      </c>
      <c r="B9" s="2">
        <v>6</v>
      </c>
      <c r="C9" s="2">
        <f>SUMIFS(Added_Stock!C:C, Added_Stock!B:B, A9, Added_Stock!D:D, "Added")</f>
        <v>0</v>
      </c>
      <c r="D9" s="2">
        <v>0</v>
      </c>
      <c r="E9" s="40">
        <f>SUMIF(Sales!G:G, A9, Sales!L:L)</f>
        <v>0</v>
      </c>
      <c r="F9" s="40">
        <f>SUMIF(Returns!G:G, A9, Returns!N:N)</f>
        <v>0</v>
      </c>
      <c r="G9" s="40">
        <f>SUMIFS(Added_Stock!C:C, Added_Stock!B:B, Inventory!$A9, Added_Stock!D:D, "Transferred")</f>
        <v>0</v>
      </c>
      <c r="H9" s="47">
        <f>B9 + C9 + D9 + Inventory!$F9- E9 - G9</f>
        <v>6</v>
      </c>
      <c r="I9" s="48">
        <f>SUM(Inventory!$E9+Inventory!$H9)</f>
        <v>6</v>
      </c>
      <c r="J9" s="49">
        <f>Inventory!$I9*1</f>
        <v>6</v>
      </c>
    </row>
    <row r="10" spans="1:26" ht="18" customHeight="1" x14ac:dyDescent="0.25">
      <c r="A10" s="2" t="s">
        <v>147</v>
      </c>
      <c r="B10" s="2">
        <v>4</v>
      </c>
      <c r="C10" s="2">
        <f>SUMIFS(Added_Stock!C:C, Added_Stock!B:B, A10, Added_Stock!D:D, "Added")</f>
        <v>0</v>
      </c>
      <c r="D10" s="2">
        <v>0</v>
      </c>
      <c r="E10" s="40">
        <f>SUMIF(Sales!G:G, A10, Sales!L:L)</f>
        <v>0</v>
      </c>
      <c r="F10" s="40">
        <f>SUMIF(Returns!G:G, A10, Returns!N:N)</f>
        <v>0</v>
      </c>
      <c r="G10" s="40">
        <f>SUMIFS(Added_Stock!C:C, Added_Stock!B:B, Inventory!$A10, Added_Stock!D:D, "Transferred")</f>
        <v>0</v>
      </c>
      <c r="H10" s="47">
        <f>B10 + C10 + D10 + Inventory!$F10- E10 - G10</f>
        <v>4</v>
      </c>
      <c r="I10" s="48">
        <f>SUM(Inventory!$E10+Inventory!$H10)</f>
        <v>4</v>
      </c>
      <c r="J10" s="49">
        <f>Inventory!$I10*1</f>
        <v>4</v>
      </c>
    </row>
    <row r="11" spans="1:26" ht="18" customHeight="1" x14ac:dyDescent="0.25">
      <c r="A11" s="2" t="s">
        <v>46</v>
      </c>
      <c r="B11" s="2">
        <v>1</v>
      </c>
      <c r="C11" s="2">
        <f>SUMIFS(Added_Stock!C:C, Added_Stock!B:B, A11, Added_Stock!D:D, "Added")</f>
        <v>7</v>
      </c>
      <c r="D11" s="2">
        <v>0</v>
      </c>
      <c r="E11" s="40">
        <f>SUMIF(Sales!G:G, A11, Sales!L:L)</f>
        <v>3</v>
      </c>
      <c r="F11" s="40">
        <f>SUMIF(Returns!G:G, A11, Returns!N:N)</f>
        <v>0</v>
      </c>
      <c r="G11" s="40">
        <f>SUMIFS(Added_Stock!C:C, Added_Stock!B:B, Inventory!$A11, Added_Stock!D:D, "Transferred")</f>
        <v>0</v>
      </c>
      <c r="H11" s="47">
        <f>B11 + C11 + D11 + Inventory!$F11- E11 - G11</f>
        <v>5</v>
      </c>
      <c r="I11" s="48">
        <f>SUM(Inventory!$E11+Inventory!$H11)</f>
        <v>8</v>
      </c>
      <c r="J11" s="49">
        <f>Inventory!$I11*1</f>
        <v>8</v>
      </c>
    </row>
    <row r="12" spans="1:26" ht="18" customHeight="1" x14ac:dyDescent="0.25">
      <c r="A12" s="2" t="s">
        <v>39</v>
      </c>
      <c r="B12" s="2">
        <v>1</v>
      </c>
      <c r="C12" s="2">
        <f>SUMIFS(Added_Stock!C:C, Added_Stock!B:B, A12, Added_Stock!D:D, "Added")</f>
        <v>9</v>
      </c>
      <c r="D12" s="2">
        <v>0</v>
      </c>
      <c r="E12" s="40">
        <f>SUMIF(Sales!G:G, A12, Sales!L:L)</f>
        <v>2</v>
      </c>
      <c r="F12" s="40">
        <f>SUMIF(Returns!G:G, A12, Returns!N:N)</f>
        <v>1</v>
      </c>
      <c r="G12" s="40">
        <f>SUMIFS(Added_Stock!C:C, Added_Stock!B:B, Inventory!$A12, Added_Stock!D:D, "Transferred")</f>
        <v>2</v>
      </c>
      <c r="H12" s="47">
        <f>B12 + C12 + D12 + Inventory!$F12- E12 - G12</f>
        <v>7</v>
      </c>
      <c r="I12" s="48">
        <f>SUM(Inventory!$E12+Inventory!$H12)</f>
        <v>9</v>
      </c>
      <c r="J12" s="49">
        <f>Inventory!$I12*1</f>
        <v>9</v>
      </c>
    </row>
    <row r="13" spans="1:26" ht="18" customHeight="1" x14ac:dyDescent="0.25">
      <c r="A13" s="2" t="s">
        <v>117</v>
      </c>
      <c r="B13" s="2">
        <v>10</v>
      </c>
      <c r="C13" s="2">
        <f>SUMIFS(Added_Stock!C:C, Added_Stock!B:B, A13, Added_Stock!D:D, "Added")</f>
        <v>0</v>
      </c>
      <c r="D13" s="2">
        <v>0</v>
      </c>
      <c r="E13" s="40">
        <f>SUMIF(Sales!G:G, A13, Sales!L:L)</f>
        <v>11</v>
      </c>
      <c r="F13" s="40">
        <f>SUMIF(Returns!G:G, A13, Returns!N:N)</f>
        <v>0</v>
      </c>
      <c r="G13" s="40">
        <f>SUMIFS(Added_Stock!C:C, Added_Stock!B:B, Inventory!$A13, Added_Stock!D:D, "Transferred")</f>
        <v>0</v>
      </c>
      <c r="H13" s="47">
        <f>B13 + C13 + D13 + Inventory!$F13- E13 - G13</f>
        <v>-1</v>
      </c>
      <c r="I13" s="48">
        <f>SUM(Inventory!$E13+Inventory!$H13)</f>
        <v>10</v>
      </c>
      <c r="J13" s="49">
        <f>Inventory!$I13*1</f>
        <v>10</v>
      </c>
    </row>
    <row r="14" spans="1:26" ht="18" customHeight="1" x14ac:dyDescent="0.25">
      <c r="A14" s="2" t="s">
        <v>189</v>
      </c>
      <c r="B14" s="2">
        <v>20</v>
      </c>
      <c r="C14" s="2">
        <f>SUMIFS(Added_Stock!C:C, Added_Stock!B:B, A14, Added_Stock!D:D, "Added")</f>
        <v>0</v>
      </c>
      <c r="D14" s="2">
        <v>0</v>
      </c>
      <c r="E14" s="40">
        <f>SUMIF(Sales!G:G, A14, Sales!L:L)</f>
        <v>0</v>
      </c>
      <c r="F14" s="40">
        <f>SUMIF(Returns!G:G, A14, Returns!N:N)</f>
        <v>0</v>
      </c>
      <c r="G14" s="40">
        <f>SUMIFS(Added_Stock!C:C, Added_Stock!B:B, Inventory!$A14, Added_Stock!D:D, "Transferred")</f>
        <v>0</v>
      </c>
      <c r="H14" s="47">
        <f>B14 + C14 + D14 + Inventory!$F14- E14 - G14</f>
        <v>20</v>
      </c>
      <c r="I14" s="48">
        <f>SUM(Inventory!$E14+Inventory!$H14)</f>
        <v>20</v>
      </c>
      <c r="J14" s="49">
        <f>Inventory!$I14*1</f>
        <v>20</v>
      </c>
    </row>
    <row r="15" spans="1:26" ht="18" customHeight="1" x14ac:dyDescent="0.25">
      <c r="A15" s="2" t="s">
        <v>87</v>
      </c>
      <c r="B15" s="2">
        <v>5</v>
      </c>
      <c r="C15" s="2">
        <f>SUMIFS(Added_Stock!C:C, Added_Stock!B:B, A15, Added_Stock!D:D, "Added")</f>
        <v>53</v>
      </c>
      <c r="D15" s="2">
        <v>0</v>
      </c>
      <c r="E15" s="40">
        <f>SUMIF(Sales!G:G, A15, Sales!L:L)</f>
        <v>87</v>
      </c>
      <c r="F15" s="40">
        <f>SUMIF(Returns!G:G, A15, Returns!N:N)</f>
        <v>3</v>
      </c>
      <c r="G15" s="40">
        <f>SUMIFS(Added_Stock!C:C, Added_Stock!B:B, Inventory!$A15, Added_Stock!D:D, "Transferred")</f>
        <v>5</v>
      </c>
      <c r="H15" s="47">
        <f>B15 + C15 + D15 + Inventory!$F15- E15 - G15</f>
        <v>-31</v>
      </c>
      <c r="I15" s="48">
        <f>SUM(Inventory!$E15+Inventory!$H15)</f>
        <v>56</v>
      </c>
      <c r="J15" s="49">
        <f>Inventory!$I15*1</f>
        <v>56</v>
      </c>
    </row>
    <row r="16" spans="1:26" ht="18" customHeight="1" x14ac:dyDescent="0.25">
      <c r="A16" s="2" t="s">
        <v>151</v>
      </c>
      <c r="B16" s="2">
        <v>5</v>
      </c>
      <c r="C16" s="2">
        <f>SUMIFS(Added_Stock!C:C, Added_Stock!B:B, A16, Added_Stock!D:D, "Added")</f>
        <v>0</v>
      </c>
      <c r="D16" s="2">
        <v>0</v>
      </c>
      <c r="E16" s="40">
        <f>SUMIF(Sales!G:G, A16, Sales!L:L)</f>
        <v>0</v>
      </c>
      <c r="F16" s="40">
        <f>SUMIF(Returns!G:G, A16, Returns!N:N)</f>
        <v>0</v>
      </c>
      <c r="G16" s="40">
        <f>SUMIFS(Added_Stock!C:C, Added_Stock!B:B, Inventory!$A16, Added_Stock!D:D, "Transferred")</f>
        <v>0</v>
      </c>
      <c r="H16" s="47">
        <f>B16 + C16 + D16 + Inventory!$F16- E16 - G16</f>
        <v>5</v>
      </c>
      <c r="I16" s="48">
        <f>SUM(Inventory!$E16+Inventory!$H16)</f>
        <v>5</v>
      </c>
      <c r="J16" s="49">
        <f>Inventory!$I16*1</f>
        <v>5</v>
      </c>
    </row>
    <row r="17" spans="1:10" ht="18" customHeight="1" x14ac:dyDescent="0.25">
      <c r="A17" s="2" t="s">
        <v>93</v>
      </c>
      <c r="B17" s="2">
        <v>25</v>
      </c>
      <c r="C17" s="2">
        <f>SUMIFS(Added_Stock!C:C, Added_Stock!B:B, A17, Added_Stock!D:D, "Added")</f>
        <v>0</v>
      </c>
      <c r="D17" s="2">
        <v>0</v>
      </c>
      <c r="E17" s="40">
        <f>SUMIF(Sales!G:G, A17, Sales!L:L)</f>
        <v>46</v>
      </c>
      <c r="F17" s="40">
        <f>SUMIF(Returns!G:G, A17, Returns!N:N)</f>
        <v>0</v>
      </c>
      <c r="G17" s="40">
        <f>SUMIFS(Added_Stock!C:C, Added_Stock!B:B, Inventory!$A17, Added_Stock!D:D, "Transferred")</f>
        <v>0</v>
      </c>
      <c r="H17" s="47">
        <f>B17 + C17 + D17 + Inventory!$F17- E17 - G17</f>
        <v>-21</v>
      </c>
      <c r="I17" s="48">
        <f>SUM(Inventory!$E17+Inventory!$H17)</f>
        <v>25</v>
      </c>
      <c r="J17" s="50">
        <f>Inventory!$I17*1</f>
        <v>25</v>
      </c>
    </row>
    <row r="18" spans="1:10" ht="18" customHeight="1" x14ac:dyDescent="0.25">
      <c r="A18" s="2" t="s">
        <v>190</v>
      </c>
      <c r="B18" s="2">
        <v>2</v>
      </c>
      <c r="C18" s="2">
        <f>SUMIFS(Added_Stock!C:C, Added_Stock!B:B, A18, Added_Stock!D:D, "Added")</f>
        <v>0</v>
      </c>
      <c r="D18" s="2">
        <v>0</v>
      </c>
      <c r="E18" s="40">
        <f>SUMIF(Sales!G:G, A18, Sales!L:L)</f>
        <v>0</v>
      </c>
      <c r="F18" s="40">
        <f>SUMIF(Returns!G:G, A18, Returns!N:N)</f>
        <v>0</v>
      </c>
      <c r="G18" s="40">
        <f>SUMIFS(Added_Stock!C:C, Added_Stock!B:B, Inventory!$A18, Added_Stock!D:D, "Transferred")</f>
        <v>0</v>
      </c>
      <c r="H18" s="51">
        <f>B18 + C18 + D18 + Inventory!$F18- E18 - G18</f>
        <v>2</v>
      </c>
      <c r="I18" s="48">
        <f>SUM(Inventory!$E18+Inventory!$H18)</f>
        <v>2</v>
      </c>
      <c r="J18" s="50">
        <f>Inventory!$I18*1</f>
        <v>2</v>
      </c>
    </row>
    <row r="19" spans="1:10" ht="18" customHeight="1" x14ac:dyDescent="0.25">
      <c r="A19" s="2" t="s">
        <v>191</v>
      </c>
      <c r="B19" s="2">
        <v>2</v>
      </c>
      <c r="C19" s="2">
        <f>SUMIFS(Added_Stock!C:C, Added_Stock!B:B, A19, Added_Stock!D:D, "Added")</f>
        <v>0</v>
      </c>
      <c r="D19" s="2">
        <v>0</v>
      </c>
      <c r="E19" s="40">
        <f>SUMIF(Sales!G:G, A19, Sales!L:L)</f>
        <v>0</v>
      </c>
      <c r="F19" s="40">
        <f>SUMIF(Returns!G:G, A19, Returns!N:N)</f>
        <v>0</v>
      </c>
      <c r="G19" s="40">
        <f>SUMIFS(Added_Stock!C:C, Added_Stock!B:B, Inventory!$A19, Added_Stock!D:D, "Transferred")</f>
        <v>0</v>
      </c>
      <c r="H19" s="51">
        <f>B19 + C19 + D19 + Inventory!$F19- E19 - G19</f>
        <v>2</v>
      </c>
      <c r="I19" s="48">
        <f>SUM(Inventory!$E19+Inventory!$H19)</f>
        <v>2</v>
      </c>
      <c r="J19" s="50">
        <f>Inventory!$I19*1</f>
        <v>2</v>
      </c>
    </row>
    <row r="20" spans="1:10" ht="18" customHeight="1" x14ac:dyDescent="0.25">
      <c r="A20" s="2" t="s">
        <v>102</v>
      </c>
      <c r="B20" s="2">
        <v>10</v>
      </c>
      <c r="C20" s="2">
        <f>SUMIFS(Added_Stock!C:C, Added_Stock!B:B, A20, Added_Stock!D:D, "Added")</f>
        <v>10</v>
      </c>
      <c r="D20" s="2">
        <v>0</v>
      </c>
      <c r="E20" s="40">
        <f>SUMIF(Sales!G:G, A20, Sales!L:L)</f>
        <v>47</v>
      </c>
      <c r="F20" s="40">
        <f>SUMIF(Returns!G:G, A20, Returns!N:N)</f>
        <v>0</v>
      </c>
      <c r="G20" s="40">
        <f>SUMIFS(Added_Stock!C:C, Added_Stock!B:B, Inventory!$A20, Added_Stock!D:D, "Transferred")</f>
        <v>0</v>
      </c>
      <c r="H20" s="51">
        <f>B20 + C20 + D20 + Inventory!$F20- E20 - G20</f>
        <v>-27</v>
      </c>
      <c r="I20" s="48">
        <f>SUM(Inventory!$E20+Inventory!$H20)</f>
        <v>20</v>
      </c>
      <c r="J20" s="50">
        <f>Inventory!$I20*1</f>
        <v>20</v>
      </c>
    </row>
    <row r="21" spans="1:10" ht="18" customHeight="1" x14ac:dyDescent="0.25">
      <c r="A21" s="2" t="s">
        <v>192</v>
      </c>
      <c r="B21" s="2">
        <v>2</v>
      </c>
      <c r="C21" s="2">
        <f>SUMIFS(Added_Stock!C:C, Added_Stock!B:B, A21, Added_Stock!D:D, "Added")</f>
        <v>5</v>
      </c>
      <c r="D21" s="2">
        <v>0</v>
      </c>
      <c r="E21" s="40">
        <f>SUMIF(Sales!G:G, A21, Sales!L:L)</f>
        <v>0</v>
      </c>
      <c r="F21" s="40">
        <f>SUMIF(Returns!G:G, A21, Returns!N:N)</f>
        <v>0</v>
      </c>
      <c r="G21" s="40">
        <f>SUMIFS(Added_Stock!C:C, Added_Stock!B:B, Inventory!$A21, Added_Stock!D:D, "Transferred")</f>
        <v>0</v>
      </c>
      <c r="H21" s="51">
        <f>B21 + C21 + D21 + Inventory!$F21- E21 - G21</f>
        <v>7</v>
      </c>
      <c r="I21" s="48">
        <f>SUM(Inventory!$E21+Inventory!$H21)</f>
        <v>7</v>
      </c>
      <c r="J21" s="50">
        <f>Inventory!$I21*1</f>
        <v>7</v>
      </c>
    </row>
    <row r="22" spans="1:10" ht="18" customHeight="1" x14ac:dyDescent="0.25">
      <c r="A22" s="2" t="s">
        <v>99</v>
      </c>
      <c r="B22" s="2">
        <v>1</v>
      </c>
      <c r="C22" s="2">
        <f>SUMIFS(Added_Stock!C:C, Added_Stock!B:B, A22, Added_Stock!D:D, "Added")</f>
        <v>5</v>
      </c>
      <c r="D22" s="2">
        <v>0</v>
      </c>
      <c r="E22" s="40">
        <f>SUMIF(Sales!G:G, A22, Sales!L:L)</f>
        <v>12</v>
      </c>
      <c r="F22" s="40">
        <f>SUMIF(Returns!G:G, A22, Returns!N:N)</f>
        <v>0</v>
      </c>
      <c r="G22" s="40">
        <f>SUMIFS(Added_Stock!C:C, Added_Stock!B:B, Inventory!$A22, Added_Stock!D:D, "Transferred")</f>
        <v>0</v>
      </c>
      <c r="H22" s="51">
        <f>B22 + C22 + D22 + Inventory!$F22- E22 - G22</f>
        <v>-6</v>
      </c>
      <c r="I22" s="48">
        <f>SUM(Inventory!$E22+Inventory!$H22)</f>
        <v>6</v>
      </c>
      <c r="J22" s="50">
        <f>Inventory!$I22*1</f>
        <v>6</v>
      </c>
    </row>
    <row r="23" spans="1:10" ht="18" customHeight="1" x14ac:dyDescent="0.25">
      <c r="A23" s="28"/>
      <c r="B23" s="28"/>
      <c r="C23" s="28"/>
      <c r="D23" s="28"/>
      <c r="E23" s="52"/>
      <c r="F23" s="52"/>
      <c r="G23" s="52"/>
      <c r="H23" s="53"/>
      <c r="I23" s="54"/>
      <c r="J23" s="49"/>
    </row>
    <row r="24" spans="1:10" ht="18" customHeight="1" x14ac:dyDescent="0.25">
      <c r="A24" s="28"/>
      <c r="B24" s="28"/>
      <c r="C24" s="28"/>
      <c r="D24" s="28"/>
      <c r="E24" s="52"/>
      <c r="F24" s="52"/>
      <c r="G24" s="52"/>
      <c r="H24" s="53"/>
      <c r="I24" s="54"/>
      <c r="J24" s="49"/>
    </row>
    <row r="25" spans="1:10" ht="18" customHeight="1" x14ac:dyDescent="0.25">
      <c r="A25" s="28"/>
      <c r="B25" s="28"/>
      <c r="C25" s="28"/>
      <c r="D25" s="28"/>
      <c r="E25" s="52"/>
      <c r="F25" s="52"/>
      <c r="G25" s="52"/>
      <c r="H25" s="53"/>
      <c r="I25" s="54"/>
      <c r="J25" s="49"/>
    </row>
    <row r="26" spans="1:10" ht="18" customHeight="1" x14ac:dyDescent="0.25">
      <c r="A26" s="28"/>
      <c r="B26" s="28"/>
      <c r="C26" s="28"/>
      <c r="D26" s="28"/>
      <c r="E26" s="52"/>
      <c r="F26" s="52"/>
      <c r="G26" s="52"/>
      <c r="H26" s="53"/>
      <c r="I26" s="54"/>
      <c r="J26" s="49"/>
    </row>
    <row r="27" spans="1:10" ht="18" customHeight="1" x14ac:dyDescent="0.25">
      <c r="A27" s="28"/>
      <c r="B27" s="28"/>
      <c r="C27" s="28"/>
      <c r="D27" s="28"/>
      <c r="E27" s="52"/>
      <c r="F27" s="52"/>
      <c r="G27" s="52"/>
      <c r="H27" s="53"/>
      <c r="I27" s="54"/>
      <c r="J27" s="49"/>
    </row>
    <row r="28" spans="1:10" ht="18" customHeight="1" x14ac:dyDescent="0.25">
      <c r="A28" s="28"/>
      <c r="B28" s="28"/>
      <c r="C28" s="28"/>
      <c r="D28" s="28"/>
      <c r="E28" s="52"/>
      <c r="F28" s="52"/>
      <c r="G28" s="52"/>
      <c r="H28" s="53"/>
      <c r="I28" s="54"/>
      <c r="J28" s="49"/>
    </row>
    <row r="29" spans="1:10" ht="18" customHeight="1" x14ac:dyDescent="0.25">
      <c r="A29" s="28"/>
      <c r="B29" s="28"/>
      <c r="C29" s="28"/>
      <c r="D29" s="28"/>
      <c r="E29" s="52"/>
      <c r="F29" s="52"/>
      <c r="G29" s="52"/>
      <c r="H29" s="53"/>
      <c r="I29" s="54"/>
      <c r="J29" s="49"/>
    </row>
    <row r="30" spans="1:10" ht="18" customHeight="1" x14ac:dyDescent="0.25">
      <c r="A30" s="28"/>
      <c r="B30" s="28"/>
      <c r="C30" s="28"/>
      <c r="D30" s="28"/>
      <c r="E30" s="52"/>
      <c r="F30" s="52"/>
      <c r="G30" s="52"/>
      <c r="H30" s="53"/>
      <c r="I30" s="54"/>
      <c r="J30" s="49"/>
    </row>
    <row r="31" spans="1:10" ht="18" customHeight="1" x14ac:dyDescent="0.25">
      <c r="A31" s="28"/>
      <c r="B31" s="28"/>
      <c r="C31" s="28"/>
      <c r="D31" s="28"/>
      <c r="E31" s="52"/>
      <c r="F31" s="52"/>
      <c r="G31" s="52"/>
      <c r="H31" s="53"/>
      <c r="I31" s="54"/>
      <c r="J31" s="49"/>
    </row>
    <row r="32" spans="1:10" ht="18" customHeight="1" x14ac:dyDescent="0.25">
      <c r="A32" s="28"/>
      <c r="B32" s="28"/>
      <c r="C32" s="28"/>
      <c r="D32" s="28"/>
      <c r="E32" s="52"/>
      <c r="F32" s="52"/>
      <c r="G32" s="52"/>
      <c r="H32" s="53"/>
      <c r="I32" s="54"/>
      <c r="J32" s="49"/>
    </row>
    <row r="33" spans="1:10" ht="18" customHeight="1" x14ac:dyDescent="0.25">
      <c r="A33" s="28"/>
      <c r="B33" s="28"/>
      <c r="C33" s="28"/>
      <c r="D33" s="28"/>
      <c r="E33" s="52"/>
      <c r="F33" s="52"/>
      <c r="G33" s="52"/>
      <c r="H33" s="53"/>
      <c r="I33" s="54"/>
      <c r="J33" s="49"/>
    </row>
    <row r="34" spans="1:10" ht="18" customHeight="1" x14ac:dyDescent="0.25">
      <c r="A34" s="28"/>
      <c r="B34" s="28"/>
      <c r="C34" s="28"/>
      <c r="D34" s="28"/>
      <c r="E34" s="52"/>
      <c r="F34" s="52"/>
      <c r="G34" s="52"/>
      <c r="H34" s="53"/>
      <c r="I34" s="54"/>
      <c r="J34" s="49"/>
    </row>
    <row r="35" spans="1:10" ht="18" customHeight="1" x14ac:dyDescent="0.25">
      <c r="A35" s="28"/>
      <c r="B35" s="28"/>
      <c r="C35" s="28"/>
      <c r="D35" s="28"/>
      <c r="E35" s="52"/>
      <c r="F35" s="52"/>
      <c r="G35" s="52"/>
      <c r="H35" s="53"/>
      <c r="I35" s="54"/>
      <c r="J35" s="49"/>
    </row>
    <row r="36" spans="1:10" ht="18" customHeight="1" x14ac:dyDescent="0.25">
      <c r="A36" s="28"/>
      <c r="B36" s="28"/>
      <c r="C36" s="28"/>
      <c r="D36" s="28"/>
      <c r="E36" s="52"/>
      <c r="F36" s="52"/>
      <c r="G36" s="52"/>
      <c r="H36" s="53"/>
      <c r="I36" s="54"/>
      <c r="J36" s="49"/>
    </row>
    <row r="37" spans="1:10" ht="18" customHeight="1" x14ac:dyDescent="0.25">
      <c r="A37" s="28"/>
      <c r="B37" s="28"/>
      <c r="C37" s="28"/>
      <c r="D37" s="28"/>
      <c r="E37" s="52"/>
      <c r="F37" s="52"/>
      <c r="G37" s="52"/>
      <c r="H37" s="53"/>
      <c r="I37" s="54"/>
      <c r="J37" s="49"/>
    </row>
    <row r="38" spans="1:10" ht="18" customHeight="1" x14ac:dyDescent="0.25">
      <c r="A38" s="28"/>
      <c r="B38" s="28"/>
      <c r="C38" s="28"/>
      <c r="D38" s="28"/>
      <c r="E38" s="52"/>
      <c r="F38" s="52"/>
      <c r="G38" s="52"/>
      <c r="H38" s="53"/>
      <c r="I38" s="54"/>
      <c r="J38" s="49"/>
    </row>
    <row r="39" spans="1:10" ht="18" customHeight="1" x14ac:dyDescent="0.25">
      <c r="A39" s="28"/>
      <c r="B39" s="28"/>
      <c r="C39" s="28"/>
      <c r="D39" s="28"/>
      <c r="E39" s="52"/>
      <c r="F39" s="52"/>
      <c r="G39" s="52"/>
      <c r="H39" s="53"/>
      <c r="I39" s="54"/>
      <c r="J39" s="49"/>
    </row>
    <row r="40" spans="1:10" ht="18" customHeight="1" x14ac:dyDescent="0.25">
      <c r="A40" s="28"/>
      <c r="B40" s="28"/>
      <c r="C40" s="28"/>
      <c r="D40" s="28"/>
      <c r="E40" s="52"/>
      <c r="F40" s="52"/>
      <c r="G40" s="52"/>
      <c r="H40" s="53"/>
      <c r="I40" s="54"/>
      <c r="J40" s="49"/>
    </row>
    <row r="41" spans="1:10" ht="18" customHeight="1" x14ac:dyDescent="0.25">
      <c r="A41" s="28"/>
      <c r="B41" s="28"/>
      <c r="C41" s="28"/>
      <c r="D41" s="28"/>
      <c r="E41" s="52"/>
      <c r="F41" s="52"/>
      <c r="G41" s="52"/>
      <c r="H41" s="53"/>
      <c r="I41" s="54"/>
      <c r="J41" s="49"/>
    </row>
    <row r="42" spans="1:10" ht="18" customHeight="1" x14ac:dyDescent="0.25">
      <c r="A42" s="28"/>
      <c r="B42" s="28"/>
      <c r="C42" s="28"/>
      <c r="D42" s="28"/>
      <c r="E42" s="52"/>
      <c r="F42" s="52"/>
      <c r="G42" s="52"/>
      <c r="H42" s="53"/>
      <c r="I42" s="54"/>
      <c r="J42" s="49"/>
    </row>
    <row r="43" spans="1:10" ht="18" customHeight="1" x14ac:dyDescent="0.25">
      <c r="A43" s="28"/>
      <c r="B43" s="28"/>
      <c r="C43" s="28"/>
      <c r="D43" s="28"/>
      <c r="E43" s="52"/>
      <c r="F43" s="52"/>
      <c r="G43" s="52"/>
      <c r="H43" s="53"/>
      <c r="I43" s="54"/>
      <c r="J43" s="49"/>
    </row>
    <row r="44" spans="1:10" ht="18" customHeight="1" x14ac:dyDescent="0.25">
      <c r="A44" s="28"/>
      <c r="B44" s="28"/>
      <c r="C44" s="28"/>
      <c r="D44" s="28"/>
      <c r="E44" s="52"/>
      <c r="F44" s="52"/>
      <c r="G44" s="52"/>
      <c r="H44" s="53"/>
      <c r="I44" s="54"/>
      <c r="J44" s="49"/>
    </row>
    <row r="45" spans="1:10" ht="18" customHeight="1" x14ac:dyDescent="0.25">
      <c r="A45" s="28"/>
      <c r="B45" s="28"/>
      <c r="C45" s="28"/>
      <c r="D45" s="28"/>
      <c r="E45" s="52"/>
      <c r="F45" s="52"/>
      <c r="G45" s="52"/>
      <c r="H45" s="53"/>
      <c r="I45" s="54"/>
      <c r="J45" s="49"/>
    </row>
    <row r="46" spans="1:10" ht="18" customHeight="1" x14ac:dyDescent="0.25">
      <c r="A46" s="28"/>
      <c r="B46" s="28"/>
      <c r="C46" s="28"/>
      <c r="D46" s="28"/>
      <c r="E46" s="52"/>
      <c r="F46" s="52"/>
      <c r="G46" s="52"/>
      <c r="H46" s="53"/>
      <c r="I46" s="54"/>
      <c r="J46" s="49"/>
    </row>
    <row r="47" spans="1:10" ht="18" customHeight="1" x14ac:dyDescent="0.25">
      <c r="A47" s="28"/>
      <c r="B47" s="28"/>
      <c r="C47" s="28"/>
      <c r="D47" s="28"/>
      <c r="E47" s="52"/>
      <c r="F47" s="52"/>
      <c r="G47" s="52"/>
      <c r="H47" s="53"/>
      <c r="I47" s="54"/>
      <c r="J47" s="49"/>
    </row>
    <row r="48" spans="1:10" ht="18" customHeight="1" x14ac:dyDescent="0.25">
      <c r="A48" s="28"/>
      <c r="B48" s="28"/>
      <c r="C48" s="28"/>
      <c r="D48" s="28"/>
      <c r="E48" s="52"/>
      <c r="F48" s="52"/>
      <c r="G48" s="52"/>
      <c r="H48" s="53"/>
      <c r="I48" s="54"/>
      <c r="J48" s="49"/>
    </row>
    <row r="49" spans="1:10" ht="18" customHeight="1" x14ac:dyDescent="0.25">
      <c r="A49" s="28"/>
      <c r="B49" s="28"/>
      <c r="C49" s="28"/>
      <c r="D49" s="28"/>
      <c r="E49" s="52"/>
      <c r="F49" s="52"/>
      <c r="G49" s="52"/>
      <c r="H49" s="53"/>
      <c r="I49" s="54"/>
      <c r="J49" s="49"/>
    </row>
    <row r="50" spans="1:10" ht="18" customHeight="1" x14ac:dyDescent="0.25">
      <c r="A50" s="28"/>
      <c r="B50" s="28"/>
      <c r="C50" s="28"/>
      <c r="D50" s="28"/>
      <c r="E50" s="52"/>
      <c r="F50" s="52"/>
      <c r="G50" s="52"/>
      <c r="H50" s="53"/>
      <c r="I50" s="54"/>
      <c r="J50" s="49"/>
    </row>
    <row r="51" spans="1:10" ht="18" customHeight="1" x14ac:dyDescent="0.25">
      <c r="A51" s="28"/>
      <c r="B51" s="28"/>
      <c r="C51" s="28"/>
      <c r="D51" s="28"/>
      <c r="E51" s="52"/>
      <c r="F51" s="52"/>
      <c r="G51" s="52"/>
      <c r="H51" s="53"/>
      <c r="I51" s="54"/>
      <c r="J51" s="49"/>
    </row>
    <row r="52" spans="1:10" ht="18" customHeight="1" x14ac:dyDescent="0.25">
      <c r="A52" s="28"/>
      <c r="B52" s="28"/>
      <c r="C52" s="28"/>
      <c r="D52" s="28"/>
      <c r="E52" s="52"/>
      <c r="F52" s="52"/>
      <c r="G52" s="52"/>
      <c r="H52" s="53"/>
      <c r="I52" s="54"/>
      <c r="J52" s="49"/>
    </row>
    <row r="53" spans="1:10" ht="18" customHeight="1" x14ac:dyDescent="0.25">
      <c r="A53" s="28"/>
      <c r="B53" s="28"/>
      <c r="C53" s="28"/>
      <c r="D53" s="28"/>
      <c r="E53" s="52"/>
      <c r="F53" s="52"/>
      <c r="G53" s="52"/>
      <c r="H53" s="53"/>
      <c r="I53" s="54"/>
      <c r="J53" s="49"/>
    </row>
    <row r="54" spans="1:10" ht="18" customHeight="1" x14ac:dyDescent="0.25">
      <c r="A54" s="28"/>
      <c r="B54" s="28"/>
      <c r="C54" s="28"/>
      <c r="D54" s="28"/>
      <c r="E54" s="52"/>
      <c r="F54" s="52"/>
      <c r="G54" s="52"/>
      <c r="H54" s="53"/>
      <c r="I54" s="54"/>
      <c r="J54" s="49"/>
    </row>
    <row r="55" spans="1:10" ht="18" customHeight="1" x14ac:dyDescent="0.25">
      <c r="A55" s="28"/>
      <c r="B55" s="28"/>
      <c r="C55" s="28"/>
      <c r="D55" s="28"/>
      <c r="E55" s="52"/>
      <c r="F55" s="52"/>
      <c r="G55" s="52"/>
      <c r="H55" s="53"/>
      <c r="I55" s="54"/>
      <c r="J55" s="49"/>
    </row>
    <row r="56" spans="1:10" ht="18" customHeight="1" x14ac:dyDescent="0.25">
      <c r="A56" s="28"/>
      <c r="B56" s="28"/>
      <c r="C56" s="28"/>
      <c r="D56" s="28"/>
      <c r="E56" s="52"/>
      <c r="F56" s="52"/>
      <c r="G56" s="52"/>
      <c r="H56" s="53"/>
      <c r="I56" s="54"/>
      <c r="J56" s="49"/>
    </row>
    <row r="57" spans="1:10" ht="18" customHeight="1" x14ac:dyDescent="0.25">
      <c r="A57" s="28"/>
      <c r="B57" s="28"/>
      <c r="C57" s="28"/>
      <c r="D57" s="28"/>
      <c r="E57" s="52"/>
      <c r="F57" s="52"/>
      <c r="G57" s="52"/>
      <c r="H57" s="53"/>
      <c r="I57" s="54"/>
      <c r="J57" s="49"/>
    </row>
    <row r="58" spans="1:10" ht="18" customHeight="1" x14ac:dyDescent="0.25">
      <c r="A58" s="28"/>
      <c r="B58" s="28"/>
      <c r="C58" s="28"/>
      <c r="D58" s="28"/>
      <c r="E58" s="52"/>
      <c r="F58" s="52"/>
      <c r="G58" s="52"/>
      <c r="H58" s="53"/>
      <c r="I58" s="54"/>
      <c r="J58" s="49"/>
    </row>
    <row r="59" spans="1:10" ht="18" customHeight="1" x14ac:dyDescent="0.25">
      <c r="A59" s="28"/>
      <c r="B59" s="28"/>
      <c r="C59" s="28"/>
      <c r="D59" s="28"/>
      <c r="E59" s="52"/>
      <c r="F59" s="52"/>
      <c r="G59" s="52"/>
      <c r="H59" s="53"/>
      <c r="I59" s="54"/>
      <c r="J59" s="49"/>
    </row>
    <row r="60" spans="1:10" ht="18" customHeight="1" x14ac:dyDescent="0.25">
      <c r="A60" s="28"/>
      <c r="B60" s="28"/>
      <c r="C60" s="28"/>
      <c r="D60" s="28"/>
      <c r="E60" s="52"/>
      <c r="F60" s="52"/>
      <c r="G60" s="52"/>
      <c r="H60" s="53"/>
      <c r="I60" s="54"/>
      <c r="J60" s="49"/>
    </row>
    <row r="61" spans="1:10" ht="18" customHeight="1" x14ac:dyDescent="0.25">
      <c r="A61" s="28"/>
      <c r="B61" s="28"/>
      <c r="C61" s="28"/>
      <c r="D61" s="28"/>
      <c r="E61" s="52"/>
      <c r="F61" s="52"/>
      <c r="G61" s="52"/>
      <c r="H61" s="53"/>
      <c r="I61" s="54"/>
      <c r="J61" s="49"/>
    </row>
    <row r="62" spans="1:10" ht="18" customHeight="1" x14ac:dyDescent="0.25">
      <c r="A62" s="28"/>
      <c r="B62" s="28"/>
      <c r="C62" s="28"/>
      <c r="D62" s="28"/>
      <c r="E62" s="52"/>
      <c r="F62" s="52"/>
      <c r="G62" s="52"/>
      <c r="H62" s="53"/>
      <c r="I62" s="54"/>
      <c r="J62" s="49"/>
    </row>
    <row r="63" spans="1:10" ht="18" customHeight="1" x14ac:dyDescent="0.25">
      <c r="A63" s="28"/>
      <c r="B63" s="28"/>
      <c r="C63" s="28"/>
      <c r="D63" s="28"/>
      <c r="E63" s="52"/>
      <c r="F63" s="52"/>
      <c r="G63" s="52"/>
      <c r="H63" s="53"/>
      <c r="I63" s="54"/>
      <c r="J63" s="49"/>
    </row>
    <row r="64" spans="1:10" ht="18" customHeight="1" x14ac:dyDescent="0.25">
      <c r="A64" s="28"/>
      <c r="B64" s="28"/>
      <c r="C64" s="28"/>
      <c r="D64" s="28"/>
      <c r="E64" s="52"/>
      <c r="F64" s="52"/>
      <c r="G64" s="52"/>
      <c r="H64" s="53"/>
      <c r="I64" s="54"/>
      <c r="J64" s="49"/>
    </row>
    <row r="65" spans="1:10" ht="18" customHeight="1" x14ac:dyDescent="0.25">
      <c r="A65" s="28"/>
      <c r="B65" s="28"/>
      <c r="C65" s="28"/>
      <c r="D65" s="28"/>
      <c r="E65" s="52"/>
      <c r="F65" s="52"/>
      <c r="G65" s="52"/>
      <c r="H65" s="53"/>
      <c r="I65" s="54"/>
      <c r="J65" s="49"/>
    </row>
    <row r="66" spans="1:10" ht="18" customHeight="1" x14ac:dyDescent="0.25">
      <c r="A66" s="28"/>
      <c r="B66" s="28"/>
      <c r="C66" s="28"/>
      <c r="D66" s="28"/>
      <c r="E66" s="52"/>
      <c r="F66" s="52"/>
      <c r="G66" s="52"/>
      <c r="H66" s="53"/>
      <c r="I66" s="54"/>
      <c r="J66" s="49"/>
    </row>
    <row r="67" spans="1:10" ht="18" customHeight="1" x14ac:dyDescent="0.25">
      <c r="A67" s="28"/>
      <c r="B67" s="28"/>
      <c r="C67" s="28"/>
      <c r="D67" s="28"/>
      <c r="E67" s="52"/>
      <c r="F67" s="52"/>
      <c r="G67" s="52"/>
      <c r="H67" s="53"/>
      <c r="I67" s="54"/>
      <c r="J67" s="49"/>
    </row>
    <row r="68" spans="1:10" ht="18" customHeight="1" x14ac:dyDescent="0.25">
      <c r="A68" s="28"/>
      <c r="B68" s="28"/>
      <c r="C68" s="28"/>
      <c r="D68" s="28"/>
      <c r="E68" s="52"/>
      <c r="F68" s="52"/>
      <c r="G68" s="52"/>
      <c r="H68" s="53"/>
      <c r="I68" s="54"/>
      <c r="J68" s="49"/>
    </row>
    <row r="69" spans="1:10" ht="18" customHeight="1" x14ac:dyDescent="0.25">
      <c r="A69" s="28"/>
      <c r="B69" s="28"/>
      <c r="C69" s="28"/>
      <c r="D69" s="28"/>
      <c r="E69" s="52"/>
      <c r="F69" s="52"/>
      <c r="G69" s="52"/>
      <c r="H69" s="53"/>
      <c r="I69" s="54"/>
      <c r="J69" s="49"/>
    </row>
    <row r="70" spans="1:10" ht="18" customHeight="1" x14ac:dyDescent="0.25">
      <c r="A70" s="28"/>
      <c r="B70" s="28"/>
      <c r="C70" s="28"/>
      <c r="D70" s="28"/>
      <c r="E70" s="52"/>
      <c r="F70" s="52"/>
      <c r="G70" s="52"/>
      <c r="H70" s="53"/>
      <c r="I70" s="54"/>
      <c r="J70" s="49"/>
    </row>
    <row r="71" spans="1:10" ht="18" customHeight="1" x14ac:dyDescent="0.25">
      <c r="A71" s="28"/>
      <c r="B71" s="28"/>
      <c r="C71" s="28"/>
      <c r="D71" s="28"/>
      <c r="E71" s="52"/>
      <c r="F71" s="52"/>
      <c r="G71" s="52"/>
      <c r="H71" s="53"/>
      <c r="I71" s="54"/>
      <c r="J71" s="49"/>
    </row>
    <row r="72" spans="1:10" ht="18" customHeight="1" x14ac:dyDescent="0.25">
      <c r="A72" s="28"/>
      <c r="B72" s="28"/>
      <c r="C72" s="28"/>
      <c r="D72" s="28"/>
      <c r="E72" s="52"/>
      <c r="F72" s="52"/>
      <c r="G72" s="52"/>
      <c r="H72" s="53"/>
      <c r="I72" s="54"/>
      <c r="J72" s="49"/>
    </row>
    <row r="73" spans="1:10" ht="18" customHeight="1" x14ac:dyDescent="0.25">
      <c r="A73" s="28"/>
      <c r="B73" s="28"/>
      <c r="C73" s="28"/>
      <c r="D73" s="28"/>
      <c r="E73" s="52"/>
      <c r="F73" s="52"/>
      <c r="G73" s="52"/>
      <c r="H73" s="53"/>
      <c r="I73" s="54"/>
      <c r="J73" s="49"/>
    </row>
    <row r="74" spans="1:10" ht="18" customHeight="1" x14ac:dyDescent="0.25">
      <c r="A74" s="28"/>
      <c r="B74" s="28"/>
      <c r="C74" s="28"/>
      <c r="D74" s="28"/>
      <c r="E74" s="52"/>
      <c r="F74" s="52"/>
      <c r="G74" s="52"/>
      <c r="H74" s="53"/>
      <c r="I74" s="54"/>
      <c r="J74" s="49"/>
    </row>
    <row r="75" spans="1:10" ht="18" customHeight="1" x14ac:dyDescent="0.25">
      <c r="A75" s="28"/>
      <c r="B75" s="28"/>
      <c r="C75" s="28"/>
      <c r="D75" s="28"/>
      <c r="E75" s="52"/>
      <c r="F75" s="52"/>
      <c r="G75" s="52"/>
      <c r="H75" s="53"/>
      <c r="I75" s="54"/>
      <c r="J75" s="49"/>
    </row>
    <row r="76" spans="1:10" ht="18" customHeight="1" x14ac:dyDescent="0.25">
      <c r="A76" s="28"/>
      <c r="B76" s="28"/>
      <c r="C76" s="28"/>
      <c r="D76" s="28"/>
      <c r="E76" s="52"/>
      <c r="F76" s="52"/>
      <c r="G76" s="52"/>
      <c r="H76" s="53"/>
      <c r="I76" s="54"/>
      <c r="J76" s="49"/>
    </row>
    <row r="77" spans="1:10" ht="18" customHeight="1" x14ac:dyDescent="0.25">
      <c r="A77" s="28"/>
      <c r="B77" s="28"/>
      <c r="C77" s="28"/>
      <c r="D77" s="28"/>
      <c r="E77" s="52"/>
      <c r="F77" s="52"/>
      <c r="G77" s="52"/>
      <c r="H77" s="53"/>
      <c r="I77" s="54"/>
      <c r="J77" s="49"/>
    </row>
    <row r="78" spans="1:10" ht="18" customHeight="1" x14ac:dyDescent="0.25">
      <c r="A78" s="28"/>
      <c r="B78" s="28"/>
      <c r="C78" s="28"/>
      <c r="D78" s="28"/>
      <c r="E78" s="52"/>
      <c r="F78" s="52"/>
      <c r="G78" s="52"/>
      <c r="H78" s="53"/>
      <c r="I78" s="54"/>
      <c r="J78" s="49"/>
    </row>
    <row r="79" spans="1:10" ht="18" customHeight="1" x14ac:dyDescent="0.25">
      <c r="A79" s="28"/>
      <c r="B79" s="28"/>
      <c r="C79" s="28"/>
      <c r="D79" s="28"/>
      <c r="E79" s="52"/>
      <c r="F79" s="52"/>
      <c r="G79" s="52"/>
      <c r="H79" s="53"/>
      <c r="I79" s="54"/>
      <c r="J79" s="49"/>
    </row>
    <row r="80" spans="1:10" ht="18" customHeight="1" x14ac:dyDescent="0.25">
      <c r="A80" s="28"/>
      <c r="B80" s="28"/>
      <c r="C80" s="28"/>
      <c r="D80" s="28"/>
      <c r="E80" s="52"/>
      <c r="F80" s="52"/>
      <c r="G80" s="52"/>
      <c r="H80" s="53"/>
      <c r="I80" s="54"/>
      <c r="J80" s="49"/>
    </row>
    <row r="81" spans="1:10" ht="18" customHeight="1" x14ac:dyDescent="0.25">
      <c r="A81" s="28"/>
      <c r="B81" s="28"/>
      <c r="C81" s="28"/>
      <c r="D81" s="28"/>
      <c r="E81" s="52"/>
      <c r="F81" s="52"/>
      <c r="G81" s="52"/>
      <c r="H81" s="53"/>
      <c r="I81" s="54"/>
      <c r="J81" s="49"/>
    </row>
    <row r="82" spans="1:10" ht="18" customHeight="1" x14ac:dyDescent="0.25">
      <c r="A82" s="28"/>
      <c r="B82" s="28"/>
      <c r="C82" s="28"/>
      <c r="D82" s="28"/>
      <c r="E82" s="52"/>
      <c r="F82" s="52"/>
      <c r="G82" s="52"/>
      <c r="H82" s="53"/>
      <c r="I82" s="54"/>
      <c r="J82" s="49"/>
    </row>
    <row r="83" spans="1:10" ht="18" customHeight="1" x14ac:dyDescent="0.25">
      <c r="A83" s="28"/>
      <c r="B83" s="28"/>
      <c r="C83" s="28"/>
      <c r="D83" s="28"/>
      <c r="E83" s="52"/>
      <c r="F83" s="52"/>
      <c r="G83" s="52"/>
      <c r="H83" s="53"/>
      <c r="I83" s="54"/>
      <c r="J83" s="49"/>
    </row>
    <row r="84" spans="1:10" ht="18" customHeight="1" x14ac:dyDescent="0.25">
      <c r="A84" s="28"/>
      <c r="B84" s="28"/>
      <c r="C84" s="28"/>
      <c r="D84" s="28"/>
      <c r="E84" s="52"/>
      <c r="F84" s="52"/>
      <c r="G84" s="52"/>
      <c r="H84" s="53"/>
      <c r="I84" s="54"/>
      <c r="J84" s="49"/>
    </row>
    <row r="85" spans="1:10" ht="18" customHeight="1" x14ac:dyDescent="0.25">
      <c r="A85" s="28"/>
      <c r="B85" s="28"/>
      <c r="C85" s="28"/>
      <c r="D85" s="28"/>
      <c r="E85" s="52"/>
      <c r="F85" s="52"/>
      <c r="G85" s="52"/>
      <c r="H85" s="53"/>
      <c r="I85" s="54"/>
      <c r="J85" s="49"/>
    </row>
    <row r="86" spans="1:10" ht="18" customHeight="1" x14ac:dyDescent="0.25">
      <c r="A86" s="28"/>
      <c r="B86" s="28"/>
      <c r="C86" s="28"/>
      <c r="D86" s="28"/>
      <c r="E86" s="52"/>
      <c r="F86" s="52"/>
      <c r="G86" s="52"/>
      <c r="H86" s="53"/>
      <c r="I86" s="54"/>
      <c r="J86" s="49"/>
    </row>
    <row r="87" spans="1:10" ht="18" customHeight="1" x14ac:dyDescent="0.25">
      <c r="A87" s="28"/>
      <c r="B87" s="28"/>
      <c r="C87" s="28"/>
      <c r="D87" s="28"/>
      <c r="E87" s="52"/>
      <c r="F87" s="52"/>
      <c r="G87" s="52"/>
      <c r="H87" s="53"/>
      <c r="I87" s="54"/>
      <c r="J87" s="49"/>
    </row>
    <row r="88" spans="1:10" ht="18" customHeight="1" x14ac:dyDescent="0.25">
      <c r="A88" s="28"/>
      <c r="B88" s="28"/>
      <c r="C88" s="28"/>
      <c r="D88" s="28"/>
      <c r="E88" s="52"/>
      <c r="F88" s="52"/>
      <c r="G88" s="52"/>
      <c r="H88" s="53"/>
      <c r="I88" s="54"/>
      <c r="J88" s="49"/>
    </row>
    <row r="89" spans="1:10" ht="18" customHeight="1" x14ac:dyDescent="0.25">
      <c r="A89" s="28"/>
      <c r="B89" s="28"/>
      <c r="C89" s="28"/>
      <c r="D89" s="28"/>
      <c r="E89" s="52"/>
      <c r="F89" s="52"/>
      <c r="G89" s="52"/>
      <c r="H89" s="53"/>
      <c r="I89" s="54"/>
      <c r="J89" s="49"/>
    </row>
    <row r="90" spans="1:10" ht="18" customHeight="1" x14ac:dyDescent="0.25">
      <c r="A90" s="28"/>
      <c r="B90" s="28"/>
      <c r="C90" s="28"/>
      <c r="D90" s="28"/>
      <c r="E90" s="52"/>
      <c r="F90" s="52"/>
      <c r="G90" s="52"/>
      <c r="H90" s="53"/>
      <c r="I90" s="54"/>
      <c r="J90" s="49"/>
    </row>
    <row r="91" spans="1:10" ht="18" customHeight="1" x14ac:dyDescent="0.25">
      <c r="A91" s="28"/>
      <c r="B91" s="28"/>
      <c r="C91" s="28"/>
      <c r="D91" s="28"/>
      <c r="E91" s="52"/>
      <c r="F91" s="52"/>
      <c r="G91" s="52"/>
      <c r="H91" s="53"/>
      <c r="I91" s="54"/>
      <c r="J91" s="49"/>
    </row>
    <row r="92" spans="1:10" ht="18" customHeight="1" x14ac:dyDescent="0.25">
      <c r="A92" s="28"/>
      <c r="B92" s="28"/>
      <c r="C92" s="28"/>
      <c r="D92" s="28"/>
      <c r="E92" s="52"/>
      <c r="F92" s="52"/>
      <c r="G92" s="52"/>
      <c r="H92" s="53"/>
      <c r="I92" s="54"/>
      <c r="J92" s="49"/>
    </row>
    <row r="93" spans="1:10" ht="18" customHeight="1" x14ac:dyDescent="0.25">
      <c r="A93" s="28"/>
      <c r="B93" s="28"/>
      <c r="C93" s="28"/>
      <c r="D93" s="28"/>
      <c r="E93" s="52"/>
      <c r="F93" s="52"/>
      <c r="G93" s="52"/>
      <c r="H93" s="53"/>
      <c r="I93" s="54"/>
      <c r="J93" s="49"/>
    </row>
    <row r="94" spans="1:10" ht="18" customHeight="1" x14ac:dyDescent="0.25">
      <c r="A94" s="28"/>
      <c r="B94" s="28"/>
      <c r="C94" s="28"/>
      <c r="D94" s="28"/>
      <c r="E94" s="52"/>
      <c r="F94" s="52"/>
      <c r="G94" s="52"/>
      <c r="H94" s="53"/>
      <c r="I94" s="54"/>
      <c r="J94" s="49"/>
    </row>
    <row r="95" spans="1:10" ht="18" customHeight="1" x14ac:dyDescent="0.25">
      <c r="A95" s="28"/>
      <c r="B95" s="28"/>
      <c r="C95" s="28"/>
      <c r="D95" s="28"/>
      <c r="E95" s="52"/>
      <c r="F95" s="52"/>
      <c r="G95" s="52"/>
      <c r="H95" s="53"/>
      <c r="I95" s="54"/>
      <c r="J95" s="49"/>
    </row>
    <row r="96" spans="1:10" ht="18" customHeight="1" x14ac:dyDescent="0.25">
      <c r="A96" s="28"/>
      <c r="B96" s="28"/>
      <c r="C96" s="28"/>
      <c r="D96" s="28"/>
      <c r="E96" s="52"/>
      <c r="F96" s="52"/>
      <c r="G96" s="52"/>
      <c r="H96" s="53"/>
      <c r="I96" s="54"/>
      <c r="J96" s="49"/>
    </row>
    <row r="97" spans="1:10" ht="18" customHeight="1" x14ac:dyDescent="0.25">
      <c r="A97" s="28"/>
      <c r="B97" s="28"/>
      <c r="C97" s="28"/>
      <c r="D97" s="28"/>
      <c r="E97" s="52"/>
      <c r="F97" s="52"/>
      <c r="G97" s="52"/>
      <c r="H97" s="53"/>
      <c r="I97" s="54"/>
      <c r="J97" s="49"/>
    </row>
    <row r="98" spans="1:10" ht="18" customHeight="1" x14ac:dyDescent="0.25">
      <c r="A98" s="28"/>
      <c r="B98" s="28"/>
      <c r="C98" s="28"/>
      <c r="D98" s="28"/>
      <c r="E98" s="52"/>
      <c r="F98" s="52"/>
      <c r="G98" s="52"/>
      <c r="H98" s="53"/>
      <c r="I98" s="54"/>
      <c r="J98" s="49"/>
    </row>
    <row r="99" spans="1:10" ht="18" customHeight="1" x14ac:dyDescent="0.25">
      <c r="A99" s="28"/>
      <c r="B99" s="28"/>
      <c r="C99" s="28"/>
      <c r="D99" s="28"/>
      <c r="E99" s="52"/>
      <c r="F99" s="52"/>
      <c r="G99" s="52"/>
      <c r="H99" s="53"/>
      <c r="I99" s="54"/>
      <c r="J99" s="49"/>
    </row>
    <row r="100" spans="1:10" ht="18" customHeight="1" x14ac:dyDescent="0.25">
      <c r="A100" s="28"/>
      <c r="B100" s="28"/>
      <c r="C100" s="28"/>
      <c r="D100" s="28"/>
      <c r="E100" s="52"/>
      <c r="F100" s="52"/>
      <c r="G100" s="52"/>
      <c r="H100" s="53"/>
      <c r="I100" s="54"/>
      <c r="J100" s="49"/>
    </row>
    <row r="101" spans="1:10" ht="18" customHeight="1" x14ac:dyDescent="0.25">
      <c r="A101" s="28"/>
      <c r="B101" s="28"/>
      <c r="C101" s="28"/>
      <c r="D101" s="28"/>
      <c r="E101" s="52"/>
      <c r="F101" s="52"/>
      <c r="G101" s="52"/>
      <c r="H101" s="53"/>
      <c r="I101" s="54"/>
      <c r="J101" s="49"/>
    </row>
    <row r="102" spans="1:10" ht="18" customHeight="1" x14ac:dyDescent="0.25">
      <c r="A102" s="28"/>
      <c r="B102" s="28"/>
      <c r="C102" s="28"/>
      <c r="D102" s="28"/>
      <c r="E102" s="52"/>
      <c r="F102" s="52"/>
      <c r="G102" s="52"/>
      <c r="H102" s="53"/>
      <c r="I102" s="54"/>
      <c r="J102" s="49"/>
    </row>
    <row r="103" spans="1:10" ht="18" customHeight="1" x14ac:dyDescent="0.25">
      <c r="A103" s="28"/>
      <c r="B103" s="28"/>
      <c r="C103" s="28"/>
      <c r="D103" s="28"/>
      <c r="E103" s="52"/>
      <c r="F103" s="52"/>
      <c r="G103" s="52"/>
      <c r="H103" s="53"/>
      <c r="I103" s="54"/>
      <c r="J103" s="49"/>
    </row>
    <row r="104" spans="1:10" ht="18" customHeight="1" x14ac:dyDescent="0.25">
      <c r="A104" s="28"/>
      <c r="B104" s="28"/>
      <c r="C104" s="28"/>
      <c r="D104" s="28"/>
      <c r="E104" s="52"/>
      <c r="F104" s="52"/>
      <c r="G104" s="52"/>
      <c r="H104" s="53"/>
      <c r="I104" s="54"/>
      <c r="J104" s="49"/>
    </row>
    <row r="105" spans="1:10" ht="18" customHeight="1" x14ac:dyDescent="0.25">
      <c r="A105" s="28"/>
      <c r="B105" s="28"/>
      <c r="C105" s="28"/>
      <c r="D105" s="28"/>
      <c r="E105" s="52"/>
      <c r="F105" s="52"/>
      <c r="G105" s="52"/>
      <c r="H105" s="53"/>
      <c r="I105" s="54"/>
      <c r="J105" s="49"/>
    </row>
    <row r="106" spans="1:10" ht="18" customHeight="1" x14ac:dyDescent="0.25">
      <c r="A106" s="28"/>
      <c r="B106" s="28"/>
      <c r="C106" s="28"/>
      <c r="D106" s="28"/>
      <c r="E106" s="52"/>
      <c r="F106" s="52"/>
      <c r="G106" s="52"/>
      <c r="H106" s="53"/>
      <c r="I106" s="54"/>
      <c r="J106" s="49"/>
    </row>
    <row r="107" spans="1:10" ht="18" customHeight="1" x14ac:dyDescent="0.25">
      <c r="A107" s="28"/>
      <c r="B107" s="28"/>
      <c r="C107" s="28"/>
      <c r="D107" s="28"/>
      <c r="E107" s="52"/>
      <c r="F107" s="52"/>
      <c r="G107" s="52"/>
      <c r="H107" s="53"/>
      <c r="I107" s="54"/>
      <c r="J107" s="49"/>
    </row>
    <row r="108" spans="1:10" ht="18" customHeight="1" x14ac:dyDescent="0.25">
      <c r="A108" s="28"/>
      <c r="B108" s="28"/>
      <c r="C108" s="28"/>
      <c r="D108" s="28"/>
      <c r="E108" s="52"/>
      <c r="F108" s="52"/>
      <c r="G108" s="52"/>
      <c r="H108" s="53"/>
      <c r="I108" s="54"/>
      <c r="J108" s="49"/>
    </row>
    <row r="109" spans="1:10" ht="18" customHeight="1" x14ac:dyDescent="0.25">
      <c r="A109" s="28"/>
      <c r="B109" s="28"/>
      <c r="C109" s="28"/>
      <c r="D109" s="28"/>
      <c r="E109" s="52"/>
      <c r="F109" s="52"/>
      <c r="G109" s="52"/>
      <c r="H109" s="53"/>
      <c r="I109" s="54"/>
      <c r="J109" s="49"/>
    </row>
    <row r="110" spans="1:10" ht="18" customHeight="1" x14ac:dyDescent="0.25">
      <c r="A110" s="28"/>
      <c r="B110" s="28"/>
      <c r="C110" s="28"/>
      <c r="D110" s="28"/>
      <c r="E110" s="52"/>
      <c r="F110" s="52"/>
      <c r="G110" s="52"/>
      <c r="H110" s="53"/>
      <c r="I110" s="54"/>
      <c r="J110" s="49"/>
    </row>
    <row r="111" spans="1:10" ht="18" customHeight="1" x14ac:dyDescent="0.25">
      <c r="A111" s="28"/>
      <c r="B111" s="28"/>
      <c r="C111" s="28"/>
      <c r="D111" s="28"/>
      <c r="E111" s="52"/>
      <c r="F111" s="52"/>
      <c r="G111" s="52"/>
      <c r="H111" s="53"/>
      <c r="I111" s="54"/>
      <c r="J111" s="49"/>
    </row>
    <row r="112" spans="1:10" ht="18" customHeight="1" x14ac:dyDescent="0.25">
      <c r="A112" s="28"/>
      <c r="B112" s="28"/>
      <c r="C112" s="28"/>
      <c r="D112" s="28"/>
      <c r="E112" s="52"/>
      <c r="F112" s="52"/>
      <c r="G112" s="52"/>
      <c r="H112" s="53"/>
      <c r="I112" s="54"/>
      <c r="J112" s="49"/>
    </row>
    <row r="113" spans="1:10" ht="18" customHeight="1" x14ac:dyDescent="0.25">
      <c r="A113" s="28"/>
      <c r="B113" s="28"/>
      <c r="C113" s="28"/>
      <c r="D113" s="28"/>
      <c r="E113" s="52"/>
      <c r="F113" s="52"/>
      <c r="G113" s="52"/>
      <c r="H113" s="53"/>
      <c r="I113" s="54"/>
      <c r="J113" s="49"/>
    </row>
    <row r="114" spans="1:10" ht="18" customHeight="1" x14ac:dyDescent="0.25">
      <c r="A114" s="28"/>
      <c r="B114" s="28"/>
      <c r="C114" s="28"/>
      <c r="D114" s="28"/>
      <c r="E114" s="52"/>
      <c r="F114" s="52"/>
      <c r="G114" s="52"/>
      <c r="H114" s="53"/>
      <c r="I114" s="54"/>
      <c r="J114" s="49"/>
    </row>
    <row r="115" spans="1:10" ht="18" customHeight="1" x14ac:dyDescent="0.25">
      <c r="A115" s="28"/>
      <c r="B115" s="28"/>
      <c r="C115" s="28"/>
      <c r="D115" s="28"/>
      <c r="E115" s="52"/>
      <c r="F115" s="52"/>
      <c r="G115" s="52"/>
      <c r="H115" s="53"/>
      <c r="I115" s="54"/>
      <c r="J115" s="49"/>
    </row>
    <row r="116" spans="1:10" ht="18" customHeight="1" x14ac:dyDescent="0.25">
      <c r="A116" s="28"/>
      <c r="B116" s="28"/>
      <c r="C116" s="28"/>
      <c r="D116" s="28"/>
      <c r="E116" s="52"/>
      <c r="F116" s="52"/>
      <c r="G116" s="52"/>
      <c r="H116" s="53"/>
      <c r="I116" s="54"/>
      <c r="J116" s="49"/>
    </row>
    <row r="117" spans="1:10" ht="18" customHeight="1" x14ac:dyDescent="0.25">
      <c r="A117" s="28"/>
      <c r="B117" s="28"/>
      <c r="C117" s="28"/>
      <c r="D117" s="28"/>
      <c r="E117" s="52"/>
      <c r="F117" s="52"/>
      <c r="G117" s="52"/>
      <c r="H117" s="53"/>
      <c r="I117" s="54"/>
      <c r="J117" s="49"/>
    </row>
    <row r="118" spans="1:10" ht="18" customHeight="1" x14ac:dyDescent="0.25">
      <c r="A118" s="28"/>
      <c r="B118" s="28"/>
      <c r="C118" s="28"/>
      <c r="D118" s="28"/>
      <c r="E118" s="52"/>
      <c r="F118" s="52"/>
      <c r="G118" s="52"/>
      <c r="H118" s="53"/>
      <c r="I118" s="54"/>
      <c r="J118" s="49"/>
    </row>
    <row r="119" spans="1:10" ht="18" customHeight="1" x14ac:dyDescent="0.25">
      <c r="A119" s="28"/>
      <c r="B119" s="28"/>
      <c r="C119" s="28"/>
      <c r="D119" s="28"/>
      <c r="E119" s="52"/>
      <c r="F119" s="52"/>
      <c r="G119" s="52"/>
      <c r="H119" s="53"/>
      <c r="I119" s="54"/>
      <c r="J119" s="49"/>
    </row>
    <row r="120" spans="1:10" ht="18" customHeight="1" x14ac:dyDescent="0.25">
      <c r="A120" s="28"/>
      <c r="B120" s="28"/>
      <c r="C120" s="28"/>
      <c r="D120" s="28"/>
      <c r="E120" s="52"/>
      <c r="F120" s="52"/>
      <c r="G120" s="52"/>
      <c r="H120" s="53"/>
      <c r="I120" s="54"/>
      <c r="J120" s="49"/>
    </row>
    <row r="121" spans="1:10" ht="18" customHeight="1" x14ac:dyDescent="0.25">
      <c r="A121" s="28"/>
      <c r="B121" s="28"/>
      <c r="C121" s="28"/>
      <c r="D121" s="28"/>
      <c r="E121" s="52"/>
      <c r="F121" s="52"/>
      <c r="G121" s="52"/>
      <c r="H121" s="53"/>
      <c r="I121" s="54"/>
      <c r="J121" s="49"/>
    </row>
    <row r="122" spans="1:10" ht="18" customHeight="1" x14ac:dyDescent="0.25">
      <c r="A122" s="28"/>
      <c r="B122" s="28"/>
      <c r="C122" s="28"/>
      <c r="D122" s="28"/>
      <c r="E122" s="52"/>
      <c r="F122" s="52"/>
      <c r="G122" s="52"/>
      <c r="H122" s="53"/>
      <c r="I122" s="54"/>
      <c r="J122" s="49"/>
    </row>
    <row r="123" spans="1:10" ht="18" customHeight="1" x14ac:dyDescent="0.25">
      <c r="A123" s="28"/>
      <c r="B123" s="28"/>
      <c r="C123" s="28"/>
      <c r="D123" s="28"/>
      <c r="E123" s="52"/>
      <c r="F123" s="52"/>
      <c r="G123" s="52"/>
      <c r="H123" s="53"/>
      <c r="I123" s="54"/>
      <c r="J123" s="49"/>
    </row>
    <row r="124" spans="1:10" ht="18" customHeight="1" x14ac:dyDescent="0.25">
      <c r="A124" s="28"/>
      <c r="B124" s="28"/>
      <c r="C124" s="28"/>
      <c r="D124" s="28"/>
      <c r="E124" s="52"/>
      <c r="F124" s="52"/>
      <c r="G124" s="52"/>
      <c r="H124" s="53"/>
      <c r="I124" s="54"/>
      <c r="J124" s="49"/>
    </row>
    <row r="125" spans="1:10" ht="18" customHeight="1" x14ac:dyDescent="0.25">
      <c r="A125" s="28"/>
      <c r="B125" s="28"/>
      <c r="C125" s="28"/>
      <c r="D125" s="28"/>
      <c r="E125" s="52"/>
      <c r="F125" s="52"/>
      <c r="G125" s="52"/>
      <c r="H125" s="53"/>
      <c r="I125" s="54"/>
      <c r="J125" s="49"/>
    </row>
    <row r="126" spans="1:10" ht="18" customHeight="1" x14ac:dyDescent="0.25">
      <c r="A126" s="28"/>
      <c r="B126" s="28"/>
      <c r="C126" s="28"/>
      <c r="D126" s="28"/>
      <c r="E126" s="52"/>
      <c r="F126" s="52"/>
      <c r="G126" s="52"/>
      <c r="H126" s="53"/>
      <c r="I126" s="54"/>
      <c r="J126" s="49"/>
    </row>
    <row r="127" spans="1:10" ht="18" customHeight="1" x14ac:dyDescent="0.25">
      <c r="A127" s="28"/>
      <c r="B127" s="28"/>
      <c r="C127" s="28"/>
      <c r="D127" s="28"/>
      <c r="E127" s="52"/>
      <c r="F127" s="52"/>
      <c r="G127" s="52"/>
      <c r="H127" s="53"/>
      <c r="I127" s="54"/>
      <c r="J127" s="49"/>
    </row>
    <row r="128" spans="1:10" ht="18" customHeight="1" x14ac:dyDescent="0.25">
      <c r="A128" s="28"/>
      <c r="B128" s="28"/>
      <c r="C128" s="28"/>
      <c r="D128" s="28"/>
      <c r="E128" s="52"/>
      <c r="F128" s="52"/>
      <c r="G128" s="52"/>
      <c r="H128" s="53"/>
      <c r="I128" s="54"/>
      <c r="J128" s="49"/>
    </row>
    <row r="129" spans="1:10" ht="18" customHeight="1" x14ac:dyDescent="0.25">
      <c r="A129" s="28"/>
      <c r="B129" s="28"/>
      <c r="C129" s="28"/>
      <c r="D129" s="28"/>
      <c r="E129" s="52"/>
      <c r="F129" s="52"/>
      <c r="G129" s="52"/>
      <c r="H129" s="53"/>
      <c r="I129" s="54"/>
      <c r="J129" s="49"/>
    </row>
    <row r="130" spans="1:10" ht="18" customHeight="1" x14ac:dyDescent="0.25">
      <c r="A130" s="28"/>
      <c r="B130" s="28"/>
      <c r="C130" s="28"/>
      <c r="D130" s="28"/>
      <c r="E130" s="52"/>
      <c r="F130" s="52"/>
      <c r="G130" s="52"/>
      <c r="H130" s="53"/>
      <c r="I130" s="54"/>
      <c r="J130" s="49"/>
    </row>
    <row r="131" spans="1:10" ht="18" customHeight="1" x14ac:dyDescent="0.25">
      <c r="A131" s="28"/>
      <c r="B131" s="28"/>
      <c r="C131" s="28"/>
      <c r="D131" s="28"/>
      <c r="E131" s="52"/>
      <c r="F131" s="52"/>
      <c r="G131" s="52"/>
      <c r="H131" s="53"/>
      <c r="I131" s="54"/>
      <c r="J131" s="49"/>
    </row>
    <row r="132" spans="1:10" ht="18" customHeight="1" x14ac:dyDescent="0.25">
      <c r="A132" s="28"/>
      <c r="B132" s="28"/>
      <c r="C132" s="28"/>
      <c r="D132" s="28"/>
      <c r="E132" s="52"/>
      <c r="F132" s="52"/>
      <c r="G132" s="52"/>
      <c r="H132" s="53"/>
      <c r="I132" s="54"/>
      <c r="J132" s="49"/>
    </row>
    <row r="133" spans="1:10" ht="18" customHeight="1" x14ac:dyDescent="0.25">
      <c r="A133" s="28"/>
      <c r="B133" s="28"/>
      <c r="C133" s="28"/>
      <c r="D133" s="28"/>
      <c r="E133" s="52"/>
      <c r="F133" s="52"/>
      <c r="G133" s="52"/>
      <c r="H133" s="53"/>
      <c r="I133" s="54"/>
      <c r="J133" s="49"/>
    </row>
    <row r="134" spans="1:10" ht="18" customHeight="1" x14ac:dyDescent="0.25">
      <c r="A134" s="28"/>
      <c r="B134" s="28"/>
      <c r="C134" s="28"/>
      <c r="D134" s="28"/>
      <c r="E134" s="52"/>
      <c r="F134" s="52"/>
      <c r="G134" s="52"/>
      <c r="H134" s="53"/>
      <c r="I134" s="54"/>
      <c r="J134" s="49"/>
    </row>
    <row r="135" spans="1:10" ht="18" customHeight="1" x14ac:dyDescent="0.25">
      <c r="A135" s="28"/>
      <c r="B135" s="28"/>
      <c r="C135" s="28"/>
      <c r="D135" s="28"/>
      <c r="E135" s="52"/>
      <c r="F135" s="52"/>
      <c r="G135" s="52"/>
      <c r="H135" s="53"/>
      <c r="I135" s="54"/>
      <c r="J135" s="49"/>
    </row>
    <row r="136" spans="1:10" ht="18" customHeight="1" x14ac:dyDescent="0.25">
      <c r="A136" s="28"/>
      <c r="B136" s="28"/>
      <c r="C136" s="28"/>
      <c r="D136" s="28"/>
      <c r="E136" s="52"/>
      <c r="F136" s="52"/>
      <c r="G136" s="52"/>
      <c r="H136" s="53"/>
      <c r="I136" s="54"/>
      <c r="J136" s="49"/>
    </row>
    <row r="137" spans="1:10" ht="18" customHeight="1" x14ac:dyDescent="0.25">
      <c r="A137" s="28"/>
      <c r="B137" s="28"/>
      <c r="C137" s="28"/>
      <c r="D137" s="28"/>
      <c r="E137" s="52"/>
      <c r="F137" s="52"/>
      <c r="G137" s="52"/>
      <c r="H137" s="53"/>
      <c r="I137" s="54"/>
      <c r="J137" s="49"/>
    </row>
    <row r="138" spans="1:10" ht="18" customHeight="1" x14ac:dyDescent="0.25">
      <c r="A138" s="28"/>
      <c r="B138" s="28"/>
      <c r="C138" s="28"/>
      <c r="D138" s="28"/>
      <c r="E138" s="52"/>
      <c r="F138" s="52"/>
      <c r="G138" s="52"/>
      <c r="H138" s="53"/>
      <c r="I138" s="54"/>
      <c r="J138" s="49"/>
    </row>
    <row r="139" spans="1:10" ht="18" customHeight="1" x14ac:dyDescent="0.25">
      <c r="A139" s="28"/>
      <c r="B139" s="28"/>
      <c r="C139" s="28"/>
      <c r="D139" s="28"/>
      <c r="E139" s="52"/>
      <c r="F139" s="52"/>
      <c r="G139" s="52"/>
      <c r="H139" s="53"/>
      <c r="I139" s="54"/>
      <c r="J139" s="49"/>
    </row>
    <row r="140" spans="1:10" ht="18" customHeight="1" x14ac:dyDescent="0.25">
      <c r="A140" s="28"/>
      <c r="B140" s="28"/>
      <c r="C140" s="28"/>
      <c r="D140" s="28"/>
      <c r="E140" s="52"/>
      <c r="F140" s="52"/>
      <c r="G140" s="52"/>
      <c r="H140" s="53"/>
      <c r="I140" s="54"/>
      <c r="J140" s="49"/>
    </row>
    <row r="141" spans="1:10" ht="18" customHeight="1" x14ac:dyDescent="0.25">
      <c r="A141" s="28"/>
      <c r="B141" s="28"/>
      <c r="C141" s="28"/>
      <c r="D141" s="28"/>
      <c r="E141" s="52"/>
      <c r="F141" s="52"/>
      <c r="G141" s="52"/>
      <c r="H141" s="53"/>
      <c r="I141" s="54"/>
      <c r="J141" s="49"/>
    </row>
    <row r="142" spans="1:10" ht="18" customHeight="1" x14ac:dyDescent="0.25">
      <c r="A142" s="28"/>
      <c r="B142" s="28"/>
      <c r="C142" s="28"/>
      <c r="D142" s="28"/>
      <c r="E142" s="52"/>
      <c r="F142" s="52"/>
      <c r="G142" s="52"/>
      <c r="H142" s="53"/>
      <c r="I142" s="54"/>
      <c r="J142" s="49"/>
    </row>
    <row r="143" spans="1:10" ht="18" customHeight="1" x14ac:dyDescent="0.25">
      <c r="A143" s="28"/>
      <c r="B143" s="28"/>
      <c r="C143" s="28"/>
      <c r="D143" s="28"/>
      <c r="E143" s="52"/>
      <c r="F143" s="52"/>
      <c r="G143" s="52"/>
      <c r="H143" s="53"/>
      <c r="I143" s="54"/>
      <c r="J143" s="49"/>
    </row>
    <row r="144" spans="1:10" ht="18" customHeight="1" x14ac:dyDescent="0.25">
      <c r="A144" s="28"/>
      <c r="B144" s="28"/>
      <c r="C144" s="28"/>
      <c r="D144" s="28"/>
      <c r="E144" s="52"/>
      <c r="F144" s="52"/>
      <c r="G144" s="52"/>
      <c r="H144" s="53"/>
      <c r="I144" s="54"/>
      <c r="J144" s="49"/>
    </row>
    <row r="145" spans="1:10" ht="18" customHeight="1" x14ac:dyDescent="0.25">
      <c r="A145" s="28"/>
      <c r="B145" s="28"/>
      <c r="C145" s="28"/>
      <c r="D145" s="28"/>
      <c r="E145" s="52"/>
      <c r="F145" s="52"/>
      <c r="G145" s="52"/>
      <c r="H145" s="53"/>
      <c r="I145" s="54"/>
      <c r="J145" s="49"/>
    </row>
    <row r="146" spans="1:10" ht="18" customHeight="1" x14ac:dyDescent="0.25">
      <c r="A146" s="28"/>
      <c r="B146" s="28"/>
      <c r="C146" s="28"/>
      <c r="D146" s="28"/>
      <c r="E146" s="52"/>
      <c r="F146" s="52"/>
      <c r="G146" s="52"/>
      <c r="H146" s="53"/>
      <c r="I146" s="54"/>
      <c r="J146" s="49"/>
    </row>
    <row r="147" spans="1:10" ht="18" customHeight="1" x14ac:dyDescent="0.25">
      <c r="A147" s="28"/>
      <c r="B147" s="28"/>
      <c r="C147" s="28"/>
      <c r="D147" s="28"/>
      <c r="E147" s="52"/>
      <c r="F147" s="52"/>
      <c r="G147" s="52"/>
      <c r="H147" s="53"/>
      <c r="I147" s="54"/>
      <c r="J147" s="49"/>
    </row>
    <row r="148" spans="1:10" ht="18" customHeight="1" x14ac:dyDescent="0.25">
      <c r="A148" s="28"/>
      <c r="B148" s="28"/>
      <c r="C148" s="28"/>
      <c r="D148" s="28"/>
      <c r="E148" s="52"/>
      <c r="F148" s="52"/>
      <c r="G148" s="52"/>
      <c r="H148" s="53"/>
      <c r="I148" s="54"/>
      <c r="J148" s="49"/>
    </row>
    <row r="149" spans="1:10" ht="18" customHeight="1" x14ac:dyDescent="0.25">
      <c r="A149" s="28"/>
      <c r="B149" s="28"/>
      <c r="C149" s="28"/>
      <c r="D149" s="28"/>
      <c r="E149" s="52"/>
      <c r="F149" s="52"/>
      <c r="G149" s="52"/>
      <c r="H149" s="53"/>
      <c r="I149" s="54"/>
      <c r="J149" s="49"/>
    </row>
    <row r="150" spans="1:10" ht="18" customHeight="1" x14ac:dyDescent="0.25">
      <c r="A150" s="28"/>
      <c r="B150" s="28"/>
      <c r="C150" s="28"/>
      <c r="D150" s="28"/>
      <c r="E150" s="52"/>
      <c r="F150" s="52"/>
      <c r="G150" s="52"/>
      <c r="H150" s="53"/>
      <c r="I150" s="54"/>
      <c r="J150" s="49"/>
    </row>
    <row r="151" spans="1:10" ht="18" customHeight="1" x14ac:dyDescent="0.25">
      <c r="A151" s="28"/>
      <c r="B151" s="28"/>
      <c r="C151" s="28"/>
      <c r="D151" s="28"/>
      <c r="E151" s="52"/>
      <c r="F151" s="52"/>
      <c r="G151" s="52"/>
      <c r="H151" s="53"/>
      <c r="I151" s="54"/>
      <c r="J151" s="49"/>
    </row>
    <row r="152" spans="1:10" ht="18" customHeight="1" x14ac:dyDescent="0.25">
      <c r="A152" s="28"/>
      <c r="B152" s="28"/>
      <c r="C152" s="28"/>
      <c r="D152" s="28"/>
      <c r="E152" s="52"/>
      <c r="F152" s="52"/>
      <c r="G152" s="52"/>
      <c r="H152" s="53"/>
      <c r="I152" s="54"/>
      <c r="J152" s="49"/>
    </row>
    <row r="153" spans="1:10" ht="18" customHeight="1" x14ac:dyDescent="0.25">
      <c r="A153" s="28"/>
      <c r="B153" s="28"/>
      <c r="C153" s="28"/>
      <c r="D153" s="28"/>
      <c r="E153" s="52"/>
      <c r="F153" s="52"/>
      <c r="G153" s="52"/>
      <c r="H153" s="53"/>
      <c r="I153" s="54"/>
      <c r="J153" s="49"/>
    </row>
    <row r="154" spans="1:10" ht="18" customHeight="1" x14ac:dyDescent="0.25">
      <c r="A154" s="28"/>
      <c r="B154" s="28"/>
      <c r="C154" s="28"/>
      <c r="D154" s="28"/>
      <c r="E154" s="52"/>
      <c r="F154" s="52"/>
      <c r="G154" s="52"/>
      <c r="H154" s="53"/>
      <c r="I154" s="54"/>
      <c r="J154" s="49"/>
    </row>
    <row r="155" spans="1:10" ht="18" customHeight="1" x14ac:dyDescent="0.25">
      <c r="A155" s="28"/>
      <c r="B155" s="28"/>
      <c r="C155" s="28"/>
      <c r="D155" s="28"/>
      <c r="E155" s="52"/>
      <c r="F155" s="52"/>
      <c r="G155" s="52"/>
      <c r="H155" s="53"/>
      <c r="I155" s="54"/>
      <c r="J155" s="49"/>
    </row>
    <row r="156" spans="1:10" ht="18" customHeight="1" x14ac:dyDescent="0.25">
      <c r="A156" s="28"/>
      <c r="B156" s="28"/>
      <c r="C156" s="28"/>
      <c r="D156" s="28"/>
      <c r="E156" s="52"/>
      <c r="F156" s="52"/>
      <c r="G156" s="52"/>
      <c r="H156" s="53"/>
      <c r="I156" s="54"/>
      <c r="J156" s="49"/>
    </row>
    <row r="157" spans="1:10" ht="18" customHeight="1" x14ac:dyDescent="0.25">
      <c r="A157" s="28"/>
      <c r="B157" s="28"/>
      <c r="C157" s="28"/>
      <c r="D157" s="28"/>
      <c r="E157" s="52"/>
      <c r="F157" s="52"/>
      <c r="G157" s="52"/>
      <c r="H157" s="53"/>
      <c r="I157" s="54"/>
      <c r="J157" s="49"/>
    </row>
    <row r="158" spans="1:10" ht="18" customHeight="1" x14ac:dyDescent="0.25">
      <c r="A158" s="28"/>
      <c r="B158" s="28"/>
      <c r="C158" s="28"/>
      <c r="D158" s="28"/>
      <c r="E158" s="52"/>
      <c r="F158" s="52"/>
      <c r="G158" s="52"/>
      <c r="H158" s="53"/>
      <c r="I158" s="54"/>
      <c r="J158" s="49"/>
    </row>
    <row r="159" spans="1:10" ht="18" customHeight="1" x14ac:dyDescent="0.25">
      <c r="A159" s="28"/>
      <c r="B159" s="28"/>
      <c r="C159" s="28"/>
      <c r="D159" s="28"/>
      <c r="E159" s="52"/>
      <c r="F159" s="52"/>
      <c r="G159" s="52"/>
      <c r="H159" s="53"/>
      <c r="I159" s="54"/>
      <c r="J159" s="49"/>
    </row>
    <row r="160" spans="1:10" ht="18" customHeight="1" x14ac:dyDescent="0.25">
      <c r="A160" s="28"/>
      <c r="B160" s="28"/>
      <c r="C160" s="28"/>
      <c r="D160" s="28"/>
      <c r="E160" s="52"/>
      <c r="F160" s="52"/>
      <c r="G160" s="52"/>
      <c r="H160" s="53"/>
      <c r="I160" s="54"/>
      <c r="J160" s="49"/>
    </row>
    <row r="161" spans="1:10" ht="18" customHeight="1" x14ac:dyDescent="0.25">
      <c r="A161" s="28"/>
      <c r="B161" s="28"/>
      <c r="C161" s="28"/>
      <c r="D161" s="28"/>
      <c r="E161" s="52"/>
      <c r="F161" s="52"/>
      <c r="G161" s="52"/>
      <c r="H161" s="53"/>
      <c r="I161" s="54"/>
      <c r="J161" s="49"/>
    </row>
    <row r="162" spans="1:10" ht="18" customHeight="1" x14ac:dyDescent="0.25">
      <c r="A162" s="28"/>
      <c r="B162" s="28"/>
      <c r="C162" s="28"/>
      <c r="D162" s="28"/>
      <c r="E162" s="52"/>
      <c r="F162" s="52"/>
      <c r="G162" s="52"/>
      <c r="H162" s="53"/>
      <c r="I162" s="54"/>
      <c r="J162" s="49"/>
    </row>
    <row r="163" spans="1:10" ht="18" customHeight="1" x14ac:dyDescent="0.25">
      <c r="A163" s="28"/>
      <c r="B163" s="28"/>
      <c r="C163" s="28"/>
      <c r="D163" s="28"/>
      <c r="E163" s="52"/>
      <c r="F163" s="52"/>
      <c r="G163" s="52"/>
      <c r="H163" s="53"/>
      <c r="I163" s="54"/>
      <c r="J163" s="49"/>
    </row>
    <row r="164" spans="1:10" ht="18" customHeight="1" x14ac:dyDescent="0.25">
      <c r="A164" s="28"/>
      <c r="B164" s="28"/>
      <c r="C164" s="28"/>
      <c r="D164" s="28"/>
      <c r="E164" s="52"/>
      <c r="F164" s="52"/>
      <c r="G164" s="52"/>
      <c r="H164" s="53"/>
      <c r="I164" s="54"/>
      <c r="J164" s="49"/>
    </row>
    <row r="165" spans="1:10" ht="18" customHeight="1" x14ac:dyDescent="0.25">
      <c r="A165" s="28"/>
      <c r="B165" s="28"/>
      <c r="C165" s="28"/>
      <c r="D165" s="28"/>
      <c r="E165" s="52"/>
      <c r="F165" s="52"/>
      <c r="G165" s="52"/>
      <c r="H165" s="53"/>
      <c r="I165" s="54"/>
      <c r="J165" s="49"/>
    </row>
    <row r="166" spans="1:10" ht="18" customHeight="1" x14ac:dyDescent="0.25">
      <c r="A166" s="28"/>
      <c r="B166" s="28"/>
      <c r="C166" s="28"/>
      <c r="D166" s="28"/>
      <c r="E166" s="52"/>
      <c r="F166" s="52"/>
      <c r="G166" s="52"/>
      <c r="H166" s="53"/>
      <c r="I166" s="54"/>
      <c r="J166" s="49"/>
    </row>
    <row r="167" spans="1:10" ht="18" customHeight="1" x14ac:dyDescent="0.25">
      <c r="A167" s="28"/>
      <c r="B167" s="28"/>
      <c r="C167" s="28"/>
      <c r="D167" s="28"/>
      <c r="E167" s="52"/>
      <c r="F167" s="52"/>
      <c r="G167" s="52"/>
      <c r="H167" s="53"/>
      <c r="I167" s="54"/>
      <c r="J167" s="49"/>
    </row>
    <row r="168" spans="1:10" ht="18" customHeight="1" x14ac:dyDescent="0.25">
      <c r="A168" s="28"/>
      <c r="B168" s="28"/>
      <c r="C168" s="28"/>
      <c r="D168" s="28"/>
      <c r="E168" s="52"/>
      <c r="F168" s="52"/>
      <c r="G168" s="52"/>
      <c r="H168" s="53"/>
      <c r="I168" s="54"/>
      <c r="J168" s="49"/>
    </row>
    <row r="169" spans="1:10" ht="18" customHeight="1" x14ac:dyDescent="0.25">
      <c r="A169" s="28"/>
      <c r="B169" s="28"/>
      <c r="C169" s="28"/>
      <c r="D169" s="28"/>
      <c r="E169" s="52"/>
      <c r="F169" s="52"/>
      <c r="G169" s="52"/>
      <c r="H169" s="53"/>
      <c r="I169" s="54"/>
      <c r="J169" s="49"/>
    </row>
    <row r="170" spans="1:10" ht="18" customHeight="1" x14ac:dyDescent="0.25">
      <c r="A170" s="28"/>
      <c r="B170" s="28"/>
      <c r="C170" s="28"/>
      <c r="D170" s="28"/>
      <c r="E170" s="52"/>
      <c r="F170" s="52"/>
      <c r="G170" s="52"/>
      <c r="H170" s="53"/>
      <c r="I170" s="54"/>
      <c r="J170" s="49"/>
    </row>
    <row r="171" spans="1:10" ht="18" customHeight="1" x14ac:dyDescent="0.25">
      <c r="A171" s="28"/>
      <c r="B171" s="28"/>
      <c r="C171" s="28"/>
      <c r="D171" s="28"/>
      <c r="E171" s="52"/>
      <c r="F171" s="52"/>
      <c r="G171" s="52"/>
      <c r="H171" s="53"/>
      <c r="I171" s="54"/>
      <c r="J171" s="49"/>
    </row>
    <row r="172" spans="1:10" ht="18" customHeight="1" x14ac:dyDescent="0.25">
      <c r="A172" s="28"/>
      <c r="B172" s="28"/>
      <c r="C172" s="28"/>
      <c r="D172" s="28"/>
      <c r="E172" s="52"/>
      <c r="F172" s="52"/>
      <c r="G172" s="52"/>
      <c r="H172" s="53"/>
      <c r="I172" s="54"/>
      <c r="J172" s="49"/>
    </row>
    <row r="173" spans="1:10" ht="18" customHeight="1" x14ac:dyDescent="0.25">
      <c r="A173" s="28"/>
      <c r="B173" s="28"/>
      <c r="C173" s="28"/>
      <c r="D173" s="28"/>
      <c r="E173" s="52"/>
      <c r="F173" s="52"/>
      <c r="G173" s="52"/>
      <c r="H173" s="53"/>
      <c r="I173" s="54"/>
      <c r="J173" s="49"/>
    </row>
    <row r="174" spans="1:10" ht="18" customHeight="1" x14ac:dyDescent="0.25">
      <c r="A174" s="28"/>
      <c r="B174" s="28"/>
      <c r="C174" s="28"/>
      <c r="D174" s="28"/>
      <c r="E174" s="52"/>
      <c r="F174" s="52"/>
      <c r="G174" s="52"/>
      <c r="H174" s="53"/>
      <c r="I174" s="54"/>
      <c r="J174" s="49"/>
    </row>
    <row r="175" spans="1:10" ht="18" customHeight="1" x14ac:dyDescent="0.25">
      <c r="A175" s="28"/>
      <c r="B175" s="28"/>
      <c r="C175" s="28"/>
      <c r="D175" s="28"/>
      <c r="E175" s="52"/>
      <c r="F175" s="52"/>
      <c r="G175" s="52"/>
      <c r="H175" s="53"/>
      <c r="I175" s="54"/>
      <c r="J175" s="49"/>
    </row>
    <row r="176" spans="1:10" ht="18" customHeight="1" x14ac:dyDescent="0.25">
      <c r="A176" s="28"/>
      <c r="B176" s="28"/>
      <c r="C176" s="28"/>
      <c r="D176" s="28"/>
      <c r="E176" s="52"/>
      <c r="F176" s="52"/>
      <c r="G176" s="52"/>
      <c r="H176" s="53"/>
      <c r="I176" s="54"/>
      <c r="J176" s="49"/>
    </row>
    <row r="177" spans="1:10" ht="18" customHeight="1" x14ac:dyDescent="0.25">
      <c r="A177" s="28"/>
      <c r="B177" s="28"/>
      <c r="C177" s="28"/>
      <c r="D177" s="28"/>
      <c r="E177" s="52"/>
      <c r="F177" s="52"/>
      <c r="G177" s="52"/>
      <c r="H177" s="53"/>
      <c r="I177" s="54"/>
      <c r="J177" s="49"/>
    </row>
    <row r="178" spans="1:10" ht="18" customHeight="1" x14ac:dyDescent="0.25">
      <c r="A178" s="28"/>
      <c r="B178" s="28"/>
      <c r="C178" s="28"/>
      <c r="D178" s="28"/>
      <c r="E178" s="52"/>
      <c r="F178" s="52"/>
      <c r="G178" s="52"/>
      <c r="H178" s="53"/>
      <c r="I178" s="54"/>
      <c r="J178" s="49"/>
    </row>
    <row r="179" spans="1:10" ht="18" customHeight="1" x14ac:dyDescent="0.25">
      <c r="A179" s="28"/>
      <c r="B179" s="28"/>
      <c r="C179" s="28"/>
      <c r="D179" s="28"/>
      <c r="E179" s="52"/>
      <c r="F179" s="52"/>
      <c r="G179" s="52"/>
      <c r="H179" s="53"/>
      <c r="I179" s="54"/>
      <c r="J179" s="49"/>
    </row>
    <row r="180" spans="1:10" ht="18" customHeight="1" x14ac:dyDescent="0.25">
      <c r="A180" s="28"/>
      <c r="B180" s="28"/>
      <c r="C180" s="28"/>
      <c r="D180" s="28"/>
      <c r="E180" s="52"/>
      <c r="F180" s="52"/>
      <c r="G180" s="52"/>
      <c r="H180" s="53"/>
      <c r="I180" s="54"/>
      <c r="J180" s="49"/>
    </row>
    <row r="181" spans="1:10" ht="18" customHeight="1" x14ac:dyDescent="0.25">
      <c r="A181" s="28"/>
      <c r="B181" s="28"/>
      <c r="C181" s="28"/>
      <c r="D181" s="28"/>
      <c r="E181" s="52"/>
      <c r="F181" s="52"/>
      <c r="G181" s="52"/>
      <c r="H181" s="53"/>
      <c r="I181" s="54"/>
      <c r="J181" s="49"/>
    </row>
    <row r="182" spans="1:10" ht="18" customHeight="1" x14ac:dyDescent="0.25">
      <c r="A182" s="28"/>
      <c r="B182" s="28"/>
      <c r="C182" s="28"/>
      <c r="D182" s="28"/>
      <c r="E182" s="52"/>
      <c r="F182" s="52"/>
      <c r="G182" s="52"/>
      <c r="H182" s="53"/>
      <c r="I182" s="54"/>
      <c r="J182" s="49"/>
    </row>
    <row r="183" spans="1:10" ht="18" customHeight="1" x14ac:dyDescent="0.25">
      <c r="A183" s="28"/>
      <c r="B183" s="28"/>
      <c r="C183" s="28"/>
      <c r="D183" s="28"/>
      <c r="E183" s="52"/>
      <c r="F183" s="52"/>
      <c r="G183" s="52"/>
      <c r="H183" s="53"/>
      <c r="I183" s="54"/>
      <c r="J183" s="49"/>
    </row>
    <row r="184" spans="1:10" ht="18" customHeight="1" x14ac:dyDescent="0.25">
      <c r="A184" s="28"/>
      <c r="B184" s="28"/>
      <c r="C184" s="28"/>
      <c r="D184" s="28"/>
      <c r="E184" s="52"/>
      <c r="F184" s="52"/>
      <c r="G184" s="52"/>
      <c r="H184" s="53"/>
      <c r="I184" s="54"/>
      <c r="J184" s="49"/>
    </row>
    <row r="185" spans="1:10" ht="18" customHeight="1" x14ac:dyDescent="0.25">
      <c r="A185" s="28"/>
      <c r="B185" s="28"/>
      <c r="C185" s="28"/>
      <c r="D185" s="28"/>
      <c r="E185" s="52"/>
      <c r="F185" s="52"/>
      <c r="G185" s="52"/>
      <c r="H185" s="53"/>
      <c r="I185" s="54"/>
      <c r="J185" s="49"/>
    </row>
    <row r="186" spans="1:10" ht="18" customHeight="1" x14ac:dyDescent="0.25">
      <c r="A186" s="28"/>
      <c r="B186" s="28"/>
      <c r="C186" s="28"/>
      <c r="D186" s="28"/>
      <c r="E186" s="52"/>
      <c r="F186" s="52"/>
      <c r="G186" s="52"/>
      <c r="H186" s="53"/>
      <c r="I186" s="54"/>
      <c r="J186" s="49"/>
    </row>
    <row r="187" spans="1:10" ht="18" customHeight="1" x14ac:dyDescent="0.25">
      <c r="A187" s="28"/>
      <c r="B187" s="28"/>
      <c r="C187" s="28"/>
      <c r="D187" s="28"/>
      <c r="E187" s="52"/>
      <c r="F187" s="52"/>
      <c r="G187" s="52"/>
      <c r="H187" s="53"/>
      <c r="I187" s="54"/>
      <c r="J187" s="49"/>
    </row>
    <row r="188" spans="1:10" ht="18" customHeight="1" x14ac:dyDescent="0.25">
      <c r="A188" s="28"/>
      <c r="B188" s="28"/>
      <c r="C188" s="28"/>
      <c r="D188" s="28"/>
      <c r="E188" s="52"/>
      <c r="F188" s="52"/>
      <c r="G188" s="52"/>
      <c r="H188" s="53"/>
      <c r="I188" s="54"/>
      <c r="J188" s="49"/>
    </row>
    <row r="189" spans="1:10" ht="18" customHeight="1" x14ac:dyDescent="0.25">
      <c r="A189" s="28"/>
      <c r="B189" s="28"/>
      <c r="C189" s="28"/>
      <c r="D189" s="28"/>
      <c r="E189" s="52"/>
      <c r="F189" s="52"/>
      <c r="G189" s="52"/>
      <c r="H189" s="53"/>
      <c r="I189" s="54"/>
      <c r="J189" s="49"/>
    </row>
    <row r="190" spans="1:10" ht="18" customHeight="1" x14ac:dyDescent="0.25">
      <c r="A190" s="28"/>
      <c r="B190" s="28"/>
      <c r="C190" s="28"/>
      <c r="D190" s="28"/>
      <c r="E190" s="52"/>
      <c r="F190" s="52"/>
      <c r="G190" s="52"/>
      <c r="H190" s="53"/>
      <c r="I190" s="54"/>
      <c r="J190" s="49"/>
    </row>
    <row r="191" spans="1:10" ht="18" customHeight="1" x14ac:dyDescent="0.25">
      <c r="A191" s="28"/>
      <c r="B191" s="28"/>
      <c r="C191" s="28"/>
      <c r="D191" s="28"/>
      <c r="E191" s="52"/>
      <c r="F191" s="52"/>
      <c r="G191" s="52"/>
      <c r="H191" s="53"/>
      <c r="I191" s="54"/>
      <c r="J191" s="49"/>
    </row>
    <row r="192" spans="1:10" ht="18" customHeight="1" x14ac:dyDescent="0.25">
      <c r="A192" s="28"/>
      <c r="B192" s="28"/>
      <c r="C192" s="28"/>
      <c r="D192" s="28"/>
      <c r="E192" s="52"/>
      <c r="F192" s="52"/>
      <c r="G192" s="52"/>
      <c r="H192" s="53"/>
      <c r="I192" s="54"/>
      <c r="J192" s="49"/>
    </row>
    <row r="193" spans="1:10" ht="18" customHeight="1" x14ac:dyDescent="0.25">
      <c r="A193" s="28"/>
      <c r="B193" s="28"/>
      <c r="C193" s="28"/>
      <c r="D193" s="28"/>
      <c r="E193" s="52"/>
      <c r="F193" s="52"/>
      <c r="G193" s="52"/>
      <c r="H193" s="53"/>
      <c r="I193" s="54"/>
      <c r="J193" s="49"/>
    </row>
    <row r="194" spans="1:10" ht="18" customHeight="1" x14ac:dyDescent="0.25">
      <c r="A194" s="28"/>
      <c r="B194" s="28"/>
      <c r="C194" s="28"/>
      <c r="D194" s="28"/>
      <c r="E194" s="52"/>
      <c r="F194" s="52"/>
      <c r="G194" s="52"/>
      <c r="H194" s="53"/>
      <c r="I194" s="54"/>
      <c r="J194" s="49"/>
    </row>
    <row r="195" spans="1:10" ht="18" customHeight="1" x14ac:dyDescent="0.25">
      <c r="A195" s="28"/>
      <c r="B195" s="28"/>
      <c r="C195" s="28"/>
      <c r="D195" s="28"/>
      <c r="E195" s="52"/>
      <c r="F195" s="52"/>
      <c r="G195" s="52"/>
      <c r="H195" s="53"/>
      <c r="I195" s="54"/>
      <c r="J195" s="49"/>
    </row>
    <row r="196" spans="1:10" ht="18" customHeight="1" x14ac:dyDescent="0.25">
      <c r="A196" s="28"/>
      <c r="B196" s="28"/>
      <c r="C196" s="28"/>
      <c r="D196" s="28"/>
      <c r="E196" s="52"/>
      <c r="F196" s="52"/>
      <c r="G196" s="52"/>
      <c r="H196" s="53"/>
      <c r="I196" s="54"/>
      <c r="J196" s="49"/>
    </row>
    <row r="197" spans="1:10" ht="18" customHeight="1" x14ac:dyDescent="0.25">
      <c r="A197" s="28"/>
      <c r="B197" s="28"/>
      <c r="C197" s="28"/>
      <c r="D197" s="28"/>
      <c r="E197" s="52"/>
      <c r="F197" s="52"/>
      <c r="G197" s="52"/>
      <c r="H197" s="53"/>
      <c r="I197" s="54"/>
      <c r="J197" s="49"/>
    </row>
    <row r="198" spans="1:10" ht="18" customHeight="1" x14ac:dyDescent="0.25">
      <c r="A198" s="28"/>
      <c r="B198" s="28"/>
      <c r="C198" s="28"/>
      <c r="D198" s="28"/>
      <c r="E198" s="52"/>
      <c r="F198" s="52"/>
      <c r="G198" s="52"/>
      <c r="H198" s="53"/>
      <c r="I198" s="54"/>
      <c r="J198" s="49"/>
    </row>
    <row r="199" spans="1:10" ht="18" customHeight="1" x14ac:dyDescent="0.25">
      <c r="A199" s="28"/>
      <c r="B199" s="28"/>
      <c r="C199" s="28"/>
      <c r="D199" s="28"/>
      <c r="E199" s="52"/>
      <c r="F199" s="52"/>
      <c r="G199" s="52"/>
      <c r="H199" s="53"/>
      <c r="I199" s="54"/>
      <c r="J199" s="49"/>
    </row>
    <row r="200" spans="1:10" ht="18" customHeight="1" x14ac:dyDescent="0.25">
      <c r="A200" s="28"/>
      <c r="B200" s="28"/>
      <c r="C200" s="28"/>
      <c r="D200" s="28"/>
      <c r="E200" s="52"/>
      <c r="F200" s="52"/>
      <c r="G200" s="52"/>
      <c r="H200" s="53"/>
      <c r="I200" s="54"/>
      <c r="J200" s="49"/>
    </row>
    <row r="201" spans="1:10" ht="18" customHeight="1" x14ac:dyDescent="0.25">
      <c r="A201" s="28"/>
      <c r="B201" s="28"/>
      <c r="C201" s="28"/>
      <c r="D201" s="28"/>
      <c r="E201" s="52"/>
      <c r="F201" s="52"/>
      <c r="G201" s="52"/>
      <c r="H201" s="53"/>
      <c r="I201" s="54"/>
      <c r="J201" s="49"/>
    </row>
    <row r="202" spans="1:10" ht="18" customHeight="1" x14ac:dyDescent="0.25">
      <c r="A202" s="28"/>
      <c r="B202" s="28"/>
      <c r="C202" s="28"/>
      <c r="D202" s="28"/>
      <c r="E202" s="52"/>
      <c r="F202" s="52"/>
      <c r="G202" s="52"/>
      <c r="H202" s="53"/>
      <c r="I202" s="54"/>
      <c r="J202" s="49"/>
    </row>
    <row r="203" spans="1:10" ht="18" customHeight="1" x14ac:dyDescent="0.25">
      <c r="A203" s="28"/>
      <c r="B203" s="28"/>
      <c r="C203" s="28"/>
      <c r="D203" s="28"/>
      <c r="E203" s="52"/>
      <c r="F203" s="52"/>
      <c r="G203" s="52"/>
      <c r="H203" s="53"/>
      <c r="I203" s="54"/>
      <c r="J203" s="49"/>
    </row>
    <row r="204" spans="1:10" ht="18" customHeight="1" x14ac:dyDescent="0.25">
      <c r="A204" s="28"/>
      <c r="B204" s="28"/>
      <c r="C204" s="28"/>
      <c r="D204" s="28"/>
      <c r="E204" s="52"/>
      <c r="F204" s="52"/>
      <c r="G204" s="52"/>
      <c r="H204" s="53"/>
      <c r="I204" s="54"/>
      <c r="J204" s="49"/>
    </row>
    <row r="205" spans="1:10" ht="18" customHeight="1" x14ac:dyDescent="0.25">
      <c r="A205" s="28"/>
      <c r="B205" s="28"/>
      <c r="C205" s="28"/>
      <c r="D205" s="28"/>
      <c r="E205" s="52"/>
      <c r="F205" s="52"/>
      <c r="G205" s="52"/>
      <c r="H205" s="53"/>
      <c r="I205" s="54"/>
      <c r="J205" s="49"/>
    </row>
    <row r="206" spans="1:10" ht="18" customHeight="1" x14ac:dyDescent="0.25">
      <c r="A206" s="28"/>
      <c r="B206" s="28"/>
      <c r="C206" s="28"/>
      <c r="D206" s="28"/>
      <c r="E206" s="52"/>
      <c r="F206" s="52"/>
      <c r="G206" s="52"/>
      <c r="H206" s="53"/>
      <c r="I206" s="54"/>
      <c r="J206" s="49"/>
    </row>
    <row r="207" spans="1:10" ht="18" customHeight="1" x14ac:dyDescent="0.25">
      <c r="A207" s="28"/>
      <c r="B207" s="28"/>
      <c r="C207" s="28"/>
      <c r="D207" s="28"/>
      <c r="E207" s="52"/>
      <c r="F207" s="52"/>
      <c r="G207" s="52"/>
      <c r="H207" s="53"/>
      <c r="I207" s="54"/>
      <c r="J207" s="49"/>
    </row>
    <row r="208" spans="1:10" ht="18" customHeight="1" x14ac:dyDescent="0.25">
      <c r="A208" s="28"/>
      <c r="B208" s="28"/>
      <c r="C208" s="28"/>
      <c r="D208" s="28"/>
      <c r="E208" s="52"/>
      <c r="F208" s="52"/>
      <c r="G208" s="52"/>
      <c r="H208" s="53"/>
      <c r="I208" s="54"/>
      <c r="J208" s="49"/>
    </row>
    <row r="209" spans="1:10" ht="18" customHeight="1" x14ac:dyDescent="0.25">
      <c r="A209" s="28"/>
      <c r="B209" s="28"/>
      <c r="C209" s="28"/>
      <c r="D209" s="28"/>
      <c r="E209" s="52"/>
      <c r="F209" s="52"/>
      <c r="G209" s="52"/>
      <c r="H209" s="53"/>
      <c r="I209" s="54"/>
      <c r="J209" s="49"/>
    </row>
    <row r="210" spans="1:10" ht="18" customHeight="1" x14ac:dyDescent="0.25">
      <c r="A210" s="28"/>
      <c r="B210" s="28"/>
      <c r="C210" s="28"/>
      <c r="D210" s="28"/>
      <c r="E210" s="52"/>
      <c r="F210" s="52"/>
      <c r="G210" s="52"/>
      <c r="H210" s="53"/>
      <c r="I210" s="54"/>
      <c r="J210" s="49"/>
    </row>
    <row r="211" spans="1:10" ht="18" customHeight="1" x14ac:dyDescent="0.25">
      <c r="A211" s="28"/>
      <c r="B211" s="28"/>
      <c r="C211" s="28"/>
      <c r="D211" s="28"/>
      <c r="E211" s="52"/>
      <c r="F211" s="52"/>
      <c r="G211" s="52"/>
      <c r="H211" s="53"/>
      <c r="I211" s="54"/>
      <c r="J211" s="49"/>
    </row>
    <row r="212" spans="1:10" ht="18" customHeight="1" x14ac:dyDescent="0.25">
      <c r="A212" s="28"/>
      <c r="B212" s="28"/>
      <c r="C212" s="28"/>
      <c r="D212" s="28"/>
      <c r="E212" s="52"/>
      <c r="F212" s="52"/>
      <c r="G212" s="52"/>
      <c r="H212" s="53"/>
      <c r="I212" s="54"/>
      <c r="J212" s="49"/>
    </row>
    <row r="213" spans="1:10" ht="18" customHeight="1" x14ac:dyDescent="0.25">
      <c r="A213" s="28"/>
      <c r="B213" s="28"/>
      <c r="C213" s="28"/>
      <c r="D213" s="28"/>
      <c r="E213" s="52"/>
      <c r="F213" s="52"/>
      <c r="G213" s="52"/>
      <c r="H213" s="53"/>
      <c r="I213" s="54"/>
      <c r="J213" s="49"/>
    </row>
    <row r="214" spans="1:10" ht="18" customHeight="1" x14ac:dyDescent="0.25">
      <c r="A214" s="28"/>
      <c r="B214" s="28"/>
      <c r="C214" s="28"/>
      <c r="D214" s="28"/>
      <c r="E214" s="52"/>
      <c r="F214" s="52"/>
      <c r="G214" s="52"/>
      <c r="H214" s="53"/>
      <c r="I214" s="54"/>
      <c r="J214" s="49"/>
    </row>
    <row r="215" spans="1:10" ht="18" customHeight="1" x14ac:dyDescent="0.25">
      <c r="A215" s="28"/>
      <c r="B215" s="28"/>
      <c r="C215" s="28"/>
      <c r="D215" s="28"/>
      <c r="E215" s="52"/>
      <c r="F215" s="52"/>
      <c r="G215" s="52"/>
      <c r="H215" s="53"/>
      <c r="I215" s="54"/>
      <c r="J215" s="49"/>
    </row>
    <row r="216" spans="1:10" ht="18" customHeight="1" x14ac:dyDescent="0.25">
      <c r="A216" s="28"/>
      <c r="B216" s="28"/>
      <c r="C216" s="28"/>
      <c r="D216" s="28"/>
      <c r="E216" s="52"/>
      <c r="F216" s="52"/>
      <c r="G216" s="52"/>
      <c r="H216" s="53"/>
      <c r="I216" s="54"/>
      <c r="J216" s="49"/>
    </row>
    <row r="217" spans="1:10" ht="18" customHeight="1" x14ac:dyDescent="0.25">
      <c r="A217" s="28"/>
      <c r="B217" s="28"/>
      <c r="C217" s="28"/>
      <c r="D217" s="28"/>
      <c r="E217" s="52"/>
      <c r="F217" s="52"/>
      <c r="G217" s="52"/>
      <c r="H217" s="53"/>
      <c r="I217" s="54"/>
      <c r="J217" s="49"/>
    </row>
    <row r="218" spans="1:10" ht="18" customHeight="1" x14ac:dyDescent="0.25">
      <c r="A218" s="28"/>
      <c r="B218" s="28"/>
      <c r="C218" s="28"/>
      <c r="D218" s="28"/>
      <c r="E218" s="52"/>
      <c r="F218" s="52"/>
      <c r="G218" s="52"/>
      <c r="H218" s="53"/>
      <c r="I218" s="54"/>
      <c r="J218" s="49"/>
    </row>
    <row r="219" spans="1:10" ht="18" customHeight="1" x14ac:dyDescent="0.25">
      <c r="A219" s="28"/>
      <c r="B219" s="28"/>
      <c r="C219" s="28"/>
      <c r="D219" s="28"/>
      <c r="E219" s="52"/>
      <c r="F219" s="52"/>
      <c r="G219" s="52"/>
      <c r="H219" s="53"/>
      <c r="I219" s="54"/>
      <c r="J219" s="49"/>
    </row>
    <row r="220" spans="1:10" ht="18" customHeight="1" x14ac:dyDescent="0.25">
      <c r="A220" s="28"/>
      <c r="B220" s="28"/>
      <c r="C220" s="28"/>
      <c r="D220" s="28"/>
      <c r="E220" s="52"/>
      <c r="F220" s="52"/>
      <c r="G220" s="52"/>
      <c r="H220" s="53"/>
      <c r="I220" s="54"/>
      <c r="J220" s="49"/>
    </row>
    <row r="221" spans="1:10" ht="18" customHeight="1" x14ac:dyDescent="0.25">
      <c r="A221" s="28"/>
      <c r="B221" s="28"/>
      <c r="C221" s="28"/>
      <c r="D221" s="28"/>
      <c r="E221" s="52"/>
      <c r="F221" s="52"/>
      <c r="G221" s="52"/>
      <c r="H221" s="53"/>
      <c r="I221" s="54"/>
      <c r="J221" s="49"/>
    </row>
    <row r="222" spans="1:10" ht="18" customHeight="1" x14ac:dyDescent="0.25">
      <c r="A222" s="28"/>
      <c r="B222" s="28"/>
      <c r="C222" s="28"/>
      <c r="D222" s="28"/>
      <c r="E222" s="52"/>
      <c r="F222" s="52"/>
      <c r="G222" s="52"/>
      <c r="H222" s="53"/>
      <c r="I222" s="54"/>
      <c r="J222" s="49"/>
    </row>
    <row r="223" spans="1:10" ht="18" customHeight="1" x14ac:dyDescent="0.25">
      <c r="A223" s="28"/>
      <c r="B223" s="28"/>
      <c r="C223" s="28"/>
      <c r="D223" s="28"/>
      <c r="E223" s="52"/>
      <c r="F223" s="52"/>
      <c r="G223" s="52"/>
      <c r="H223" s="53"/>
      <c r="I223" s="54"/>
      <c r="J223" s="49"/>
    </row>
    <row r="224" spans="1:10" ht="18" customHeight="1" x14ac:dyDescent="0.25">
      <c r="A224" s="28"/>
      <c r="B224" s="28"/>
      <c r="C224" s="28"/>
      <c r="D224" s="28"/>
      <c r="E224" s="52"/>
      <c r="F224" s="52"/>
      <c r="G224" s="52"/>
      <c r="H224" s="53"/>
      <c r="I224" s="54"/>
      <c r="J224" s="49"/>
    </row>
    <row r="225" spans="1:10" ht="18" customHeight="1" x14ac:dyDescent="0.25">
      <c r="A225" s="28"/>
      <c r="B225" s="28"/>
      <c r="C225" s="28"/>
      <c r="D225" s="28"/>
      <c r="E225" s="52"/>
      <c r="F225" s="52"/>
      <c r="G225" s="52"/>
      <c r="H225" s="53"/>
      <c r="I225" s="54"/>
      <c r="J225" s="49"/>
    </row>
    <row r="226" spans="1:10" ht="18" customHeight="1" x14ac:dyDescent="0.25">
      <c r="A226" s="28"/>
      <c r="B226" s="28"/>
      <c r="C226" s="28"/>
      <c r="D226" s="28"/>
      <c r="E226" s="52"/>
      <c r="F226" s="52"/>
      <c r="G226" s="52"/>
      <c r="H226" s="53"/>
      <c r="I226" s="54"/>
      <c r="J226" s="49"/>
    </row>
    <row r="227" spans="1:10" ht="18" customHeight="1" x14ac:dyDescent="0.25">
      <c r="A227" s="28"/>
      <c r="B227" s="28"/>
      <c r="C227" s="28"/>
      <c r="D227" s="28"/>
      <c r="E227" s="52"/>
      <c r="F227" s="52"/>
      <c r="G227" s="52"/>
      <c r="H227" s="53"/>
      <c r="I227" s="54"/>
      <c r="J227" s="49"/>
    </row>
    <row r="228" spans="1:10" ht="18" customHeight="1" x14ac:dyDescent="0.25">
      <c r="A228" s="28"/>
      <c r="B228" s="28"/>
      <c r="C228" s="28"/>
      <c r="D228" s="28"/>
      <c r="E228" s="52"/>
      <c r="F228" s="52"/>
      <c r="G228" s="52"/>
      <c r="H228" s="53"/>
      <c r="I228" s="54"/>
      <c r="J228" s="49"/>
    </row>
    <row r="229" spans="1:10" ht="18" customHeight="1" x14ac:dyDescent="0.25">
      <c r="A229" s="28"/>
      <c r="B229" s="28"/>
      <c r="C229" s="28"/>
      <c r="D229" s="28"/>
      <c r="E229" s="52"/>
      <c r="F229" s="52"/>
      <c r="G229" s="52"/>
      <c r="H229" s="53"/>
      <c r="I229" s="54"/>
      <c r="J229" s="49"/>
    </row>
    <row r="230" spans="1:10" ht="18" customHeight="1" x14ac:dyDescent="0.25">
      <c r="A230" s="28"/>
      <c r="B230" s="28"/>
      <c r="C230" s="28"/>
      <c r="D230" s="28"/>
      <c r="E230" s="52"/>
      <c r="F230" s="52"/>
      <c r="G230" s="52"/>
      <c r="H230" s="53"/>
      <c r="I230" s="54"/>
      <c r="J230" s="49"/>
    </row>
    <row r="231" spans="1:10" ht="18" customHeight="1" x14ac:dyDescent="0.25">
      <c r="A231" s="28"/>
      <c r="B231" s="28"/>
      <c r="C231" s="28"/>
      <c r="D231" s="28"/>
      <c r="E231" s="52"/>
      <c r="F231" s="52"/>
      <c r="G231" s="52"/>
      <c r="H231" s="53"/>
      <c r="I231" s="54"/>
      <c r="J231" s="49"/>
    </row>
    <row r="232" spans="1:10" ht="18" customHeight="1" x14ac:dyDescent="0.25">
      <c r="A232" s="28"/>
      <c r="B232" s="28"/>
      <c r="C232" s="28"/>
      <c r="D232" s="28"/>
      <c r="E232" s="52"/>
      <c r="F232" s="52"/>
      <c r="G232" s="52"/>
      <c r="H232" s="53"/>
      <c r="I232" s="54"/>
      <c r="J232" s="49"/>
    </row>
    <row r="233" spans="1:10" ht="18" customHeight="1" x14ac:dyDescent="0.25">
      <c r="A233" s="28"/>
      <c r="B233" s="28"/>
      <c r="C233" s="28"/>
      <c r="D233" s="28"/>
      <c r="E233" s="52"/>
      <c r="F233" s="52"/>
      <c r="G233" s="52"/>
      <c r="H233" s="53"/>
      <c r="I233" s="54"/>
      <c r="J233" s="49"/>
    </row>
    <row r="234" spans="1:10" ht="18" customHeight="1" x14ac:dyDescent="0.25">
      <c r="A234" s="28"/>
      <c r="B234" s="28"/>
      <c r="C234" s="28"/>
      <c r="D234" s="28"/>
      <c r="E234" s="52"/>
      <c r="F234" s="52"/>
      <c r="G234" s="52"/>
      <c r="H234" s="53"/>
      <c r="I234" s="54"/>
      <c r="J234" s="49"/>
    </row>
    <row r="235" spans="1:10" ht="18" customHeight="1" x14ac:dyDescent="0.25">
      <c r="A235" s="28"/>
      <c r="B235" s="28"/>
      <c r="C235" s="28"/>
      <c r="D235" s="28"/>
      <c r="E235" s="52"/>
      <c r="F235" s="52"/>
      <c r="G235" s="52"/>
      <c r="H235" s="53"/>
      <c r="I235" s="54"/>
      <c r="J235" s="49"/>
    </row>
    <row r="236" spans="1:10" ht="18" customHeight="1" x14ac:dyDescent="0.25">
      <c r="A236" s="28"/>
      <c r="B236" s="28"/>
      <c r="C236" s="28"/>
      <c r="D236" s="28"/>
      <c r="E236" s="52"/>
      <c r="F236" s="52"/>
      <c r="G236" s="52"/>
      <c r="H236" s="53"/>
      <c r="I236" s="54"/>
      <c r="J236" s="49"/>
    </row>
    <row r="237" spans="1:10" ht="18" customHeight="1" x14ac:dyDescent="0.25">
      <c r="A237" s="28"/>
      <c r="B237" s="28"/>
      <c r="C237" s="28"/>
      <c r="D237" s="28"/>
      <c r="E237" s="52"/>
      <c r="F237" s="52"/>
      <c r="G237" s="52"/>
      <c r="H237" s="53"/>
      <c r="I237" s="54"/>
      <c r="J237" s="49"/>
    </row>
    <row r="238" spans="1:10" ht="18" customHeight="1" x14ac:dyDescent="0.25">
      <c r="A238" s="28"/>
      <c r="B238" s="28"/>
      <c r="C238" s="28"/>
      <c r="D238" s="28"/>
      <c r="E238" s="52"/>
      <c r="F238" s="52"/>
      <c r="G238" s="52"/>
      <c r="H238" s="53"/>
      <c r="I238" s="54"/>
      <c r="J238" s="49"/>
    </row>
    <row r="239" spans="1:10" ht="18" customHeight="1" x14ac:dyDescent="0.25">
      <c r="A239" s="28"/>
      <c r="B239" s="28"/>
      <c r="C239" s="28"/>
      <c r="D239" s="28"/>
      <c r="E239" s="52"/>
      <c r="F239" s="52"/>
      <c r="G239" s="52"/>
      <c r="H239" s="53"/>
      <c r="I239" s="54"/>
      <c r="J239" s="49"/>
    </row>
    <row r="240" spans="1:10" ht="18" customHeight="1" x14ac:dyDescent="0.25">
      <c r="A240" s="28"/>
      <c r="B240" s="28"/>
      <c r="C240" s="28"/>
      <c r="D240" s="28"/>
      <c r="E240" s="52"/>
      <c r="F240" s="52"/>
      <c r="G240" s="52"/>
      <c r="H240" s="53"/>
      <c r="I240" s="54"/>
      <c r="J240" s="49"/>
    </row>
    <row r="241" spans="1:10" ht="18" customHeight="1" x14ac:dyDescent="0.25">
      <c r="A241" s="28"/>
      <c r="B241" s="28"/>
      <c r="C241" s="28"/>
      <c r="D241" s="28"/>
      <c r="E241" s="52"/>
      <c r="F241" s="52"/>
      <c r="G241" s="52"/>
      <c r="H241" s="53"/>
      <c r="I241" s="54"/>
      <c r="J241" s="49"/>
    </row>
    <row r="242" spans="1:10" ht="18" customHeight="1" x14ac:dyDescent="0.25">
      <c r="A242" s="28"/>
      <c r="B242" s="28"/>
      <c r="C242" s="28"/>
      <c r="D242" s="28"/>
      <c r="E242" s="52"/>
      <c r="F242" s="52"/>
      <c r="G242" s="52"/>
      <c r="H242" s="53"/>
      <c r="I242" s="54"/>
      <c r="J242" s="49"/>
    </row>
    <row r="243" spans="1:10" ht="18" customHeight="1" x14ac:dyDescent="0.25">
      <c r="A243" s="28"/>
      <c r="B243" s="28"/>
      <c r="C243" s="28"/>
      <c r="D243" s="28"/>
      <c r="E243" s="52"/>
      <c r="F243" s="52"/>
      <c r="G243" s="52"/>
      <c r="H243" s="53"/>
      <c r="I243" s="54"/>
      <c r="J243" s="49"/>
    </row>
    <row r="244" spans="1:10" ht="18" customHeight="1" x14ac:dyDescent="0.25">
      <c r="A244" s="28"/>
      <c r="B244" s="28"/>
      <c r="C244" s="28"/>
      <c r="D244" s="28"/>
      <c r="E244" s="52"/>
      <c r="F244" s="52"/>
      <c r="G244" s="52"/>
      <c r="H244" s="53"/>
      <c r="I244" s="54"/>
      <c r="J244" s="49"/>
    </row>
    <row r="245" spans="1:10" ht="18" customHeight="1" x14ac:dyDescent="0.25">
      <c r="A245" s="28"/>
      <c r="B245" s="28"/>
      <c r="C245" s="28"/>
      <c r="D245" s="28"/>
      <c r="E245" s="52"/>
      <c r="F245" s="52"/>
      <c r="G245" s="52"/>
      <c r="H245" s="53"/>
      <c r="I245" s="54"/>
      <c r="J245" s="49"/>
    </row>
    <row r="246" spans="1:10" ht="18" customHeight="1" x14ac:dyDescent="0.25">
      <c r="A246" s="28"/>
      <c r="B246" s="28"/>
      <c r="C246" s="28"/>
      <c r="D246" s="28"/>
      <c r="E246" s="52"/>
      <c r="F246" s="52"/>
      <c r="G246" s="52"/>
      <c r="H246" s="53"/>
      <c r="I246" s="54"/>
      <c r="J246" s="49"/>
    </row>
    <row r="247" spans="1:10" ht="18" customHeight="1" x14ac:dyDescent="0.25">
      <c r="A247" s="28"/>
      <c r="B247" s="28"/>
      <c r="C247" s="28"/>
      <c r="D247" s="28"/>
      <c r="E247" s="52"/>
      <c r="F247" s="52"/>
      <c r="G247" s="52"/>
      <c r="H247" s="53"/>
      <c r="I247" s="54"/>
      <c r="J247" s="49"/>
    </row>
    <row r="248" spans="1:10" ht="18" customHeight="1" x14ac:dyDescent="0.25">
      <c r="A248" s="28"/>
      <c r="B248" s="28"/>
      <c r="C248" s="28"/>
      <c r="D248" s="28"/>
      <c r="E248" s="52"/>
      <c r="F248" s="52"/>
      <c r="G248" s="52"/>
      <c r="H248" s="53"/>
      <c r="I248" s="54"/>
      <c r="J248" s="49"/>
    </row>
    <row r="249" spans="1:10" ht="18" customHeight="1" x14ac:dyDescent="0.25">
      <c r="A249" s="28"/>
      <c r="B249" s="28"/>
      <c r="C249" s="28"/>
      <c r="D249" s="28"/>
      <c r="E249" s="52"/>
      <c r="F249" s="52"/>
      <c r="G249" s="52"/>
      <c r="H249" s="53"/>
      <c r="I249" s="54"/>
      <c r="J249" s="49"/>
    </row>
    <row r="250" spans="1:10" ht="18" customHeight="1" x14ac:dyDescent="0.25">
      <c r="A250" s="28"/>
      <c r="B250" s="28"/>
      <c r="C250" s="28"/>
      <c r="D250" s="28"/>
      <c r="E250" s="52"/>
      <c r="F250" s="52"/>
      <c r="G250" s="52"/>
      <c r="H250" s="53"/>
      <c r="I250" s="54"/>
      <c r="J250" s="49"/>
    </row>
    <row r="251" spans="1:10" ht="18" customHeight="1" x14ac:dyDescent="0.25">
      <c r="A251" s="28"/>
      <c r="B251" s="28"/>
      <c r="C251" s="28"/>
      <c r="D251" s="28"/>
      <c r="E251" s="52"/>
      <c r="F251" s="52"/>
      <c r="G251" s="52"/>
      <c r="H251" s="53"/>
      <c r="I251" s="54"/>
      <c r="J251" s="49"/>
    </row>
    <row r="252" spans="1:10" ht="18" customHeight="1" x14ac:dyDescent="0.25">
      <c r="A252" s="28"/>
      <c r="B252" s="28"/>
      <c r="C252" s="28"/>
      <c r="D252" s="28"/>
      <c r="E252" s="52"/>
      <c r="F252" s="52"/>
      <c r="G252" s="52"/>
      <c r="H252" s="53"/>
      <c r="I252" s="54"/>
      <c r="J252" s="49"/>
    </row>
    <row r="253" spans="1:10" ht="18" customHeight="1" x14ac:dyDescent="0.25">
      <c r="A253" s="28"/>
      <c r="B253" s="28"/>
      <c r="C253" s="28"/>
      <c r="D253" s="28"/>
      <c r="E253" s="52"/>
      <c r="F253" s="52"/>
      <c r="G253" s="52"/>
      <c r="H253" s="53"/>
      <c r="I253" s="54"/>
      <c r="J253" s="49"/>
    </row>
    <row r="254" spans="1:10" ht="18" customHeight="1" x14ac:dyDescent="0.25">
      <c r="A254" s="28"/>
      <c r="B254" s="28"/>
      <c r="C254" s="28"/>
      <c r="D254" s="28"/>
      <c r="E254" s="52"/>
      <c r="F254" s="52"/>
      <c r="G254" s="52"/>
      <c r="H254" s="53"/>
      <c r="I254" s="54"/>
      <c r="J254" s="49"/>
    </row>
    <row r="255" spans="1:10" ht="18" customHeight="1" x14ac:dyDescent="0.25">
      <c r="A255" s="28"/>
      <c r="B255" s="28"/>
      <c r="C255" s="28"/>
      <c r="D255" s="28"/>
      <c r="E255" s="52"/>
      <c r="F255" s="52"/>
      <c r="G255" s="52"/>
      <c r="H255" s="53"/>
      <c r="I255" s="54"/>
      <c r="J255" s="49"/>
    </row>
    <row r="256" spans="1:10" ht="18" customHeight="1" x14ac:dyDescent="0.25">
      <c r="A256" s="28"/>
      <c r="B256" s="28"/>
      <c r="C256" s="28"/>
      <c r="D256" s="28"/>
      <c r="E256" s="52"/>
      <c r="F256" s="52"/>
      <c r="G256" s="52"/>
      <c r="H256" s="53"/>
      <c r="I256" s="54"/>
      <c r="J256" s="49"/>
    </row>
    <row r="257" spans="1:10" ht="18" customHeight="1" x14ac:dyDescent="0.25">
      <c r="A257" s="28"/>
      <c r="B257" s="28"/>
      <c r="C257" s="28"/>
      <c r="D257" s="28"/>
      <c r="E257" s="52"/>
      <c r="F257" s="52"/>
      <c r="G257" s="52"/>
      <c r="H257" s="53"/>
      <c r="I257" s="54"/>
      <c r="J257" s="49"/>
    </row>
    <row r="258" spans="1:10" ht="18" customHeight="1" x14ac:dyDescent="0.25">
      <c r="A258" s="28"/>
      <c r="B258" s="28"/>
      <c r="C258" s="28"/>
      <c r="D258" s="28"/>
      <c r="E258" s="52"/>
      <c r="F258" s="52"/>
      <c r="G258" s="52"/>
      <c r="H258" s="53"/>
      <c r="I258" s="54"/>
      <c r="J258" s="49"/>
    </row>
    <row r="259" spans="1:10" ht="18" customHeight="1" x14ac:dyDescent="0.25">
      <c r="A259" s="28"/>
      <c r="B259" s="28"/>
      <c r="C259" s="28"/>
      <c r="D259" s="28"/>
      <c r="E259" s="52"/>
      <c r="F259" s="52"/>
      <c r="G259" s="52"/>
      <c r="H259" s="53"/>
      <c r="I259" s="54"/>
      <c r="J259" s="49"/>
    </row>
    <row r="260" spans="1:10" ht="18" customHeight="1" x14ac:dyDescent="0.25">
      <c r="A260" s="28"/>
      <c r="B260" s="28"/>
      <c r="C260" s="28"/>
      <c r="D260" s="28"/>
      <c r="E260" s="52"/>
      <c r="F260" s="52"/>
      <c r="G260" s="52"/>
      <c r="H260" s="53"/>
      <c r="I260" s="54"/>
      <c r="J260" s="49"/>
    </row>
    <row r="261" spans="1:10" ht="18" customHeight="1" x14ac:dyDescent="0.25">
      <c r="A261" s="28"/>
      <c r="B261" s="28"/>
      <c r="C261" s="28"/>
      <c r="D261" s="28"/>
      <c r="E261" s="52"/>
      <c r="F261" s="52"/>
      <c r="G261" s="52"/>
      <c r="H261" s="53"/>
      <c r="I261" s="54"/>
      <c r="J261" s="49"/>
    </row>
    <row r="262" spans="1:10" ht="18" customHeight="1" x14ac:dyDescent="0.25">
      <c r="A262" s="28"/>
      <c r="B262" s="28"/>
      <c r="C262" s="28"/>
      <c r="D262" s="28"/>
      <c r="E262" s="52"/>
      <c r="F262" s="52"/>
      <c r="G262" s="52"/>
      <c r="H262" s="53"/>
      <c r="I262" s="54"/>
      <c r="J262" s="49"/>
    </row>
    <row r="263" spans="1:10" ht="18" customHeight="1" x14ac:dyDescent="0.25">
      <c r="A263" s="28"/>
      <c r="B263" s="28"/>
      <c r="C263" s="28"/>
      <c r="D263" s="28"/>
      <c r="E263" s="52"/>
      <c r="F263" s="52"/>
      <c r="G263" s="52"/>
      <c r="H263" s="53"/>
      <c r="I263" s="54"/>
      <c r="J263" s="49"/>
    </row>
    <row r="264" spans="1:10" ht="18" customHeight="1" x14ac:dyDescent="0.25">
      <c r="A264" s="28"/>
      <c r="B264" s="28"/>
      <c r="C264" s="28"/>
      <c r="D264" s="28"/>
      <c r="E264" s="52"/>
      <c r="F264" s="52"/>
      <c r="G264" s="52"/>
      <c r="H264" s="53"/>
      <c r="I264" s="54"/>
      <c r="J264" s="49"/>
    </row>
    <row r="265" spans="1:10" ht="18" customHeight="1" x14ac:dyDescent="0.25">
      <c r="A265" s="28"/>
      <c r="B265" s="28"/>
      <c r="C265" s="28"/>
      <c r="D265" s="28"/>
      <c r="E265" s="52"/>
      <c r="F265" s="52"/>
      <c r="G265" s="52"/>
      <c r="H265" s="53"/>
      <c r="I265" s="54"/>
      <c r="J265" s="49"/>
    </row>
    <row r="266" spans="1:10" ht="18" customHeight="1" x14ac:dyDescent="0.25">
      <c r="A266" s="28"/>
      <c r="B266" s="28"/>
      <c r="C266" s="28"/>
      <c r="D266" s="28"/>
      <c r="E266" s="52"/>
      <c r="F266" s="52"/>
      <c r="G266" s="52"/>
      <c r="H266" s="53"/>
      <c r="I266" s="54"/>
      <c r="J266" s="49"/>
    </row>
    <row r="267" spans="1:10" ht="18" customHeight="1" x14ac:dyDescent="0.25">
      <c r="A267" s="28"/>
      <c r="B267" s="28"/>
      <c r="C267" s="28"/>
      <c r="D267" s="28"/>
      <c r="E267" s="52"/>
      <c r="F267" s="52"/>
      <c r="G267" s="52"/>
      <c r="H267" s="53"/>
      <c r="I267" s="54"/>
      <c r="J267" s="49"/>
    </row>
    <row r="268" spans="1:10" ht="18" customHeight="1" x14ac:dyDescent="0.25">
      <c r="A268" s="28"/>
      <c r="B268" s="28"/>
      <c r="C268" s="28"/>
      <c r="D268" s="28"/>
      <c r="E268" s="52"/>
      <c r="F268" s="52"/>
      <c r="G268" s="52"/>
      <c r="H268" s="53"/>
      <c r="I268" s="54"/>
      <c r="J268" s="49"/>
    </row>
    <row r="269" spans="1:10" ht="18" customHeight="1" x14ac:dyDescent="0.25">
      <c r="A269" s="28"/>
      <c r="B269" s="28"/>
      <c r="C269" s="28"/>
      <c r="D269" s="28"/>
      <c r="E269" s="52"/>
      <c r="F269" s="52"/>
      <c r="G269" s="52"/>
      <c r="H269" s="53"/>
      <c r="I269" s="54"/>
      <c r="J269" s="49"/>
    </row>
    <row r="270" spans="1:10" ht="18" customHeight="1" x14ac:dyDescent="0.25">
      <c r="A270" s="28"/>
      <c r="B270" s="28"/>
      <c r="C270" s="28"/>
      <c r="D270" s="28"/>
      <c r="E270" s="52"/>
      <c r="F270" s="52"/>
      <c r="G270" s="52"/>
      <c r="H270" s="53"/>
      <c r="I270" s="54"/>
      <c r="J270" s="49"/>
    </row>
    <row r="271" spans="1:10" ht="18" customHeight="1" x14ac:dyDescent="0.25">
      <c r="A271" s="28"/>
      <c r="B271" s="28"/>
      <c r="C271" s="28"/>
      <c r="D271" s="28"/>
      <c r="E271" s="52"/>
      <c r="F271" s="52"/>
      <c r="G271" s="52"/>
      <c r="H271" s="53"/>
      <c r="I271" s="54"/>
      <c r="J271" s="49"/>
    </row>
    <row r="272" spans="1:10" ht="18" customHeight="1" x14ac:dyDescent="0.25">
      <c r="A272" s="28"/>
      <c r="B272" s="28"/>
      <c r="C272" s="28"/>
      <c r="D272" s="28"/>
      <c r="E272" s="52"/>
      <c r="F272" s="52"/>
      <c r="G272" s="52"/>
      <c r="H272" s="53"/>
      <c r="I272" s="54"/>
      <c r="J272" s="49"/>
    </row>
    <row r="273" spans="1:10" ht="18" customHeight="1" x14ac:dyDescent="0.25">
      <c r="A273" s="28"/>
      <c r="B273" s="28"/>
      <c r="C273" s="28"/>
      <c r="D273" s="28"/>
      <c r="E273" s="52"/>
      <c r="F273" s="52"/>
      <c r="G273" s="52"/>
      <c r="H273" s="53"/>
      <c r="I273" s="54"/>
      <c r="J273" s="49"/>
    </row>
    <row r="274" spans="1:10" ht="18" customHeight="1" x14ac:dyDescent="0.25">
      <c r="A274" s="28"/>
      <c r="B274" s="28"/>
      <c r="C274" s="28"/>
      <c r="D274" s="28"/>
      <c r="E274" s="52"/>
      <c r="F274" s="52"/>
      <c r="G274" s="52"/>
      <c r="H274" s="53"/>
      <c r="I274" s="54"/>
      <c r="J274" s="49"/>
    </row>
    <row r="275" spans="1:10" ht="18" customHeight="1" x14ac:dyDescent="0.25">
      <c r="A275" s="28"/>
      <c r="B275" s="28"/>
      <c r="C275" s="28"/>
      <c r="D275" s="28"/>
      <c r="E275" s="52"/>
      <c r="F275" s="52"/>
      <c r="G275" s="52"/>
      <c r="H275" s="53"/>
      <c r="I275" s="54"/>
      <c r="J275" s="49"/>
    </row>
    <row r="276" spans="1:10" ht="18" customHeight="1" x14ac:dyDescent="0.25">
      <c r="A276" s="28"/>
      <c r="B276" s="28"/>
      <c r="C276" s="28"/>
      <c r="D276" s="28"/>
      <c r="E276" s="52"/>
      <c r="F276" s="52"/>
      <c r="G276" s="52"/>
      <c r="H276" s="53"/>
      <c r="I276" s="54"/>
      <c r="J276" s="49"/>
    </row>
    <row r="277" spans="1:10" ht="18" customHeight="1" x14ac:dyDescent="0.25">
      <c r="A277" s="28"/>
      <c r="B277" s="28"/>
      <c r="C277" s="28"/>
      <c r="D277" s="28"/>
      <c r="E277" s="52"/>
      <c r="F277" s="52"/>
      <c r="G277" s="52"/>
      <c r="H277" s="53"/>
      <c r="I277" s="54"/>
      <c r="J277" s="49"/>
    </row>
    <row r="278" spans="1:10" ht="18" customHeight="1" x14ac:dyDescent="0.25">
      <c r="A278" s="28"/>
      <c r="B278" s="28"/>
      <c r="C278" s="28"/>
      <c r="D278" s="28"/>
      <c r="E278" s="52"/>
      <c r="F278" s="52"/>
      <c r="G278" s="52"/>
      <c r="H278" s="53"/>
      <c r="I278" s="54"/>
      <c r="J278" s="49"/>
    </row>
    <row r="279" spans="1:10" ht="18" customHeight="1" x14ac:dyDescent="0.25">
      <c r="A279" s="28"/>
      <c r="B279" s="28"/>
      <c r="C279" s="28"/>
      <c r="D279" s="28"/>
      <c r="E279" s="52"/>
      <c r="F279" s="52"/>
      <c r="G279" s="52"/>
      <c r="H279" s="53"/>
      <c r="I279" s="54"/>
      <c r="J279" s="49"/>
    </row>
    <row r="280" spans="1:10" ht="18" customHeight="1" x14ac:dyDescent="0.25">
      <c r="A280" s="28"/>
      <c r="B280" s="28"/>
      <c r="C280" s="28"/>
      <c r="D280" s="28"/>
      <c r="E280" s="52"/>
      <c r="F280" s="52"/>
      <c r="G280" s="52"/>
      <c r="H280" s="53"/>
      <c r="I280" s="54"/>
      <c r="J280" s="49"/>
    </row>
    <row r="281" spans="1:10" ht="18" customHeight="1" x14ac:dyDescent="0.25">
      <c r="A281" s="28"/>
      <c r="B281" s="28"/>
      <c r="C281" s="28"/>
      <c r="D281" s="28"/>
      <c r="E281" s="52"/>
      <c r="F281" s="52"/>
      <c r="G281" s="52"/>
      <c r="H281" s="53"/>
      <c r="I281" s="54"/>
      <c r="J281" s="49"/>
    </row>
    <row r="282" spans="1:10" ht="18" customHeight="1" x14ac:dyDescent="0.25">
      <c r="A282" s="28"/>
      <c r="B282" s="28"/>
      <c r="C282" s="28"/>
      <c r="D282" s="28"/>
      <c r="E282" s="52"/>
      <c r="F282" s="52"/>
      <c r="G282" s="52"/>
      <c r="H282" s="53"/>
      <c r="I282" s="54"/>
      <c r="J282" s="49"/>
    </row>
    <row r="283" spans="1:10" ht="18" customHeight="1" x14ac:dyDescent="0.25">
      <c r="A283" s="28"/>
      <c r="B283" s="28"/>
      <c r="C283" s="28"/>
      <c r="D283" s="28"/>
      <c r="E283" s="52"/>
      <c r="F283" s="52"/>
      <c r="G283" s="52"/>
      <c r="H283" s="53"/>
      <c r="I283" s="54"/>
      <c r="J283" s="49"/>
    </row>
    <row r="284" spans="1:10" ht="18" customHeight="1" x14ac:dyDescent="0.25">
      <c r="A284" s="28"/>
      <c r="B284" s="28"/>
      <c r="C284" s="28"/>
      <c r="D284" s="28"/>
      <c r="E284" s="52"/>
      <c r="F284" s="52"/>
      <c r="G284" s="52"/>
      <c r="H284" s="53"/>
      <c r="I284" s="54"/>
      <c r="J284" s="49"/>
    </row>
    <row r="285" spans="1:10" ht="18" customHeight="1" x14ac:dyDescent="0.25">
      <c r="A285" s="28"/>
      <c r="B285" s="28"/>
      <c r="C285" s="28"/>
      <c r="D285" s="28"/>
      <c r="E285" s="52"/>
      <c r="F285" s="52"/>
      <c r="G285" s="52"/>
      <c r="H285" s="53"/>
      <c r="I285" s="54"/>
      <c r="J285" s="49"/>
    </row>
    <row r="286" spans="1:10" ht="18" customHeight="1" x14ac:dyDescent="0.25">
      <c r="A286" s="28"/>
      <c r="B286" s="28"/>
      <c r="C286" s="28"/>
      <c r="D286" s="28"/>
      <c r="E286" s="52"/>
      <c r="F286" s="52"/>
      <c r="G286" s="52"/>
      <c r="H286" s="53"/>
      <c r="I286" s="54"/>
      <c r="J286" s="49"/>
    </row>
    <row r="287" spans="1:10" ht="18" customHeight="1" x14ac:dyDescent="0.25">
      <c r="A287" s="28"/>
      <c r="B287" s="28"/>
      <c r="C287" s="28"/>
      <c r="D287" s="28"/>
      <c r="E287" s="52"/>
      <c r="F287" s="52"/>
      <c r="G287" s="52"/>
      <c r="H287" s="53"/>
      <c r="I287" s="54"/>
      <c r="J287" s="49"/>
    </row>
    <row r="288" spans="1:10" ht="18" customHeight="1" x14ac:dyDescent="0.25">
      <c r="A288" s="28"/>
      <c r="B288" s="28"/>
      <c r="C288" s="28"/>
      <c r="D288" s="28"/>
      <c r="E288" s="52"/>
      <c r="F288" s="52"/>
      <c r="G288" s="52"/>
      <c r="H288" s="53"/>
      <c r="I288" s="54"/>
      <c r="J288" s="49"/>
    </row>
    <row r="289" spans="1:10" ht="18" customHeight="1" x14ac:dyDescent="0.25">
      <c r="A289" s="28"/>
      <c r="B289" s="28"/>
      <c r="C289" s="28"/>
      <c r="D289" s="28"/>
      <c r="E289" s="52"/>
      <c r="F289" s="52"/>
      <c r="G289" s="52"/>
      <c r="H289" s="53"/>
      <c r="I289" s="54"/>
      <c r="J289" s="49"/>
    </row>
    <row r="290" spans="1:10" ht="18" customHeight="1" x14ac:dyDescent="0.25">
      <c r="A290" s="28"/>
      <c r="B290" s="28"/>
      <c r="C290" s="28"/>
      <c r="D290" s="28"/>
      <c r="E290" s="52"/>
      <c r="F290" s="52"/>
      <c r="G290" s="52"/>
      <c r="H290" s="53"/>
      <c r="I290" s="54"/>
      <c r="J290" s="49"/>
    </row>
    <row r="291" spans="1:10" ht="18" customHeight="1" x14ac:dyDescent="0.25">
      <c r="A291" s="28"/>
      <c r="B291" s="28"/>
      <c r="C291" s="28"/>
      <c r="D291" s="28"/>
      <c r="E291" s="52"/>
      <c r="F291" s="52"/>
      <c r="G291" s="52"/>
      <c r="H291" s="53"/>
      <c r="I291" s="54"/>
      <c r="J291" s="49"/>
    </row>
    <row r="292" spans="1:10" ht="18" customHeight="1" x14ac:dyDescent="0.25">
      <c r="A292" s="28"/>
      <c r="B292" s="28"/>
      <c r="C292" s="28"/>
      <c r="D292" s="28"/>
      <c r="E292" s="52"/>
      <c r="F292" s="52"/>
      <c r="G292" s="52"/>
      <c r="H292" s="53"/>
      <c r="I292" s="54"/>
      <c r="J292" s="49"/>
    </row>
    <row r="293" spans="1:10" ht="18" customHeight="1" x14ac:dyDescent="0.25">
      <c r="A293" s="28"/>
      <c r="B293" s="28"/>
      <c r="C293" s="28"/>
      <c r="D293" s="28"/>
      <c r="E293" s="52"/>
      <c r="F293" s="52"/>
      <c r="G293" s="52"/>
      <c r="H293" s="53"/>
      <c r="I293" s="54"/>
      <c r="J293" s="49"/>
    </row>
    <row r="294" spans="1:10" ht="18" customHeight="1" x14ac:dyDescent="0.25">
      <c r="A294" s="28"/>
      <c r="B294" s="28"/>
      <c r="C294" s="28"/>
      <c r="D294" s="28"/>
      <c r="E294" s="52"/>
      <c r="F294" s="52"/>
      <c r="G294" s="52"/>
      <c r="H294" s="53"/>
      <c r="I294" s="54"/>
      <c r="J294" s="49"/>
    </row>
    <row r="295" spans="1:10" ht="18" customHeight="1" x14ac:dyDescent="0.25">
      <c r="A295" s="28"/>
      <c r="B295" s="28"/>
      <c r="C295" s="28"/>
      <c r="D295" s="28"/>
      <c r="E295" s="52"/>
      <c r="F295" s="52"/>
      <c r="G295" s="52"/>
      <c r="H295" s="53"/>
      <c r="I295" s="54"/>
      <c r="J295" s="49"/>
    </row>
    <row r="296" spans="1:10" ht="18" customHeight="1" x14ac:dyDescent="0.25">
      <c r="A296" s="28"/>
      <c r="B296" s="28"/>
      <c r="C296" s="28"/>
      <c r="D296" s="28"/>
      <c r="E296" s="52"/>
      <c r="F296" s="52"/>
      <c r="G296" s="52"/>
      <c r="H296" s="53"/>
      <c r="I296" s="54"/>
      <c r="J296" s="49"/>
    </row>
    <row r="297" spans="1:10" ht="18" customHeight="1" x14ac:dyDescent="0.25">
      <c r="A297" s="28"/>
      <c r="B297" s="28"/>
      <c r="C297" s="28"/>
      <c r="D297" s="28"/>
      <c r="E297" s="52"/>
      <c r="F297" s="52"/>
      <c r="G297" s="52"/>
      <c r="H297" s="53"/>
      <c r="I297" s="54"/>
      <c r="J297" s="49"/>
    </row>
    <row r="298" spans="1:10" ht="18" customHeight="1" x14ac:dyDescent="0.25">
      <c r="A298" s="28"/>
      <c r="B298" s="28"/>
      <c r="C298" s="28"/>
      <c r="D298" s="28"/>
      <c r="E298" s="52"/>
      <c r="F298" s="52"/>
      <c r="G298" s="52"/>
      <c r="H298" s="53"/>
      <c r="I298" s="54"/>
      <c r="J298" s="49"/>
    </row>
    <row r="299" spans="1:10" ht="18" customHeight="1" x14ac:dyDescent="0.25">
      <c r="A299" s="28"/>
      <c r="B299" s="28"/>
      <c r="C299" s="28"/>
      <c r="D299" s="28"/>
      <c r="E299" s="52"/>
      <c r="F299" s="52"/>
      <c r="G299" s="52"/>
      <c r="H299" s="53"/>
      <c r="I299" s="54"/>
      <c r="J299" s="49"/>
    </row>
    <row r="300" spans="1:10" ht="18" customHeight="1" x14ac:dyDescent="0.25">
      <c r="A300" s="28"/>
      <c r="B300" s="28"/>
      <c r="C300" s="28"/>
      <c r="D300" s="28"/>
      <c r="E300" s="52"/>
      <c r="F300" s="52"/>
      <c r="G300" s="52"/>
      <c r="H300" s="53"/>
      <c r="I300" s="54"/>
      <c r="J300" s="49"/>
    </row>
    <row r="301" spans="1:10" ht="18" customHeight="1" x14ac:dyDescent="0.25">
      <c r="A301" s="28"/>
      <c r="B301" s="28"/>
      <c r="C301" s="28"/>
      <c r="D301" s="28"/>
      <c r="E301" s="52"/>
      <c r="F301" s="52"/>
      <c r="G301" s="52"/>
      <c r="H301" s="53"/>
      <c r="I301" s="54"/>
      <c r="J301" s="49"/>
    </row>
    <row r="302" spans="1:10" ht="18" customHeight="1" x14ac:dyDescent="0.25">
      <c r="A302" s="28"/>
      <c r="B302" s="28"/>
      <c r="C302" s="28"/>
      <c r="D302" s="28"/>
      <c r="E302" s="52"/>
      <c r="F302" s="52"/>
      <c r="G302" s="52"/>
      <c r="H302" s="53"/>
      <c r="I302" s="54"/>
      <c r="J302" s="49"/>
    </row>
    <row r="303" spans="1:10" ht="18" customHeight="1" x14ac:dyDescent="0.25">
      <c r="A303" s="28"/>
      <c r="B303" s="28"/>
      <c r="C303" s="28"/>
      <c r="D303" s="28"/>
      <c r="E303" s="52"/>
      <c r="F303" s="52"/>
      <c r="G303" s="52"/>
      <c r="H303" s="53"/>
      <c r="I303" s="54"/>
      <c r="J303" s="49"/>
    </row>
    <row r="304" spans="1:10" ht="18" customHeight="1" x14ac:dyDescent="0.25">
      <c r="A304" s="28"/>
      <c r="B304" s="28"/>
      <c r="C304" s="28"/>
      <c r="D304" s="28"/>
      <c r="E304" s="52"/>
      <c r="F304" s="52"/>
      <c r="G304" s="52"/>
      <c r="H304" s="53"/>
      <c r="I304" s="54"/>
      <c r="J304" s="49"/>
    </row>
    <row r="305" spans="1:10" ht="18" customHeight="1" x14ac:dyDescent="0.25">
      <c r="A305" s="28"/>
      <c r="B305" s="28"/>
      <c r="C305" s="28"/>
      <c r="D305" s="28"/>
      <c r="E305" s="52"/>
      <c r="F305" s="52"/>
      <c r="G305" s="52"/>
      <c r="H305" s="53"/>
      <c r="I305" s="54"/>
      <c r="J305" s="49"/>
    </row>
    <row r="306" spans="1:10" ht="18" customHeight="1" x14ac:dyDescent="0.25">
      <c r="A306" s="28"/>
      <c r="B306" s="28"/>
      <c r="C306" s="28"/>
      <c r="D306" s="28"/>
      <c r="E306" s="52"/>
      <c r="F306" s="52"/>
      <c r="G306" s="52"/>
      <c r="H306" s="53"/>
      <c r="I306" s="54"/>
      <c r="J306" s="49"/>
    </row>
    <row r="307" spans="1:10" ht="18" customHeight="1" x14ac:dyDescent="0.25">
      <c r="A307" s="28"/>
      <c r="B307" s="28"/>
      <c r="C307" s="28"/>
      <c r="D307" s="28"/>
      <c r="E307" s="52"/>
      <c r="F307" s="52"/>
      <c r="G307" s="52"/>
      <c r="H307" s="53"/>
      <c r="I307" s="54"/>
      <c r="J307" s="49"/>
    </row>
    <row r="308" spans="1:10" ht="18" customHeight="1" x14ac:dyDescent="0.25">
      <c r="A308" s="28"/>
      <c r="B308" s="28"/>
      <c r="C308" s="28"/>
      <c r="D308" s="28"/>
      <c r="E308" s="52"/>
      <c r="F308" s="52"/>
      <c r="G308" s="52"/>
      <c r="H308" s="53"/>
      <c r="I308" s="54"/>
      <c r="J308" s="49"/>
    </row>
    <row r="309" spans="1:10" ht="18" customHeight="1" x14ac:dyDescent="0.25">
      <c r="A309" s="28"/>
      <c r="B309" s="28"/>
      <c r="C309" s="28"/>
      <c r="D309" s="28"/>
      <c r="E309" s="52"/>
      <c r="F309" s="52"/>
      <c r="G309" s="52"/>
      <c r="H309" s="53"/>
      <c r="I309" s="54"/>
      <c r="J309" s="49"/>
    </row>
    <row r="310" spans="1:10" ht="18" customHeight="1" x14ac:dyDescent="0.25">
      <c r="A310" s="28"/>
      <c r="B310" s="28"/>
      <c r="C310" s="28"/>
      <c r="D310" s="28"/>
      <c r="E310" s="52"/>
      <c r="F310" s="52"/>
      <c r="G310" s="52"/>
      <c r="H310" s="53"/>
      <c r="I310" s="54"/>
      <c r="J310" s="49"/>
    </row>
    <row r="311" spans="1:10" ht="18" customHeight="1" x14ac:dyDescent="0.25">
      <c r="A311" s="28"/>
      <c r="B311" s="28"/>
      <c r="C311" s="28"/>
      <c r="D311" s="28"/>
      <c r="E311" s="52"/>
      <c r="F311" s="52"/>
      <c r="G311" s="52"/>
      <c r="H311" s="53"/>
      <c r="I311" s="54"/>
      <c r="J311" s="49"/>
    </row>
    <row r="312" spans="1:10" ht="18" customHeight="1" x14ac:dyDescent="0.25">
      <c r="A312" s="28"/>
      <c r="B312" s="28"/>
      <c r="C312" s="28"/>
      <c r="D312" s="28"/>
      <c r="E312" s="52"/>
      <c r="F312" s="52"/>
      <c r="G312" s="52"/>
      <c r="H312" s="53"/>
      <c r="I312" s="54"/>
      <c r="J312" s="49"/>
    </row>
    <row r="313" spans="1:10" ht="18" customHeight="1" x14ac:dyDescent="0.25">
      <c r="A313" s="28"/>
      <c r="B313" s="28"/>
      <c r="C313" s="28"/>
      <c r="D313" s="28"/>
      <c r="E313" s="52"/>
      <c r="F313" s="52"/>
      <c r="G313" s="52"/>
      <c r="H313" s="53"/>
      <c r="I313" s="54"/>
      <c r="J313" s="49"/>
    </row>
    <row r="314" spans="1:10" ht="18" customHeight="1" x14ac:dyDescent="0.25">
      <c r="A314" s="28"/>
      <c r="B314" s="28"/>
      <c r="C314" s="28"/>
      <c r="D314" s="28"/>
      <c r="E314" s="52"/>
      <c r="F314" s="52"/>
      <c r="G314" s="52"/>
      <c r="H314" s="53"/>
      <c r="I314" s="54"/>
      <c r="J314" s="49"/>
    </row>
    <row r="315" spans="1:10" ht="18" customHeight="1" x14ac:dyDescent="0.25">
      <c r="A315" s="28"/>
      <c r="B315" s="28"/>
      <c r="C315" s="28"/>
      <c r="D315" s="28"/>
      <c r="E315" s="52"/>
      <c r="F315" s="52"/>
      <c r="G315" s="52"/>
      <c r="H315" s="53"/>
      <c r="I315" s="54"/>
      <c r="J315" s="49"/>
    </row>
    <row r="316" spans="1:10" ht="18" customHeight="1" x14ac:dyDescent="0.25">
      <c r="A316" s="28"/>
      <c r="B316" s="28"/>
      <c r="C316" s="28"/>
      <c r="D316" s="28"/>
      <c r="E316" s="52"/>
      <c r="F316" s="52"/>
      <c r="G316" s="52"/>
      <c r="H316" s="53"/>
      <c r="I316" s="54"/>
      <c r="J316" s="49"/>
    </row>
    <row r="317" spans="1:10" ht="18" customHeight="1" x14ac:dyDescent="0.25">
      <c r="A317" s="28"/>
      <c r="B317" s="28"/>
      <c r="C317" s="28"/>
      <c r="D317" s="28"/>
      <c r="E317" s="52"/>
      <c r="F317" s="52"/>
      <c r="G317" s="52"/>
      <c r="H317" s="53"/>
      <c r="I317" s="54"/>
      <c r="J317" s="49"/>
    </row>
    <row r="318" spans="1:10" ht="18" customHeight="1" x14ac:dyDescent="0.25">
      <c r="A318" s="28"/>
      <c r="B318" s="28"/>
      <c r="C318" s="28"/>
      <c r="D318" s="28"/>
      <c r="E318" s="52"/>
      <c r="F318" s="52"/>
      <c r="G318" s="52"/>
      <c r="H318" s="53"/>
      <c r="I318" s="54"/>
      <c r="J318" s="49"/>
    </row>
    <row r="319" spans="1:10" ht="18" customHeight="1" x14ac:dyDescent="0.25">
      <c r="A319" s="28"/>
      <c r="B319" s="28"/>
      <c r="C319" s="28"/>
      <c r="D319" s="28"/>
      <c r="E319" s="52"/>
      <c r="F319" s="52"/>
      <c r="G319" s="52"/>
      <c r="H319" s="53"/>
      <c r="I319" s="54"/>
      <c r="J319" s="49"/>
    </row>
    <row r="320" spans="1:10" ht="18" customHeight="1" x14ac:dyDescent="0.25">
      <c r="A320" s="28"/>
      <c r="B320" s="28"/>
      <c r="C320" s="28"/>
      <c r="D320" s="28"/>
      <c r="E320" s="52"/>
      <c r="F320" s="52"/>
      <c r="G320" s="52"/>
      <c r="H320" s="53"/>
      <c r="I320" s="54"/>
      <c r="J320" s="49"/>
    </row>
    <row r="321" spans="1:10" ht="18" customHeight="1" x14ac:dyDescent="0.25">
      <c r="A321" s="28"/>
      <c r="B321" s="28"/>
      <c r="C321" s="28"/>
      <c r="D321" s="28"/>
      <c r="E321" s="52"/>
      <c r="F321" s="52"/>
      <c r="G321" s="52"/>
      <c r="H321" s="53"/>
      <c r="I321" s="54"/>
      <c r="J321" s="49"/>
    </row>
    <row r="322" spans="1:10" ht="18" customHeight="1" x14ac:dyDescent="0.25">
      <c r="A322" s="28"/>
      <c r="B322" s="28"/>
      <c r="C322" s="28"/>
      <c r="D322" s="28"/>
      <c r="E322" s="52"/>
      <c r="F322" s="52"/>
      <c r="G322" s="52"/>
      <c r="H322" s="53"/>
      <c r="I322" s="54"/>
      <c r="J322" s="49"/>
    </row>
    <row r="323" spans="1:10" ht="18" customHeight="1" x14ac:dyDescent="0.25">
      <c r="A323" s="28"/>
      <c r="B323" s="28"/>
      <c r="C323" s="28"/>
      <c r="D323" s="28"/>
      <c r="E323" s="52"/>
      <c r="F323" s="52"/>
      <c r="G323" s="52"/>
      <c r="H323" s="53"/>
      <c r="I323" s="54"/>
      <c r="J323" s="49"/>
    </row>
    <row r="324" spans="1:10" ht="18" customHeight="1" x14ac:dyDescent="0.25">
      <c r="A324" s="28"/>
      <c r="B324" s="28"/>
      <c r="C324" s="28"/>
      <c r="D324" s="28"/>
      <c r="E324" s="52"/>
      <c r="F324" s="52"/>
      <c r="G324" s="52"/>
      <c r="H324" s="53"/>
      <c r="I324" s="54"/>
      <c r="J324" s="49"/>
    </row>
    <row r="325" spans="1:10" ht="18" customHeight="1" x14ac:dyDescent="0.25">
      <c r="A325" s="28"/>
      <c r="B325" s="28"/>
      <c r="C325" s="28"/>
      <c r="D325" s="28"/>
      <c r="E325" s="52"/>
      <c r="F325" s="52"/>
      <c r="G325" s="52"/>
      <c r="H325" s="53"/>
      <c r="I325" s="54"/>
      <c r="J325" s="49"/>
    </row>
    <row r="326" spans="1:10" ht="18" customHeight="1" x14ac:dyDescent="0.25">
      <c r="A326" s="28"/>
      <c r="B326" s="28"/>
      <c r="C326" s="28"/>
      <c r="D326" s="28"/>
      <c r="E326" s="52"/>
      <c r="F326" s="52"/>
      <c r="G326" s="52"/>
      <c r="H326" s="53"/>
      <c r="I326" s="54"/>
      <c r="J326" s="49"/>
    </row>
    <row r="327" spans="1:10" ht="18" customHeight="1" x14ac:dyDescent="0.25">
      <c r="A327" s="28"/>
      <c r="B327" s="28"/>
      <c r="C327" s="28"/>
      <c r="D327" s="28"/>
      <c r="E327" s="52"/>
      <c r="F327" s="52"/>
      <c r="G327" s="52"/>
      <c r="H327" s="53"/>
      <c r="I327" s="54"/>
      <c r="J327" s="49"/>
    </row>
    <row r="328" spans="1:10" ht="18" customHeight="1" x14ac:dyDescent="0.25">
      <c r="A328" s="28"/>
      <c r="B328" s="28"/>
      <c r="C328" s="28"/>
      <c r="D328" s="28"/>
      <c r="E328" s="52"/>
      <c r="F328" s="52"/>
      <c r="G328" s="52"/>
      <c r="H328" s="53"/>
      <c r="I328" s="54"/>
      <c r="J328" s="49"/>
    </row>
    <row r="329" spans="1:10" ht="18" customHeight="1" x14ac:dyDescent="0.25">
      <c r="A329" s="28"/>
      <c r="B329" s="28"/>
      <c r="C329" s="28"/>
      <c r="D329" s="28"/>
      <c r="E329" s="52"/>
      <c r="F329" s="52"/>
      <c r="G329" s="52"/>
      <c r="H329" s="53"/>
      <c r="I329" s="54"/>
      <c r="J329" s="49"/>
    </row>
    <row r="330" spans="1:10" ht="18" customHeight="1" x14ac:dyDescent="0.25">
      <c r="A330" s="28"/>
      <c r="B330" s="28"/>
      <c r="C330" s="28"/>
      <c r="D330" s="28"/>
      <c r="E330" s="52"/>
      <c r="F330" s="52"/>
      <c r="G330" s="52"/>
      <c r="H330" s="53"/>
      <c r="I330" s="54"/>
      <c r="J330" s="49"/>
    </row>
    <row r="331" spans="1:10" ht="18" customHeight="1" x14ac:dyDescent="0.25">
      <c r="A331" s="28"/>
      <c r="B331" s="28"/>
      <c r="C331" s="28"/>
      <c r="D331" s="28"/>
      <c r="E331" s="52"/>
      <c r="F331" s="52"/>
      <c r="G331" s="52"/>
      <c r="H331" s="53"/>
      <c r="I331" s="54"/>
      <c r="J331" s="49"/>
    </row>
    <row r="332" spans="1:10" ht="18" customHeight="1" x14ac:dyDescent="0.25">
      <c r="A332" s="28"/>
      <c r="B332" s="28"/>
      <c r="C332" s="28"/>
      <c r="D332" s="28"/>
      <c r="E332" s="52"/>
      <c r="F332" s="52"/>
      <c r="G332" s="52"/>
      <c r="H332" s="53"/>
      <c r="I332" s="54"/>
      <c r="J332" s="49"/>
    </row>
    <row r="333" spans="1:10" ht="18" customHeight="1" x14ac:dyDescent="0.25">
      <c r="A333" s="28"/>
      <c r="B333" s="28"/>
      <c r="C333" s="28"/>
      <c r="D333" s="28"/>
      <c r="E333" s="52"/>
      <c r="F333" s="52"/>
      <c r="G333" s="52"/>
      <c r="H333" s="53"/>
      <c r="I333" s="54"/>
      <c r="J333" s="49"/>
    </row>
    <row r="334" spans="1:10" ht="18" customHeight="1" x14ac:dyDescent="0.25">
      <c r="A334" s="28"/>
      <c r="B334" s="28"/>
      <c r="C334" s="28"/>
      <c r="D334" s="28"/>
      <c r="E334" s="52"/>
      <c r="F334" s="52"/>
      <c r="G334" s="52"/>
      <c r="H334" s="53"/>
      <c r="I334" s="54"/>
      <c r="J334" s="49"/>
    </row>
    <row r="335" spans="1:10" ht="18" customHeight="1" x14ac:dyDescent="0.25">
      <c r="A335" s="28"/>
      <c r="B335" s="28"/>
      <c r="C335" s="28"/>
      <c r="D335" s="28"/>
      <c r="E335" s="52"/>
      <c r="F335" s="52"/>
      <c r="G335" s="52"/>
      <c r="H335" s="53"/>
      <c r="I335" s="54"/>
      <c r="J335" s="49"/>
    </row>
    <row r="336" spans="1:10" ht="18" customHeight="1" x14ac:dyDescent="0.25">
      <c r="A336" s="28"/>
      <c r="B336" s="28"/>
      <c r="C336" s="28"/>
      <c r="D336" s="28"/>
      <c r="E336" s="52"/>
      <c r="F336" s="52"/>
      <c r="G336" s="52"/>
      <c r="H336" s="53"/>
      <c r="I336" s="54"/>
      <c r="J336" s="49"/>
    </row>
    <row r="337" spans="1:10" ht="18" customHeight="1" x14ac:dyDescent="0.25">
      <c r="A337" s="28"/>
      <c r="B337" s="28"/>
      <c r="C337" s="28"/>
      <c r="D337" s="28"/>
      <c r="E337" s="52"/>
      <c r="F337" s="52"/>
      <c r="G337" s="52"/>
      <c r="H337" s="53"/>
      <c r="I337" s="54"/>
      <c r="J337" s="49"/>
    </row>
    <row r="338" spans="1:10" ht="18" customHeight="1" x14ac:dyDescent="0.25">
      <c r="A338" s="28"/>
      <c r="B338" s="28"/>
      <c r="C338" s="28"/>
      <c r="D338" s="28"/>
      <c r="E338" s="52"/>
      <c r="F338" s="52"/>
      <c r="G338" s="52"/>
      <c r="H338" s="53"/>
      <c r="I338" s="54"/>
      <c r="J338" s="49"/>
    </row>
    <row r="339" spans="1:10" ht="18" customHeight="1" x14ac:dyDescent="0.25">
      <c r="A339" s="28"/>
      <c r="B339" s="28"/>
      <c r="C339" s="28"/>
      <c r="D339" s="28"/>
      <c r="E339" s="52"/>
      <c r="F339" s="52"/>
      <c r="G339" s="52"/>
      <c r="H339" s="53"/>
      <c r="I339" s="54"/>
      <c r="J339" s="49"/>
    </row>
    <row r="340" spans="1:10" ht="18" customHeight="1" x14ac:dyDescent="0.25">
      <c r="A340" s="28"/>
      <c r="B340" s="28"/>
      <c r="C340" s="28"/>
      <c r="D340" s="28"/>
      <c r="E340" s="52"/>
      <c r="F340" s="52"/>
      <c r="G340" s="52"/>
      <c r="H340" s="53"/>
      <c r="I340" s="54"/>
      <c r="J340" s="49"/>
    </row>
    <row r="341" spans="1:10" ht="18" customHeight="1" x14ac:dyDescent="0.25">
      <c r="A341" s="28"/>
      <c r="B341" s="28"/>
      <c r="C341" s="28"/>
      <c r="D341" s="28"/>
      <c r="E341" s="52"/>
      <c r="F341" s="52"/>
      <c r="G341" s="52"/>
      <c r="H341" s="53"/>
      <c r="I341" s="54"/>
      <c r="J341" s="49"/>
    </row>
    <row r="342" spans="1:10" ht="18" customHeight="1" x14ac:dyDescent="0.25">
      <c r="A342" s="28"/>
      <c r="B342" s="28"/>
      <c r="C342" s="28"/>
      <c r="D342" s="28"/>
      <c r="E342" s="52"/>
      <c r="F342" s="52"/>
      <c r="G342" s="52"/>
      <c r="H342" s="53"/>
      <c r="I342" s="54"/>
      <c r="J342" s="49"/>
    </row>
    <row r="343" spans="1:10" ht="18" customHeight="1" x14ac:dyDescent="0.25">
      <c r="A343" s="28"/>
      <c r="B343" s="28"/>
      <c r="C343" s="28"/>
      <c r="D343" s="28"/>
      <c r="E343" s="52"/>
      <c r="F343" s="52"/>
      <c r="G343" s="52"/>
      <c r="H343" s="53"/>
      <c r="I343" s="54"/>
      <c r="J343" s="49"/>
    </row>
    <row r="344" spans="1:10" ht="18" customHeight="1" x14ac:dyDescent="0.25">
      <c r="A344" s="28"/>
      <c r="B344" s="28"/>
      <c r="C344" s="28"/>
      <c r="D344" s="28"/>
      <c r="E344" s="52"/>
      <c r="F344" s="52"/>
      <c r="G344" s="52"/>
      <c r="H344" s="53"/>
      <c r="I344" s="54"/>
      <c r="J344" s="49"/>
    </row>
    <row r="345" spans="1:10" ht="18" customHeight="1" x14ac:dyDescent="0.25">
      <c r="A345" s="28"/>
      <c r="B345" s="28"/>
      <c r="C345" s="28"/>
      <c r="D345" s="28"/>
      <c r="E345" s="52"/>
      <c r="F345" s="52"/>
      <c r="G345" s="52"/>
      <c r="H345" s="53"/>
      <c r="I345" s="54"/>
      <c r="J345" s="49"/>
    </row>
    <row r="346" spans="1:10" ht="18" customHeight="1" x14ac:dyDescent="0.25">
      <c r="A346" s="28"/>
      <c r="B346" s="28"/>
      <c r="C346" s="28"/>
      <c r="D346" s="28"/>
      <c r="E346" s="52"/>
      <c r="F346" s="52"/>
      <c r="G346" s="52"/>
      <c r="H346" s="53"/>
      <c r="I346" s="54"/>
      <c r="J346" s="49"/>
    </row>
    <row r="347" spans="1:10" ht="18" customHeight="1" x14ac:dyDescent="0.25">
      <c r="A347" s="28"/>
      <c r="B347" s="28"/>
      <c r="C347" s="28"/>
      <c r="D347" s="28"/>
      <c r="E347" s="52"/>
      <c r="F347" s="52"/>
      <c r="G347" s="52"/>
      <c r="H347" s="53"/>
      <c r="I347" s="54"/>
      <c r="J347" s="49"/>
    </row>
    <row r="348" spans="1:10" ht="18" customHeight="1" x14ac:dyDescent="0.25">
      <c r="A348" s="28"/>
      <c r="B348" s="28"/>
      <c r="C348" s="28"/>
      <c r="D348" s="28"/>
      <c r="E348" s="52"/>
      <c r="F348" s="52"/>
      <c r="G348" s="52"/>
      <c r="H348" s="53"/>
      <c r="I348" s="54"/>
      <c r="J348" s="49"/>
    </row>
    <row r="349" spans="1:10" ht="18" customHeight="1" x14ac:dyDescent="0.25">
      <c r="A349" s="28"/>
      <c r="B349" s="28"/>
      <c r="C349" s="28"/>
      <c r="D349" s="28"/>
      <c r="E349" s="52"/>
      <c r="F349" s="52"/>
      <c r="G349" s="52"/>
      <c r="H349" s="53"/>
      <c r="I349" s="54"/>
      <c r="J349" s="49"/>
    </row>
    <row r="350" spans="1:10" ht="18" customHeight="1" x14ac:dyDescent="0.25">
      <c r="A350" s="28"/>
      <c r="B350" s="28"/>
      <c r="C350" s="28"/>
      <c r="D350" s="28"/>
      <c r="E350" s="52"/>
      <c r="F350" s="52"/>
      <c r="G350" s="52"/>
      <c r="H350" s="53"/>
      <c r="I350" s="54"/>
      <c r="J350" s="49"/>
    </row>
    <row r="351" spans="1:10" ht="18" customHeight="1" x14ac:dyDescent="0.25">
      <c r="A351" s="28"/>
      <c r="B351" s="28"/>
      <c r="C351" s="28"/>
      <c r="D351" s="28"/>
      <c r="E351" s="52"/>
      <c r="F351" s="52"/>
      <c r="G351" s="52"/>
      <c r="H351" s="53"/>
      <c r="I351" s="54"/>
      <c r="J351" s="49"/>
    </row>
    <row r="352" spans="1:10" ht="18" customHeight="1" x14ac:dyDescent="0.25">
      <c r="A352" s="28"/>
      <c r="B352" s="28"/>
      <c r="C352" s="28"/>
      <c r="D352" s="28"/>
      <c r="E352" s="52"/>
      <c r="F352" s="52"/>
      <c r="G352" s="52"/>
      <c r="H352" s="53"/>
      <c r="I352" s="54"/>
      <c r="J352" s="49"/>
    </row>
    <row r="353" spans="1:10" ht="18" customHeight="1" x14ac:dyDescent="0.25">
      <c r="A353" s="28"/>
      <c r="B353" s="28"/>
      <c r="C353" s="28"/>
      <c r="D353" s="28"/>
      <c r="E353" s="52"/>
      <c r="F353" s="52"/>
      <c r="G353" s="52"/>
      <c r="H353" s="53"/>
      <c r="I353" s="54"/>
      <c r="J353" s="49"/>
    </row>
    <row r="354" spans="1:10" ht="18" customHeight="1" x14ac:dyDescent="0.25">
      <c r="A354" s="28"/>
      <c r="B354" s="28"/>
      <c r="C354" s="28"/>
      <c r="D354" s="28"/>
      <c r="E354" s="52"/>
      <c r="F354" s="52"/>
      <c r="G354" s="52"/>
      <c r="H354" s="53"/>
      <c r="I354" s="54"/>
      <c r="J354" s="49"/>
    </row>
    <row r="355" spans="1:10" ht="18" customHeight="1" x14ac:dyDescent="0.25">
      <c r="A355" s="28"/>
      <c r="B355" s="28"/>
      <c r="C355" s="28"/>
      <c r="D355" s="28"/>
      <c r="E355" s="52"/>
      <c r="F355" s="52"/>
      <c r="G355" s="52"/>
      <c r="H355" s="53"/>
      <c r="I355" s="54"/>
      <c r="J355" s="49"/>
    </row>
    <row r="356" spans="1:10" ht="18" customHeight="1" x14ac:dyDescent="0.25">
      <c r="A356" s="28"/>
      <c r="B356" s="28"/>
      <c r="C356" s="28"/>
      <c r="D356" s="28"/>
      <c r="E356" s="52"/>
      <c r="F356" s="52"/>
      <c r="G356" s="52"/>
      <c r="H356" s="53"/>
      <c r="I356" s="54"/>
      <c r="J356" s="49"/>
    </row>
    <row r="357" spans="1:10" ht="18" customHeight="1" x14ac:dyDescent="0.25">
      <c r="A357" s="28"/>
      <c r="B357" s="28"/>
      <c r="C357" s="28"/>
      <c r="D357" s="28"/>
      <c r="E357" s="52"/>
      <c r="F357" s="52"/>
      <c r="G357" s="52"/>
      <c r="H357" s="53"/>
      <c r="I357" s="54"/>
      <c r="J357" s="49"/>
    </row>
    <row r="358" spans="1:10" ht="18" customHeight="1" x14ac:dyDescent="0.25">
      <c r="A358" s="28"/>
      <c r="B358" s="28"/>
      <c r="C358" s="28"/>
      <c r="D358" s="28"/>
      <c r="E358" s="52"/>
      <c r="F358" s="52"/>
      <c r="G358" s="52"/>
      <c r="H358" s="53"/>
      <c r="I358" s="54"/>
      <c r="J358" s="49"/>
    </row>
    <row r="359" spans="1:10" ht="18" customHeight="1" x14ac:dyDescent="0.25">
      <c r="A359" s="28"/>
      <c r="B359" s="28"/>
      <c r="C359" s="28"/>
      <c r="D359" s="28"/>
      <c r="E359" s="52"/>
      <c r="F359" s="52"/>
      <c r="G359" s="52"/>
      <c r="H359" s="53"/>
      <c r="I359" s="54"/>
      <c r="J359" s="49"/>
    </row>
    <row r="360" spans="1:10" ht="18" customHeight="1" x14ac:dyDescent="0.25">
      <c r="A360" s="28"/>
      <c r="B360" s="28"/>
      <c r="C360" s="28"/>
      <c r="D360" s="28"/>
      <c r="E360" s="52"/>
      <c r="F360" s="52"/>
      <c r="G360" s="52"/>
      <c r="H360" s="53"/>
      <c r="I360" s="54"/>
      <c r="J360" s="49"/>
    </row>
    <row r="361" spans="1:10" ht="18" customHeight="1" x14ac:dyDescent="0.25">
      <c r="A361" s="28"/>
      <c r="B361" s="28"/>
      <c r="C361" s="28"/>
      <c r="D361" s="28"/>
      <c r="E361" s="52"/>
      <c r="F361" s="52"/>
      <c r="G361" s="52"/>
      <c r="H361" s="53"/>
      <c r="I361" s="54"/>
      <c r="J361" s="49"/>
    </row>
    <row r="362" spans="1:10" ht="18" customHeight="1" x14ac:dyDescent="0.25">
      <c r="A362" s="28"/>
      <c r="B362" s="28"/>
      <c r="C362" s="28"/>
      <c r="D362" s="28"/>
      <c r="E362" s="52"/>
      <c r="F362" s="52"/>
      <c r="G362" s="52"/>
      <c r="H362" s="53"/>
      <c r="I362" s="54"/>
      <c r="J362" s="49"/>
    </row>
    <row r="363" spans="1:10" ht="18" customHeight="1" x14ac:dyDescent="0.25">
      <c r="A363" s="28"/>
      <c r="B363" s="28"/>
      <c r="C363" s="28"/>
      <c r="D363" s="28"/>
      <c r="E363" s="52"/>
      <c r="F363" s="52"/>
      <c r="G363" s="52"/>
      <c r="H363" s="53"/>
      <c r="I363" s="54"/>
      <c r="J363" s="49"/>
    </row>
    <row r="364" spans="1:10" ht="18" customHeight="1" x14ac:dyDescent="0.25">
      <c r="A364" s="28"/>
      <c r="B364" s="28"/>
      <c r="C364" s="28"/>
      <c r="D364" s="28"/>
      <c r="E364" s="52"/>
      <c r="F364" s="52"/>
      <c r="G364" s="52"/>
      <c r="H364" s="53"/>
      <c r="I364" s="54"/>
      <c r="J364" s="49"/>
    </row>
    <row r="365" spans="1:10" ht="18" customHeight="1" x14ac:dyDescent="0.25">
      <c r="A365" s="28"/>
      <c r="B365" s="28"/>
      <c r="C365" s="28"/>
      <c r="D365" s="28"/>
      <c r="E365" s="52"/>
      <c r="F365" s="52"/>
      <c r="G365" s="52"/>
      <c r="H365" s="53"/>
      <c r="I365" s="54"/>
      <c r="J365" s="49"/>
    </row>
    <row r="366" spans="1:10" ht="18" customHeight="1" x14ac:dyDescent="0.25">
      <c r="A366" s="28"/>
      <c r="B366" s="28"/>
      <c r="C366" s="28"/>
      <c r="D366" s="28"/>
      <c r="E366" s="52"/>
      <c r="F366" s="52"/>
      <c r="G366" s="52"/>
      <c r="H366" s="53"/>
      <c r="I366" s="54"/>
      <c r="J366" s="49"/>
    </row>
    <row r="367" spans="1:10" ht="18" customHeight="1" x14ac:dyDescent="0.25">
      <c r="A367" s="28"/>
      <c r="B367" s="28"/>
      <c r="C367" s="28"/>
      <c r="D367" s="28"/>
      <c r="E367" s="52"/>
      <c r="F367" s="52"/>
      <c r="G367" s="52"/>
      <c r="H367" s="53"/>
      <c r="I367" s="54"/>
      <c r="J367" s="49"/>
    </row>
    <row r="368" spans="1:10" ht="18" customHeight="1" x14ac:dyDescent="0.25">
      <c r="A368" s="28"/>
      <c r="B368" s="28"/>
      <c r="C368" s="28"/>
      <c r="D368" s="28"/>
      <c r="E368" s="52"/>
      <c r="F368" s="52"/>
      <c r="G368" s="52"/>
      <c r="H368" s="53"/>
      <c r="I368" s="54"/>
      <c r="J368" s="49"/>
    </row>
    <row r="369" spans="1:10" ht="18" customHeight="1" x14ac:dyDescent="0.25">
      <c r="A369" s="28"/>
      <c r="B369" s="28"/>
      <c r="C369" s="28"/>
      <c r="D369" s="28"/>
      <c r="E369" s="52"/>
      <c r="F369" s="52"/>
      <c r="G369" s="52"/>
      <c r="H369" s="53"/>
      <c r="I369" s="54"/>
      <c r="J369" s="49"/>
    </row>
    <row r="370" spans="1:10" ht="18" customHeight="1" x14ac:dyDescent="0.25">
      <c r="A370" s="28"/>
      <c r="B370" s="28"/>
      <c r="C370" s="28"/>
      <c r="D370" s="28"/>
      <c r="E370" s="52"/>
      <c r="F370" s="52"/>
      <c r="G370" s="52"/>
      <c r="H370" s="53"/>
      <c r="I370" s="54"/>
      <c r="J370" s="49"/>
    </row>
    <row r="371" spans="1:10" ht="18" customHeight="1" x14ac:dyDescent="0.25">
      <c r="A371" s="28"/>
      <c r="B371" s="28"/>
      <c r="C371" s="28"/>
      <c r="D371" s="28"/>
      <c r="E371" s="52"/>
      <c r="F371" s="52"/>
      <c r="G371" s="52"/>
      <c r="H371" s="53"/>
      <c r="I371" s="54"/>
      <c r="J371" s="49"/>
    </row>
    <row r="372" spans="1:10" ht="18" customHeight="1" x14ac:dyDescent="0.25">
      <c r="A372" s="28"/>
      <c r="B372" s="28"/>
      <c r="C372" s="28"/>
      <c r="D372" s="28"/>
      <c r="E372" s="52"/>
      <c r="F372" s="52"/>
      <c r="G372" s="52"/>
      <c r="H372" s="53"/>
      <c r="I372" s="54"/>
      <c r="J372" s="49"/>
    </row>
    <row r="373" spans="1:10" ht="18" customHeight="1" x14ac:dyDescent="0.25">
      <c r="A373" s="28"/>
      <c r="B373" s="28"/>
      <c r="C373" s="28"/>
      <c r="D373" s="28"/>
      <c r="E373" s="52"/>
      <c r="F373" s="52"/>
      <c r="G373" s="52"/>
      <c r="H373" s="53"/>
      <c r="I373" s="54"/>
      <c r="J373" s="49"/>
    </row>
    <row r="374" spans="1:10" ht="18" customHeight="1" x14ac:dyDescent="0.25">
      <c r="A374" s="28"/>
      <c r="B374" s="28"/>
      <c r="C374" s="28"/>
      <c r="D374" s="28"/>
      <c r="E374" s="52"/>
      <c r="F374" s="52"/>
      <c r="G374" s="52"/>
      <c r="H374" s="53"/>
      <c r="I374" s="54"/>
      <c r="J374" s="49"/>
    </row>
    <row r="375" spans="1:10" ht="18" customHeight="1" x14ac:dyDescent="0.25">
      <c r="A375" s="28"/>
      <c r="B375" s="28"/>
      <c r="C375" s="28"/>
      <c r="D375" s="28"/>
      <c r="E375" s="52"/>
      <c r="F375" s="52"/>
      <c r="G375" s="52"/>
      <c r="H375" s="53"/>
      <c r="I375" s="54"/>
      <c r="J375" s="49"/>
    </row>
    <row r="376" spans="1:10" ht="18" customHeight="1" x14ac:dyDescent="0.25">
      <c r="A376" s="28"/>
      <c r="B376" s="28"/>
      <c r="C376" s="28"/>
      <c r="D376" s="28"/>
      <c r="E376" s="52"/>
      <c r="F376" s="52"/>
      <c r="G376" s="52"/>
      <c r="H376" s="53"/>
      <c r="I376" s="54"/>
      <c r="J376" s="49"/>
    </row>
    <row r="377" spans="1:10" ht="18" customHeight="1" x14ac:dyDescent="0.25">
      <c r="A377" s="28"/>
      <c r="B377" s="28"/>
      <c r="C377" s="28"/>
      <c r="D377" s="28"/>
      <c r="E377" s="52"/>
      <c r="F377" s="52"/>
      <c r="G377" s="52"/>
      <c r="H377" s="53"/>
      <c r="I377" s="54"/>
      <c r="J377" s="49"/>
    </row>
    <row r="378" spans="1:10" ht="18" customHeight="1" x14ac:dyDescent="0.25">
      <c r="A378" s="28"/>
      <c r="B378" s="28"/>
      <c r="C378" s="28"/>
      <c r="D378" s="28"/>
      <c r="E378" s="52"/>
      <c r="F378" s="52"/>
      <c r="G378" s="52"/>
      <c r="H378" s="53"/>
      <c r="I378" s="54"/>
      <c r="J378" s="49"/>
    </row>
    <row r="379" spans="1:10" ht="18" customHeight="1" x14ac:dyDescent="0.25">
      <c r="A379" s="28"/>
      <c r="B379" s="28"/>
      <c r="C379" s="28"/>
      <c r="D379" s="28"/>
      <c r="E379" s="52"/>
      <c r="F379" s="52"/>
      <c r="G379" s="52"/>
      <c r="H379" s="53"/>
      <c r="I379" s="54"/>
      <c r="J379" s="49"/>
    </row>
    <row r="380" spans="1:10" ht="18" customHeight="1" x14ac:dyDescent="0.25">
      <c r="A380" s="28"/>
      <c r="B380" s="28"/>
      <c r="C380" s="28"/>
      <c r="D380" s="28"/>
      <c r="E380" s="52"/>
      <c r="F380" s="52"/>
      <c r="G380" s="52"/>
      <c r="H380" s="53"/>
      <c r="I380" s="54"/>
      <c r="J380" s="49"/>
    </row>
    <row r="381" spans="1:10" ht="18" customHeight="1" x14ac:dyDescent="0.25">
      <c r="A381" s="28"/>
      <c r="B381" s="28"/>
      <c r="C381" s="28"/>
      <c r="D381" s="28"/>
      <c r="E381" s="52"/>
      <c r="F381" s="52"/>
      <c r="G381" s="52"/>
      <c r="H381" s="53"/>
      <c r="I381" s="54"/>
      <c r="J381" s="49"/>
    </row>
    <row r="382" spans="1:10" ht="18" customHeight="1" x14ac:dyDescent="0.25">
      <c r="A382" s="28"/>
      <c r="B382" s="28"/>
      <c r="C382" s="28"/>
      <c r="D382" s="28"/>
      <c r="E382" s="52"/>
      <c r="F382" s="52"/>
      <c r="G382" s="52"/>
      <c r="H382" s="53"/>
      <c r="I382" s="54"/>
      <c r="J382" s="49"/>
    </row>
    <row r="383" spans="1:10" ht="18" customHeight="1" x14ac:dyDescent="0.25">
      <c r="A383" s="28"/>
      <c r="B383" s="28"/>
      <c r="C383" s="28"/>
      <c r="D383" s="28"/>
      <c r="E383" s="52"/>
      <c r="F383" s="52"/>
      <c r="G383" s="52"/>
      <c r="H383" s="53"/>
      <c r="I383" s="54"/>
      <c r="J383" s="49"/>
    </row>
    <row r="384" spans="1:10" ht="18" customHeight="1" x14ac:dyDescent="0.25">
      <c r="A384" s="28"/>
      <c r="B384" s="28"/>
      <c r="C384" s="28"/>
      <c r="D384" s="28"/>
      <c r="E384" s="52"/>
      <c r="F384" s="52"/>
      <c r="G384" s="52"/>
      <c r="H384" s="53"/>
      <c r="I384" s="54"/>
      <c r="J384" s="49"/>
    </row>
    <row r="385" spans="1:10" ht="18" customHeight="1" x14ac:dyDescent="0.25">
      <c r="A385" s="28"/>
      <c r="B385" s="28"/>
      <c r="C385" s="28"/>
      <c r="D385" s="28"/>
      <c r="E385" s="52"/>
      <c r="F385" s="52"/>
      <c r="G385" s="52"/>
      <c r="H385" s="53"/>
      <c r="I385" s="54"/>
      <c r="J385" s="49"/>
    </row>
    <row r="386" spans="1:10" ht="18" customHeight="1" x14ac:dyDescent="0.25">
      <c r="A386" s="28"/>
      <c r="B386" s="28"/>
      <c r="C386" s="28"/>
      <c r="D386" s="28"/>
      <c r="E386" s="52"/>
      <c r="F386" s="52"/>
      <c r="G386" s="52"/>
      <c r="H386" s="53"/>
      <c r="I386" s="54"/>
      <c r="J386" s="49"/>
    </row>
    <row r="387" spans="1:10" ht="18" customHeight="1" x14ac:dyDescent="0.25">
      <c r="A387" s="28"/>
      <c r="B387" s="28"/>
      <c r="C387" s="28"/>
      <c r="D387" s="28"/>
      <c r="E387" s="52"/>
      <c r="F387" s="52"/>
      <c r="G387" s="52"/>
      <c r="H387" s="53"/>
      <c r="I387" s="54"/>
      <c r="J387" s="49"/>
    </row>
    <row r="388" spans="1:10" ht="18" customHeight="1" x14ac:dyDescent="0.25">
      <c r="A388" s="28"/>
      <c r="B388" s="28"/>
      <c r="C388" s="28"/>
      <c r="D388" s="28"/>
      <c r="E388" s="52"/>
      <c r="F388" s="52"/>
      <c r="G388" s="52"/>
      <c r="H388" s="53"/>
      <c r="I388" s="54"/>
      <c r="J388" s="49"/>
    </row>
    <row r="389" spans="1:10" ht="18" customHeight="1" x14ac:dyDescent="0.25">
      <c r="A389" s="28"/>
      <c r="B389" s="28"/>
      <c r="C389" s="28"/>
      <c r="D389" s="28"/>
      <c r="E389" s="52"/>
      <c r="F389" s="52"/>
      <c r="G389" s="52"/>
      <c r="H389" s="53"/>
      <c r="I389" s="54"/>
      <c r="J389" s="49"/>
    </row>
    <row r="390" spans="1:10" ht="18" customHeight="1" x14ac:dyDescent="0.25">
      <c r="A390" s="28"/>
      <c r="B390" s="28"/>
      <c r="C390" s="28"/>
      <c r="D390" s="28"/>
      <c r="E390" s="52"/>
      <c r="F390" s="52"/>
      <c r="G390" s="52"/>
      <c r="H390" s="53"/>
      <c r="I390" s="54"/>
      <c r="J390" s="49"/>
    </row>
    <row r="391" spans="1:10" ht="18" customHeight="1" x14ac:dyDescent="0.25">
      <c r="A391" s="28"/>
      <c r="B391" s="28"/>
      <c r="C391" s="28"/>
      <c r="D391" s="28"/>
      <c r="E391" s="52"/>
      <c r="F391" s="52"/>
      <c r="G391" s="52"/>
      <c r="H391" s="53"/>
      <c r="I391" s="54"/>
      <c r="J391" s="49"/>
    </row>
    <row r="392" spans="1:10" ht="18" customHeight="1" x14ac:dyDescent="0.25">
      <c r="A392" s="28"/>
      <c r="B392" s="28"/>
      <c r="C392" s="28"/>
      <c r="D392" s="28"/>
      <c r="E392" s="52"/>
      <c r="F392" s="52"/>
      <c r="G392" s="52"/>
      <c r="H392" s="53"/>
      <c r="I392" s="54"/>
      <c r="J392" s="49"/>
    </row>
    <row r="393" spans="1:10" ht="18" customHeight="1" x14ac:dyDescent="0.25">
      <c r="A393" s="28"/>
      <c r="B393" s="28"/>
      <c r="C393" s="28"/>
      <c r="D393" s="28"/>
      <c r="E393" s="52"/>
      <c r="F393" s="52"/>
      <c r="G393" s="52"/>
      <c r="H393" s="53"/>
      <c r="I393" s="54"/>
      <c r="J393" s="49"/>
    </row>
    <row r="394" spans="1:10" ht="18" customHeight="1" x14ac:dyDescent="0.25">
      <c r="A394" s="28"/>
      <c r="B394" s="28"/>
      <c r="C394" s="28"/>
      <c r="D394" s="28"/>
      <c r="E394" s="52"/>
      <c r="F394" s="52"/>
      <c r="G394" s="52"/>
      <c r="H394" s="53"/>
      <c r="I394" s="54"/>
      <c r="J394" s="49"/>
    </row>
    <row r="395" spans="1:10" ht="18" customHeight="1" x14ac:dyDescent="0.25">
      <c r="A395" s="28"/>
      <c r="B395" s="28"/>
      <c r="C395" s="28"/>
      <c r="D395" s="28"/>
      <c r="E395" s="52"/>
      <c r="F395" s="52"/>
      <c r="G395" s="52"/>
      <c r="H395" s="53"/>
      <c r="I395" s="54"/>
      <c r="J395" s="49"/>
    </row>
    <row r="396" spans="1:10" ht="18" customHeight="1" x14ac:dyDescent="0.25">
      <c r="A396" s="28"/>
      <c r="B396" s="28"/>
      <c r="C396" s="28"/>
      <c r="D396" s="28"/>
      <c r="E396" s="52"/>
      <c r="F396" s="52"/>
      <c r="G396" s="52"/>
      <c r="H396" s="53"/>
      <c r="I396" s="54"/>
      <c r="J396" s="49"/>
    </row>
    <row r="397" spans="1:10" ht="18" customHeight="1" x14ac:dyDescent="0.25">
      <c r="A397" s="28"/>
      <c r="B397" s="28"/>
      <c r="C397" s="28"/>
      <c r="D397" s="28"/>
      <c r="E397" s="52"/>
      <c r="F397" s="52"/>
      <c r="G397" s="52"/>
      <c r="H397" s="53"/>
      <c r="I397" s="54"/>
      <c r="J397" s="49"/>
    </row>
    <row r="398" spans="1:10" ht="18" customHeight="1" x14ac:dyDescent="0.25">
      <c r="A398" s="28"/>
      <c r="B398" s="28"/>
      <c r="C398" s="28"/>
      <c r="D398" s="28"/>
      <c r="E398" s="52"/>
      <c r="F398" s="52"/>
      <c r="G398" s="52"/>
      <c r="H398" s="53"/>
      <c r="I398" s="54"/>
      <c r="J398" s="49"/>
    </row>
    <row r="399" spans="1:10" ht="18" customHeight="1" x14ac:dyDescent="0.25">
      <c r="A399" s="28"/>
      <c r="B399" s="28"/>
      <c r="C399" s="28"/>
      <c r="D399" s="28"/>
      <c r="E399" s="52"/>
      <c r="F399" s="52"/>
      <c r="G399" s="52"/>
      <c r="H399" s="53"/>
      <c r="I399" s="54"/>
      <c r="J399" s="49"/>
    </row>
    <row r="400" spans="1:10" ht="18" customHeight="1" x14ac:dyDescent="0.25">
      <c r="A400" s="28"/>
      <c r="B400" s="28"/>
      <c r="C400" s="28"/>
      <c r="D400" s="28"/>
      <c r="E400" s="52"/>
      <c r="F400" s="52"/>
      <c r="G400" s="52"/>
      <c r="H400" s="53"/>
      <c r="I400" s="54"/>
      <c r="J400" s="49"/>
    </row>
    <row r="401" spans="1:10" ht="18" customHeight="1" x14ac:dyDescent="0.25">
      <c r="A401" s="28"/>
      <c r="B401" s="28"/>
      <c r="C401" s="28"/>
      <c r="D401" s="28"/>
      <c r="E401" s="52"/>
      <c r="F401" s="52"/>
      <c r="G401" s="52"/>
      <c r="H401" s="53"/>
      <c r="I401" s="54"/>
      <c r="J401" s="49"/>
    </row>
    <row r="402" spans="1:10" ht="18" customHeight="1" x14ac:dyDescent="0.25">
      <c r="A402" s="28"/>
      <c r="B402" s="28"/>
      <c r="C402" s="28"/>
      <c r="D402" s="28"/>
      <c r="E402" s="52"/>
      <c r="F402" s="52"/>
      <c r="G402" s="52"/>
      <c r="H402" s="53"/>
      <c r="I402" s="54"/>
      <c r="J402" s="49"/>
    </row>
    <row r="403" spans="1:10" ht="18" customHeight="1" x14ac:dyDescent="0.25">
      <c r="A403" s="28"/>
      <c r="B403" s="28"/>
      <c r="C403" s="28"/>
      <c r="D403" s="28"/>
      <c r="E403" s="52"/>
      <c r="F403" s="52"/>
      <c r="G403" s="52"/>
      <c r="H403" s="53"/>
      <c r="I403" s="54"/>
      <c r="J403" s="49"/>
    </row>
    <row r="404" spans="1:10" ht="18" customHeight="1" x14ac:dyDescent="0.25">
      <c r="A404" s="28"/>
      <c r="B404" s="28"/>
      <c r="C404" s="28"/>
      <c r="D404" s="28"/>
      <c r="E404" s="52"/>
      <c r="F404" s="52"/>
      <c r="G404" s="52"/>
      <c r="H404" s="53"/>
      <c r="I404" s="54"/>
      <c r="J404" s="49"/>
    </row>
    <row r="405" spans="1:10" ht="18" customHeight="1" x14ac:dyDescent="0.25">
      <c r="A405" s="28"/>
      <c r="B405" s="28"/>
      <c r="C405" s="28"/>
      <c r="D405" s="28"/>
      <c r="E405" s="52"/>
      <c r="F405" s="52"/>
      <c r="G405" s="52"/>
      <c r="H405" s="53"/>
      <c r="I405" s="54"/>
      <c r="J405" s="49"/>
    </row>
    <row r="406" spans="1:10" ht="18" customHeight="1" x14ac:dyDescent="0.25">
      <c r="A406" s="28"/>
      <c r="B406" s="28"/>
      <c r="C406" s="28"/>
      <c r="D406" s="28"/>
      <c r="E406" s="52"/>
      <c r="F406" s="52"/>
      <c r="G406" s="52"/>
      <c r="H406" s="53"/>
      <c r="I406" s="54"/>
      <c r="J406" s="49"/>
    </row>
    <row r="407" spans="1:10" ht="18" customHeight="1" x14ac:dyDescent="0.25">
      <c r="A407" s="28"/>
      <c r="B407" s="28"/>
      <c r="C407" s="28"/>
      <c r="D407" s="28"/>
      <c r="E407" s="52"/>
      <c r="F407" s="52"/>
      <c r="G407" s="52"/>
      <c r="H407" s="53"/>
      <c r="I407" s="54"/>
      <c r="J407" s="49"/>
    </row>
    <row r="408" spans="1:10" ht="18" customHeight="1" x14ac:dyDescent="0.25">
      <c r="A408" s="28"/>
      <c r="B408" s="28"/>
      <c r="C408" s="28"/>
      <c r="D408" s="28"/>
      <c r="E408" s="52"/>
      <c r="F408" s="52"/>
      <c r="G408" s="52"/>
      <c r="H408" s="53"/>
      <c r="I408" s="54"/>
      <c r="J408" s="49"/>
    </row>
    <row r="409" spans="1:10" ht="18" customHeight="1" x14ac:dyDescent="0.25">
      <c r="A409" s="28"/>
      <c r="B409" s="28"/>
      <c r="C409" s="28"/>
      <c r="D409" s="28"/>
      <c r="E409" s="52"/>
      <c r="F409" s="52"/>
      <c r="G409" s="52"/>
      <c r="H409" s="53"/>
      <c r="I409" s="54"/>
      <c r="J409" s="49"/>
    </row>
    <row r="410" spans="1:10" ht="18" customHeight="1" x14ac:dyDescent="0.25">
      <c r="A410" s="28"/>
      <c r="B410" s="28"/>
      <c r="C410" s="28"/>
      <c r="D410" s="28"/>
      <c r="E410" s="52"/>
      <c r="F410" s="52"/>
      <c r="G410" s="52"/>
      <c r="H410" s="53"/>
      <c r="I410" s="54"/>
      <c r="J410" s="49"/>
    </row>
    <row r="411" spans="1:10" ht="18" customHeight="1" x14ac:dyDescent="0.25">
      <c r="A411" s="28"/>
      <c r="B411" s="28"/>
      <c r="C411" s="28"/>
      <c r="D411" s="28"/>
      <c r="E411" s="52"/>
      <c r="F411" s="52"/>
      <c r="G411" s="52"/>
      <c r="H411" s="53"/>
      <c r="I411" s="54"/>
      <c r="J411" s="49"/>
    </row>
    <row r="412" spans="1:10" ht="18" customHeight="1" x14ac:dyDescent="0.25">
      <c r="A412" s="28"/>
      <c r="B412" s="28"/>
      <c r="C412" s="28"/>
      <c r="D412" s="28"/>
      <c r="E412" s="52"/>
      <c r="F412" s="52"/>
      <c r="G412" s="52"/>
      <c r="H412" s="53"/>
      <c r="I412" s="54"/>
      <c r="J412" s="49"/>
    </row>
    <row r="413" spans="1:10" ht="18" customHeight="1" x14ac:dyDescent="0.25">
      <c r="A413" s="28"/>
      <c r="B413" s="28"/>
      <c r="C413" s="28"/>
      <c r="D413" s="28"/>
      <c r="E413" s="52"/>
      <c r="F413" s="52"/>
      <c r="G413" s="52"/>
      <c r="H413" s="53"/>
      <c r="I413" s="54"/>
      <c r="J413" s="49"/>
    </row>
    <row r="414" spans="1:10" ht="18" customHeight="1" x14ac:dyDescent="0.25">
      <c r="A414" s="28"/>
      <c r="B414" s="28"/>
      <c r="C414" s="28"/>
      <c r="D414" s="28"/>
      <c r="E414" s="52"/>
      <c r="F414" s="52"/>
      <c r="G414" s="52"/>
      <c r="H414" s="53"/>
      <c r="I414" s="54"/>
      <c r="J414" s="49"/>
    </row>
    <row r="415" spans="1:10" ht="18" customHeight="1" x14ac:dyDescent="0.25">
      <c r="A415" s="28"/>
      <c r="B415" s="28"/>
      <c r="C415" s="28"/>
      <c r="D415" s="28"/>
      <c r="E415" s="52"/>
      <c r="F415" s="52"/>
      <c r="G415" s="52"/>
      <c r="H415" s="53"/>
      <c r="I415" s="54"/>
      <c r="J415" s="49"/>
    </row>
    <row r="416" spans="1:10" ht="18" customHeight="1" x14ac:dyDescent="0.25">
      <c r="A416" s="28"/>
      <c r="B416" s="28"/>
      <c r="C416" s="28"/>
      <c r="D416" s="28"/>
      <c r="E416" s="52"/>
      <c r="F416" s="52"/>
      <c r="G416" s="52"/>
      <c r="H416" s="53"/>
      <c r="I416" s="54"/>
      <c r="J416" s="49"/>
    </row>
    <row r="417" spans="1:10" ht="18" customHeight="1" x14ac:dyDescent="0.25">
      <c r="A417" s="28"/>
      <c r="B417" s="28"/>
      <c r="C417" s="28"/>
      <c r="D417" s="28"/>
      <c r="E417" s="52"/>
      <c r="F417" s="52"/>
      <c r="G417" s="52"/>
      <c r="H417" s="53"/>
      <c r="I417" s="54"/>
      <c r="J417" s="49"/>
    </row>
    <row r="418" spans="1:10" ht="18" customHeight="1" x14ac:dyDescent="0.25">
      <c r="A418" s="28"/>
      <c r="B418" s="28"/>
      <c r="C418" s="28"/>
      <c r="D418" s="28"/>
      <c r="E418" s="52"/>
      <c r="F418" s="52"/>
      <c r="G418" s="52"/>
      <c r="H418" s="53"/>
      <c r="I418" s="54"/>
      <c r="J418" s="49"/>
    </row>
    <row r="419" spans="1:10" ht="18" customHeight="1" x14ac:dyDescent="0.25">
      <c r="A419" s="28"/>
      <c r="B419" s="28"/>
      <c r="C419" s="28"/>
      <c r="D419" s="28"/>
      <c r="E419" s="52"/>
      <c r="F419" s="52"/>
      <c r="G419" s="52"/>
      <c r="H419" s="53"/>
      <c r="I419" s="54"/>
      <c r="J419" s="49"/>
    </row>
    <row r="420" spans="1:10" ht="18" customHeight="1" x14ac:dyDescent="0.25">
      <c r="A420" s="28"/>
      <c r="B420" s="28"/>
      <c r="C420" s="28"/>
      <c r="D420" s="28"/>
      <c r="E420" s="52"/>
      <c r="F420" s="52"/>
      <c r="G420" s="52"/>
      <c r="H420" s="53"/>
      <c r="I420" s="54"/>
      <c r="J420" s="49"/>
    </row>
    <row r="421" spans="1:10" ht="18" customHeight="1" x14ac:dyDescent="0.25">
      <c r="A421" s="28"/>
      <c r="B421" s="28"/>
      <c r="C421" s="28"/>
      <c r="D421" s="28"/>
      <c r="E421" s="52"/>
      <c r="F421" s="52"/>
      <c r="G421" s="52"/>
      <c r="H421" s="53"/>
      <c r="I421" s="54"/>
      <c r="J421" s="49"/>
    </row>
    <row r="422" spans="1:10" ht="18" customHeight="1" x14ac:dyDescent="0.25">
      <c r="A422" s="28"/>
      <c r="B422" s="28"/>
      <c r="C422" s="28"/>
      <c r="D422" s="28"/>
      <c r="E422" s="52"/>
      <c r="F422" s="52"/>
      <c r="G422" s="52"/>
      <c r="H422" s="53"/>
      <c r="I422" s="54"/>
      <c r="J422" s="49"/>
    </row>
    <row r="423" spans="1:10" ht="18" customHeight="1" x14ac:dyDescent="0.25">
      <c r="A423" s="28"/>
      <c r="B423" s="28"/>
      <c r="C423" s="28"/>
      <c r="D423" s="28"/>
      <c r="E423" s="52"/>
      <c r="F423" s="52"/>
      <c r="G423" s="52"/>
      <c r="H423" s="53"/>
      <c r="I423" s="54"/>
      <c r="J423" s="49"/>
    </row>
    <row r="424" spans="1:10" ht="18" customHeight="1" x14ac:dyDescent="0.25">
      <c r="A424" s="28"/>
      <c r="B424" s="28"/>
      <c r="C424" s="28"/>
      <c r="D424" s="28"/>
      <c r="E424" s="52"/>
      <c r="F424" s="52"/>
      <c r="G424" s="52"/>
      <c r="H424" s="53"/>
      <c r="I424" s="54"/>
      <c r="J424" s="49"/>
    </row>
    <row r="425" spans="1:10" ht="18" customHeight="1" x14ac:dyDescent="0.25">
      <c r="A425" s="28"/>
      <c r="B425" s="28"/>
      <c r="C425" s="28"/>
      <c r="D425" s="28"/>
      <c r="E425" s="52"/>
      <c r="F425" s="52"/>
      <c r="G425" s="52"/>
      <c r="H425" s="53"/>
      <c r="I425" s="54"/>
      <c r="J425" s="49"/>
    </row>
    <row r="426" spans="1:10" ht="18" customHeight="1" x14ac:dyDescent="0.25">
      <c r="A426" s="28"/>
      <c r="B426" s="28"/>
      <c r="C426" s="28"/>
      <c r="D426" s="28"/>
      <c r="E426" s="52"/>
      <c r="F426" s="52"/>
      <c r="G426" s="52"/>
      <c r="H426" s="53"/>
      <c r="I426" s="54"/>
      <c r="J426" s="49"/>
    </row>
    <row r="427" spans="1:10" ht="18" customHeight="1" x14ac:dyDescent="0.25">
      <c r="A427" s="28"/>
      <c r="B427" s="28"/>
      <c r="C427" s="28"/>
      <c r="D427" s="28"/>
      <c r="E427" s="52"/>
      <c r="F427" s="52"/>
      <c r="G427" s="52"/>
      <c r="H427" s="53"/>
      <c r="I427" s="54"/>
      <c r="J427" s="49"/>
    </row>
    <row r="428" spans="1:10" ht="18" customHeight="1" x14ac:dyDescent="0.25">
      <c r="A428" s="28"/>
      <c r="B428" s="28"/>
      <c r="C428" s="28"/>
      <c r="D428" s="28"/>
      <c r="E428" s="52"/>
      <c r="F428" s="52"/>
      <c r="G428" s="52"/>
      <c r="H428" s="53"/>
      <c r="I428" s="54"/>
      <c r="J428" s="49"/>
    </row>
    <row r="429" spans="1:10" ht="18" customHeight="1" x14ac:dyDescent="0.25">
      <c r="A429" s="28"/>
      <c r="B429" s="28"/>
      <c r="C429" s="28"/>
      <c r="D429" s="28"/>
      <c r="E429" s="52"/>
      <c r="F429" s="52"/>
      <c r="G429" s="52"/>
      <c r="H429" s="53"/>
      <c r="I429" s="54"/>
      <c r="J429" s="49"/>
    </row>
    <row r="430" spans="1:10" ht="18" customHeight="1" x14ac:dyDescent="0.25">
      <c r="A430" s="28"/>
      <c r="B430" s="28"/>
      <c r="C430" s="28"/>
      <c r="D430" s="28"/>
      <c r="E430" s="52"/>
      <c r="F430" s="52"/>
      <c r="G430" s="52"/>
      <c r="H430" s="53"/>
      <c r="I430" s="54"/>
      <c r="J430" s="49"/>
    </row>
    <row r="431" spans="1:10" ht="18" customHeight="1" x14ac:dyDescent="0.25">
      <c r="A431" s="28"/>
      <c r="B431" s="28"/>
      <c r="C431" s="28"/>
      <c r="D431" s="28"/>
      <c r="E431" s="52"/>
      <c r="F431" s="52"/>
      <c r="G431" s="52"/>
      <c r="H431" s="53"/>
      <c r="I431" s="54"/>
      <c r="J431" s="49"/>
    </row>
    <row r="432" spans="1:10" ht="18" customHeight="1" x14ac:dyDescent="0.25">
      <c r="A432" s="28"/>
      <c r="B432" s="28"/>
      <c r="C432" s="28"/>
      <c r="D432" s="28"/>
      <c r="E432" s="52"/>
      <c r="F432" s="52"/>
      <c r="G432" s="52"/>
      <c r="H432" s="53"/>
      <c r="I432" s="54"/>
      <c r="J432" s="49"/>
    </row>
    <row r="433" spans="1:10" ht="18" customHeight="1" x14ac:dyDescent="0.25">
      <c r="A433" s="28"/>
      <c r="B433" s="28"/>
      <c r="C433" s="28"/>
      <c r="D433" s="28"/>
      <c r="E433" s="52"/>
      <c r="F433" s="52"/>
      <c r="G433" s="52"/>
      <c r="H433" s="53"/>
      <c r="I433" s="54"/>
      <c r="J433" s="49"/>
    </row>
    <row r="434" spans="1:10" ht="18" customHeight="1" x14ac:dyDescent="0.25">
      <c r="A434" s="28"/>
      <c r="B434" s="28"/>
      <c r="C434" s="28"/>
      <c r="D434" s="28"/>
      <c r="E434" s="52"/>
      <c r="F434" s="52"/>
      <c r="G434" s="52"/>
      <c r="H434" s="53"/>
      <c r="I434" s="54"/>
      <c r="J434" s="49"/>
    </row>
    <row r="435" spans="1:10" ht="18" customHeight="1" x14ac:dyDescent="0.25">
      <c r="A435" s="28"/>
      <c r="B435" s="28"/>
      <c r="C435" s="28"/>
      <c r="D435" s="28"/>
      <c r="E435" s="52"/>
      <c r="F435" s="52"/>
      <c r="G435" s="52"/>
      <c r="H435" s="53"/>
      <c r="I435" s="54"/>
      <c r="J435" s="49"/>
    </row>
    <row r="436" spans="1:10" ht="18" customHeight="1" x14ac:dyDescent="0.25">
      <c r="A436" s="28"/>
      <c r="B436" s="28"/>
      <c r="C436" s="28"/>
      <c r="D436" s="28"/>
      <c r="E436" s="52"/>
      <c r="F436" s="52"/>
      <c r="G436" s="52"/>
      <c r="H436" s="53"/>
      <c r="I436" s="54"/>
      <c r="J436" s="49"/>
    </row>
    <row r="437" spans="1:10" ht="18" customHeight="1" x14ac:dyDescent="0.25">
      <c r="A437" s="28"/>
      <c r="B437" s="28"/>
      <c r="C437" s="28"/>
      <c r="D437" s="28"/>
      <c r="E437" s="52"/>
      <c r="F437" s="52"/>
      <c r="G437" s="52"/>
      <c r="H437" s="53"/>
      <c r="I437" s="54"/>
      <c r="J437" s="49"/>
    </row>
    <row r="438" spans="1:10" ht="18" customHeight="1" x14ac:dyDescent="0.25">
      <c r="A438" s="28"/>
      <c r="B438" s="28"/>
      <c r="C438" s="28"/>
      <c r="D438" s="28"/>
      <c r="E438" s="52"/>
      <c r="F438" s="52"/>
      <c r="G438" s="52"/>
      <c r="H438" s="53"/>
      <c r="I438" s="54"/>
      <c r="J438" s="49"/>
    </row>
    <row r="439" spans="1:10" ht="18" customHeight="1" x14ac:dyDescent="0.25">
      <c r="A439" s="28"/>
      <c r="B439" s="28"/>
      <c r="C439" s="28"/>
      <c r="D439" s="28"/>
      <c r="E439" s="52"/>
      <c r="F439" s="52"/>
      <c r="G439" s="52"/>
      <c r="H439" s="53"/>
      <c r="I439" s="54"/>
      <c r="J439" s="49"/>
    </row>
    <row r="440" spans="1:10" ht="18" customHeight="1" x14ac:dyDescent="0.25">
      <c r="A440" s="28"/>
      <c r="B440" s="28"/>
      <c r="C440" s="28"/>
      <c r="D440" s="28"/>
      <c r="E440" s="52"/>
      <c r="F440" s="52"/>
      <c r="G440" s="52"/>
      <c r="H440" s="53"/>
      <c r="I440" s="54"/>
      <c r="J440" s="49"/>
    </row>
    <row r="441" spans="1:10" ht="18" customHeight="1" x14ac:dyDescent="0.25">
      <c r="A441" s="28"/>
      <c r="B441" s="28"/>
      <c r="C441" s="28"/>
      <c r="D441" s="28"/>
      <c r="E441" s="52"/>
      <c r="F441" s="52"/>
      <c r="G441" s="52"/>
      <c r="H441" s="53"/>
      <c r="I441" s="54"/>
      <c r="J441" s="49"/>
    </row>
    <row r="442" spans="1:10" ht="18" customHeight="1" x14ac:dyDescent="0.25">
      <c r="A442" s="28"/>
      <c r="B442" s="28"/>
      <c r="C442" s="28"/>
      <c r="D442" s="28"/>
      <c r="E442" s="52"/>
      <c r="F442" s="52"/>
      <c r="G442" s="52"/>
      <c r="H442" s="53"/>
      <c r="I442" s="54"/>
      <c r="J442" s="49"/>
    </row>
    <row r="443" spans="1:10" ht="18" customHeight="1" x14ac:dyDescent="0.25">
      <c r="A443" s="28"/>
      <c r="B443" s="28"/>
      <c r="C443" s="28"/>
      <c r="D443" s="28"/>
      <c r="E443" s="52"/>
      <c r="F443" s="52"/>
      <c r="G443" s="52"/>
      <c r="H443" s="53"/>
      <c r="I443" s="54"/>
      <c r="J443" s="49"/>
    </row>
    <row r="444" spans="1:10" ht="18" customHeight="1" x14ac:dyDescent="0.25">
      <c r="A444" s="28"/>
      <c r="B444" s="28"/>
      <c r="C444" s="28"/>
      <c r="D444" s="28"/>
      <c r="E444" s="52"/>
      <c r="F444" s="52"/>
      <c r="G444" s="52"/>
      <c r="H444" s="53"/>
      <c r="I444" s="54"/>
      <c r="J444" s="49"/>
    </row>
    <row r="445" spans="1:10" ht="18" customHeight="1" x14ac:dyDescent="0.25">
      <c r="A445" s="28"/>
      <c r="B445" s="28"/>
      <c r="C445" s="28"/>
      <c r="D445" s="28"/>
      <c r="E445" s="52"/>
      <c r="F445" s="52"/>
      <c r="G445" s="52"/>
      <c r="H445" s="53"/>
      <c r="I445" s="54"/>
      <c r="J445" s="49"/>
    </row>
    <row r="446" spans="1:10" ht="18" customHeight="1" x14ac:dyDescent="0.25">
      <c r="A446" s="28"/>
      <c r="B446" s="28"/>
      <c r="C446" s="28"/>
      <c r="D446" s="28"/>
      <c r="E446" s="52"/>
      <c r="F446" s="52"/>
      <c r="G446" s="52"/>
      <c r="H446" s="53"/>
      <c r="I446" s="54"/>
      <c r="J446" s="49"/>
    </row>
    <row r="447" spans="1:10" ht="18" customHeight="1" x14ac:dyDescent="0.25">
      <c r="A447" s="28"/>
      <c r="B447" s="28"/>
      <c r="C447" s="28"/>
      <c r="D447" s="28"/>
      <c r="E447" s="52"/>
      <c r="F447" s="52"/>
      <c r="G447" s="52"/>
      <c r="H447" s="53"/>
      <c r="I447" s="54"/>
      <c r="J447" s="49"/>
    </row>
    <row r="448" spans="1:10" ht="18" customHeight="1" x14ac:dyDescent="0.25">
      <c r="A448" s="28"/>
      <c r="B448" s="28"/>
      <c r="C448" s="28"/>
      <c r="D448" s="28"/>
      <c r="E448" s="52"/>
      <c r="F448" s="52"/>
      <c r="G448" s="52"/>
      <c r="H448" s="53"/>
      <c r="I448" s="54"/>
      <c r="J448" s="49"/>
    </row>
    <row r="449" spans="1:10" ht="18" customHeight="1" x14ac:dyDescent="0.25">
      <c r="A449" s="28"/>
      <c r="B449" s="28"/>
      <c r="C449" s="28"/>
      <c r="D449" s="28"/>
      <c r="E449" s="52"/>
      <c r="F449" s="52"/>
      <c r="G449" s="52"/>
      <c r="H449" s="53"/>
      <c r="I449" s="54"/>
      <c r="J449" s="49"/>
    </row>
    <row r="450" spans="1:10" ht="18" customHeight="1" x14ac:dyDescent="0.25">
      <c r="A450" s="28"/>
      <c r="B450" s="28"/>
      <c r="C450" s="28"/>
      <c r="D450" s="28"/>
      <c r="E450" s="52"/>
      <c r="F450" s="52"/>
      <c r="G450" s="52"/>
      <c r="H450" s="53"/>
      <c r="I450" s="54"/>
      <c r="J450" s="49"/>
    </row>
    <row r="451" spans="1:10" ht="18" customHeight="1" x14ac:dyDescent="0.25">
      <c r="A451" s="28"/>
      <c r="B451" s="28"/>
      <c r="C451" s="28"/>
      <c r="D451" s="28"/>
      <c r="E451" s="52"/>
      <c r="F451" s="52"/>
      <c r="G451" s="52"/>
      <c r="H451" s="53"/>
      <c r="I451" s="54"/>
      <c r="J451" s="49"/>
    </row>
    <row r="452" spans="1:10" ht="18" customHeight="1" x14ac:dyDescent="0.25">
      <c r="A452" s="28"/>
      <c r="B452" s="28"/>
      <c r="C452" s="28"/>
      <c r="D452" s="28"/>
      <c r="E452" s="52"/>
      <c r="F452" s="52"/>
      <c r="G452" s="52"/>
      <c r="H452" s="53"/>
      <c r="I452" s="54"/>
      <c r="J452" s="49"/>
    </row>
    <row r="453" spans="1:10" ht="18" customHeight="1" x14ac:dyDescent="0.25">
      <c r="A453" s="28"/>
      <c r="B453" s="28"/>
      <c r="C453" s="28"/>
      <c r="D453" s="28"/>
      <c r="E453" s="52"/>
      <c r="F453" s="52"/>
      <c r="G453" s="52"/>
      <c r="H453" s="53"/>
      <c r="I453" s="54"/>
      <c r="J453" s="49"/>
    </row>
    <row r="454" spans="1:10" ht="18" customHeight="1" x14ac:dyDescent="0.25">
      <c r="A454" s="28"/>
      <c r="B454" s="28"/>
      <c r="C454" s="28"/>
      <c r="D454" s="28"/>
      <c r="E454" s="52"/>
      <c r="F454" s="52"/>
      <c r="G454" s="52"/>
      <c r="H454" s="53"/>
      <c r="I454" s="54"/>
      <c r="J454" s="49"/>
    </row>
    <row r="455" spans="1:10" ht="18" customHeight="1" x14ac:dyDescent="0.25">
      <c r="A455" s="28"/>
      <c r="B455" s="28"/>
      <c r="C455" s="28"/>
      <c r="D455" s="28"/>
      <c r="E455" s="52"/>
      <c r="F455" s="52"/>
      <c r="G455" s="52"/>
      <c r="H455" s="53"/>
      <c r="I455" s="54"/>
      <c r="J455" s="49"/>
    </row>
    <row r="456" spans="1:10" ht="18" customHeight="1" x14ac:dyDescent="0.25">
      <c r="A456" s="28"/>
      <c r="B456" s="28"/>
      <c r="C456" s="28"/>
      <c r="D456" s="28"/>
      <c r="E456" s="52"/>
      <c r="F456" s="52"/>
      <c r="G456" s="52"/>
      <c r="H456" s="53"/>
      <c r="I456" s="54"/>
      <c r="J456" s="49"/>
    </row>
    <row r="457" spans="1:10" ht="18" customHeight="1" x14ac:dyDescent="0.25">
      <c r="A457" s="28"/>
      <c r="B457" s="28"/>
      <c r="C457" s="28"/>
      <c r="D457" s="28"/>
      <c r="E457" s="52"/>
      <c r="F457" s="52"/>
      <c r="G457" s="52"/>
      <c r="H457" s="53"/>
      <c r="I457" s="54"/>
      <c r="J457" s="49"/>
    </row>
    <row r="458" spans="1:10" ht="18" customHeight="1" x14ac:dyDescent="0.25">
      <c r="A458" s="28"/>
      <c r="B458" s="28"/>
      <c r="C458" s="28"/>
      <c r="D458" s="28"/>
      <c r="E458" s="52"/>
      <c r="F458" s="52"/>
      <c r="G458" s="52"/>
      <c r="H458" s="53"/>
      <c r="I458" s="54"/>
      <c r="J458" s="49"/>
    </row>
    <row r="459" spans="1:10" ht="18" customHeight="1" x14ac:dyDescent="0.25">
      <c r="A459" s="28"/>
      <c r="B459" s="28"/>
      <c r="C459" s="28"/>
      <c r="D459" s="28"/>
      <c r="E459" s="52"/>
      <c r="F459" s="52"/>
      <c r="G459" s="52"/>
      <c r="H459" s="53"/>
      <c r="I459" s="54"/>
      <c r="J459" s="49"/>
    </row>
    <row r="460" spans="1:10" ht="18" customHeight="1" x14ac:dyDescent="0.25">
      <c r="A460" s="28"/>
      <c r="B460" s="28"/>
      <c r="C460" s="28"/>
      <c r="D460" s="28"/>
      <c r="E460" s="52"/>
      <c r="F460" s="52"/>
      <c r="G460" s="52"/>
      <c r="H460" s="53"/>
      <c r="I460" s="54"/>
      <c r="J460" s="49"/>
    </row>
    <row r="461" spans="1:10" ht="18" customHeight="1" x14ac:dyDescent="0.25">
      <c r="A461" s="28"/>
      <c r="B461" s="28"/>
      <c r="C461" s="28"/>
      <c r="D461" s="28"/>
      <c r="E461" s="52"/>
      <c r="F461" s="52"/>
      <c r="G461" s="52"/>
      <c r="H461" s="53"/>
      <c r="I461" s="54"/>
      <c r="J461" s="49"/>
    </row>
    <row r="462" spans="1:10" ht="18" customHeight="1" x14ac:dyDescent="0.25">
      <c r="A462" s="28"/>
      <c r="B462" s="28"/>
      <c r="C462" s="28"/>
      <c r="D462" s="28"/>
      <c r="E462" s="52"/>
      <c r="F462" s="52"/>
      <c r="G462" s="52"/>
      <c r="H462" s="53"/>
      <c r="I462" s="54"/>
      <c r="J462" s="49"/>
    </row>
    <row r="463" spans="1:10" ht="18" customHeight="1" x14ac:dyDescent="0.25">
      <c r="A463" s="28"/>
      <c r="B463" s="28"/>
      <c r="C463" s="28"/>
      <c r="D463" s="28"/>
      <c r="E463" s="52"/>
      <c r="F463" s="52"/>
      <c r="G463" s="52"/>
      <c r="H463" s="53"/>
      <c r="I463" s="54"/>
      <c r="J463" s="49"/>
    </row>
    <row r="464" spans="1:10" ht="18" customHeight="1" x14ac:dyDescent="0.25">
      <c r="A464" s="28"/>
      <c r="B464" s="28"/>
      <c r="C464" s="28"/>
      <c r="D464" s="28"/>
      <c r="E464" s="52"/>
      <c r="F464" s="52"/>
      <c r="G464" s="52"/>
      <c r="H464" s="53"/>
      <c r="I464" s="54"/>
      <c r="J464" s="49"/>
    </row>
    <row r="465" spans="1:10" ht="18" customHeight="1" x14ac:dyDescent="0.25">
      <c r="A465" s="28"/>
      <c r="B465" s="28"/>
      <c r="C465" s="28"/>
      <c r="D465" s="28"/>
      <c r="E465" s="52"/>
      <c r="F465" s="52"/>
      <c r="G465" s="52"/>
      <c r="H465" s="53"/>
      <c r="I465" s="54"/>
      <c r="J465" s="49"/>
    </row>
    <row r="466" spans="1:10" ht="18" customHeight="1" x14ac:dyDescent="0.25">
      <c r="A466" s="28"/>
      <c r="B466" s="28"/>
      <c r="C466" s="28"/>
      <c r="D466" s="28"/>
      <c r="E466" s="52"/>
      <c r="F466" s="52"/>
      <c r="G466" s="52"/>
      <c r="H466" s="53"/>
      <c r="I466" s="54"/>
      <c r="J466" s="49"/>
    </row>
    <row r="467" spans="1:10" ht="18" customHeight="1" x14ac:dyDescent="0.25">
      <c r="A467" s="28"/>
      <c r="B467" s="28"/>
      <c r="C467" s="28"/>
      <c r="D467" s="28"/>
      <c r="E467" s="52"/>
      <c r="F467" s="52"/>
      <c r="G467" s="52"/>
      <c r="H467" s="53"/>
      <c r="I467" s="54"/>
      <c r="J467" s="49"/>
    </row>
    <row r="468" spans="1:10" ht="18" customHeight="1" x14ac:dyDescent="0.25">
      <c r="A468" s="28"/>
      <c r="B468" s="28"/>
      <c r="C468" s="28"/>
      <c r="D468" s="28"/>
      <c r="E468" s="52"/>
      <c r="F468" s="52"/>
      <c r="G468" s="52"/>
      <c r="H468" s="53"/>
      <c r="I468" s="54"/>
      <c r="J468" s="49"/>
    </row>
    <row r="469" spans="1:10" ht="18" customHeight="1" x14ac:dyDescent="0.25">
      <c r="A469" s="28"/>
      <c r="B469" s="28"/>
      <c r="C469" s="28"/>
      <c r="D469" s="28"/>
      <c r="E469" s="52"/>
      <c r="F469" s="52"/>
      <c r="G469" s="52"/>
      <c r="H469" s="53"/>
      <c r="I469" s="54"/>
      <c r="J469" s="49"/>
    </row>
    <row r="470" spans="1:10" ht="18" customHeight="1" x14ac:dyDescent="0.25">
      <c r="A470" s="28"/>
      <c r="B470" s="28"/>
      <c r="C470" s="28"/>
      <c r="D470" s="28"/>
      <c r="E470" s="52"/>
      <c r="F470" s="52"/>
      <c r="G470" s="52"/>
      <c r="H470" s="53"/>
      <c r="I470" s="54"/>
      <c r="J470" s="49"/>
    </row>
    <row r="471" spans="1:10" ht="18" customHeight="1" x14ac:dyDescent="0.25">
      <c r="A471" s="28"/>
      <c r="B471" s="28"/>
      <c r="C471" s="28"/>
      <c r="D471" s="28"/>
      <c r="E471" s="52"/>
      <c r="F471" s="52"/>
      <c r="G471" s="52"/>
      <c r="H471" s="53"/>
      <c r="I471" s="54"/>
      <c r="J471" s="49"/>
    </row>
    <row r="472" spans="1:10" ht="18" customHeight="1" x14ac:dyDescent="0.25">
      <c r="A472" s="28"/>
      <c r="B472" s="28"/>
      <c r="C472" s="28"/>
      <c r="D472" s="28"/>
      <c r="E472" s="52"/>
      <c r="F472" s="52"/>
      <c r="G472" s="52"/>
      <c r="H472" s="53"/>
      <c r="I472" s="54"/>
      <c r="J472" s="49"/>
    </row>
    <row r="473" spans="1:10" ht="18" customHeight="1" x14ac:dyDescent="0.25">
      <c r="A473" s="28"/>
      <c r="B473" s="28"/>
      <c r="C473" s="28"/>
      <c r="D473" s="28"/>
      <c r="E473" s="52"/>
      <c r="F473" s="52"/>
      <c r="G473" s="52"/>
      <c r="H473" s="53"/>
      <c r="I473" s="54"/>
      <c r="J473" s="49"/>
    </row>
    <row r="474" spans="1:10" ht="18" customHeight="1" x14ac:dyDescent="0.25">
      <c r="A474" s="28"/>
      <c r="B474" s="28"/>
      <c r="C474" s="28"/>
      <c r="D474" s="28"/>
      <c r="E474" s="52"/>
      <c r="F474" s="52"/>
      <c r="G474" s="52"/>
      <c r="H474" s="53"/>
      <c r="I474" s="54"/>
      <c r="J474" s="49"/>
    </row>
    <row r="475" spans="1:10" ht="18" customHeight="1" x14ac:dyDescent="0.25">
      <c r="A475" s="28"/>
      <c r="B475" s="28"/>
      <c r="C475" s="28"/>
      <c r="D475" s="28"/>
      <c r="E475" s="52"/>
      <c r="F475" s="52"/>
      <c r="G475" s="52"/>
      <c r="H475" s="53"/>
      <c r="I475" s="54"/>
      <c r="J475" s="49"/>
    </row>
    <row r="476" spans="1:10" ht="18" customHeight="1" x14ac:dyDescent="0.25">
      <c r="A476" s="28"/>
      <c r="B476" s="28"/>
      <c r="C476" s="28"/>
      <c r="D476" s="28"/>
      <c r="E476" s="52"/>
      <c r="F476" s="52"/>
      <c r="G476" s="52"/>
      <c r="H476" s="53"/>
      <c r="I476" s="54"/>
      <c r="J476" s="49"/>
    </row>
    <row r="477" spans="1:10" ht="18" customHeight="1" x14ac:dyDescent="0.25">
      <c r="A477" s="28"/>
      <c r="B477" s="28"/>
      <c r="C477" s="28"/>
      <c r="D477" s="28"/>
      <c r="E477" s="52"/>
      <c r="F477" s="52"/>
      <c r="G477" s="52"/>
      <c r="H477" s="53"/>
      <c r="I477" s="54"/>
      <c r="J477" s="49"/>
    </row>
    <row r="478" spans="1:10" ht="18" customHeight="1" x14ac:dyDescent="0.25">
      <c r="A478" s="28"/>
      <c r="B478" s="28"/>
      <c r="C478" s="28"/>
      <c r="D478" s="28"/>
      <c r="E478" s="52"/>
      <c r="F478" s="52"/>
      <c r="G478" s="52"/>
      <c r="H478" s="53"/>
      <c r="I478" s="54"/>
      <c r="J478" s="49"/>
    </row>
    <row r="479" spans="1:10" ht="18" customHeight="1" x14ac:dyDescent="0.25">
      <c r="A479" s="28"/>
      <c r="B479" s="28"/>
      <c r="C479" s="28"/>
      <c r="D479" s="28"/>
      <c r="E479" s="52"/>
      <c r="F479" s="52"/>
      <c r="G479" s="52"/>
      <c r="H479" s="53"/>
      <c r="I479" s="54"/>
      <c r="J479" s="49"/>
    </row>
    <row r="480" spans="1:10" ht="18" customHeight="1" x14ac:dyDescent="0.25">
      <c r="A480" s="28"/>
      <c r="B480" s="28"/>
      <c r="C480" s="28"/>
      <c r="D480" s="28"/>
      <c r="E480" s="52"/>
      <c r="F480" s="52"/>
      <c r="G480" s="52"/>
      <c r="H480" s="53"/>
      <c r="I480" s="54"/>
      <c r="J480" s="49"/>
    </row>
    <row r="481" spans="1:10" ht="18" customHeight="1" x14ac:dyDescent="0.25">
      <c r="A481" s="28"/>
      <c r="B481" s="28"/>
      <c r="C481" s="28"/>
      <c r="D481" s="28"/>
      <c r="E481" s="52"/>
      <c r="F481" s="52"/>
      <c r="G481" s="52"/>
      <c r="H481" s="53"/>
      <c r="I481" s="54"/>
      <c r="J481" s="49"/>
    </row>
    <row r="482" spans="1:10" ht="18" customHeight="1" x14ac:dyDescent="0.25">
      <c r="A482" s="28"/>
      <c r="B482" s="28"/>
      <c r="C482" s="28"/>
      <c r="D482" s="28"/>
      <c r="E482" s="52"/>
      <c r="F482" s="52"/>
      <c r="G482" s="52"/>
      <c r="H482" s="53"/>
      <c r="I482" s="54"/>
      <c r="J482" s="49"/>
    </row>
    <row r="483" spans="1:10" ht="18" customHeight="1" x14ac:dyDescent="0.25">
      <c r="A483" s="28"/>
      <c r="B483" s="28"/>
      <c r="C483" s="28"/>
      <c r="D483" s="28"/>
      <c r="E483" s="52"/>
      <c r="F483" s="52"/>
      <c r="G483" s="52"/>
      <c r="H483" s="53"/>
      <c r="I483" s="54"/>
      <c r="J483" s="49"/>
    </row>
    <row r="484" spans="1:10" ht="18" customHeight="1" x14ac:dyDescent="0.25">
      <c r="A484" s="28"/>
      <c r="B484" s="28"/>
      <c r="C484" s="28"/>
      <c r="D484" s="28"/>
      <c r="E484" s="52"/>
      <c r="F484" s="52"/>
      <c r="G484" s="52"/>
      <c r="H484" s="53"/>
      <c r="I484" s="54"/>
      <c r="J484" s="49"/>
    </row>
    <row r="485" spans="1:10" ht="18" customHeight="1" x14ac:dyDescent="0.25">
      <c r="A485" s="28"/>
      <c r="B485" s="28"/>
      <c r="C485" s="28"/>
      <c r="D485" s="28"/>
      <c r="E485" s="52"/>
      <c r="F485" s="52"/>
      <c r="G485" s="52"/>
      <c r="H485" s="53"/>
      <c r="I485" s="54"/>
      <c r="J485" s="49"/>
    </row>
    <row r="486" spans="1:10" ht="18" customHeight="1" x14ac:dyDescent="0.25">
      <c r="A486" s="28"/>
      <c r="B486" s="28"/>
      <c r="C486" s="28"/>
      <c r="D486" s="28"/>
      <c r="E486" s="52"/>
      <c r="F486" s="52"/>
      <c r="G486" s="52"/>
      <c r="H486" s="53"/>
      <c r="I486" s="54"/>
      <c r="J486" s="49"/>
    </row>
    <row r="487" spans="1:10" ht="18" customHeight="1" x14ac:dyDescent="0.25">
      <c r="A487" s="28"/>
      <c r="B487" s="28"/>
      <c r="C487" s="28"/>
      <c r="D487" s="28"/>
      <c r="E487" s="52"/>
      <c r="F487" s="52"/>
      <c r="G487" s="52"/>
      <c r="H487" s="53"/>
      <c r="I487" s="54"/>
      <c r="J487" s="49"/>
    </row>
    <row r="488" spans="1:10" ht="18" customHeight="1" x14ac:dyDescent="0.25">
      <c r="A488" s="28"/>
      <c r="B488" s="28"/>
      <c r="C488" s="28"/>
      <c r="D488" s="28"/>
      <c r="E488" s="52"/>
      <c r="F488" s="52"/>
      <c r="G488" s="52"/>
      <c r="H488" s="53"/>
      <c r="I488" s="54"/>
      <c r="J488" s="49"/>
    </row>
    <row r="489" spans="1:10" ht="18" customHeight="1" x14ac:dyDescent="0.25">
      <c r="A489" s="28"/>
      <c r="B489" s="28"/>
      <c r="C489" s="28"/>
      <c r="D489" s="28"/>
      <c r="E489" s="52"/>
      <c r="F489" s="52"/>
      <c r="G489" s="52"/>
      <c r="H489" s="53"/>
      <c r="I489" s="54"/>
      <c r="J489" s="49"/>
    </row>
    <row r="490" spans="1:10" ht="18" customHeight="1" x14ac:dyDescent="0.25">
      <c r="A490" s="28"/>
      <c r="B490" s="28"/>
      <c r="C490" s="28"/>
      <c r="D490" s="28"/>
      <c r="E490" s="52"/>
      <c r="F490" s="52"/>
      <c r="G490" s="52"/>
      <c r="H490" s="53"/>
      <c r="I490" s="54"/>
      <c r="J490" s="49"/>
    </row>
    <row r="491" spans="1:10" ht="18" customHeight="1" x14ac:dyDescent="0.25">
      <c r="A491" s="28"/>
      <c r="B491" s="28"/>
      <c r="C491" s="28"/>
      <c r="D491" s="28"/>
      <c r="E491" s="52"/>
      <c r="F491" s="52"/>
      <c r="G491" s="52"/>
      <c r="H491" s="53"/>
      <c r="I491" s="54"/>
      <c r="J491" s="49"/>
    </row>
    <row r="492" spans="1:10" ht="18" customHeight="1" x14ac:dyDescent="0.25">
      <c r="A492" s="28"/>
      <c r="B492" s="28"/>
      <c r="C492" s="28"/>
      <c r="D492" s="28"/>
      <c r="E492" s="52"/>
      <c r="F492" s="52"/>
      <c r="G492" s="52"/>
      <c r="H492" s="53"/>
      <c r="I492" s="54"/>
      <c r="J492" s="49"/>
    </row>
    <row r="493" spans="1:10" ht="18" customHeight="1" x14ac:dyDescent="0.25">
      <c r="A493" s="28"/>
      <c r="B493" s="28"/>
      <c r="C493" s="28"/>
      <c r="D493" s="28"/>
      <c r="E493" s="52"/>
      <c r="F493" s="52"/>
      <c r="G493" s="52"/>
      <c r="H493" s="53"/>
      <c r="I493" s="54"/>
      <c r="J493" s="49"/>
    </row>
    <row r="494" spans="1:10" ht="18" customHeight="1" x14ac:dyDescent="0.25">
      <c r="A494" s="28"/>
      <c r="B494" s="28"/>
      <c r="C494" s="28"/>
      <c r="D494" s="28"/>
      <c r="E494" s="52"/>
      <c r="F494" s="52"/>
      <c r="G494" s="52"/>
      <c r="H494" s="53"/>
      <c r="I494" s="54"/>
      <c r="J494" s="49"/>
    </row>
    <row r="495" spans="1:10" ht="18" customHeight="1" x14ac:dyDescent="0.25">
      <c r="A495" s="28"/>
      <c r="B495" s="28"/>
      <c r="C495" s="28"/>
      <c r="D495" s="28"/>
      <c r="E495" s="52"/>
      <c r="F495" s="52"/>
      <c r="G495" s="52"/>
      <c r="H495" s="53"/>
      <c r="I495" s="54"/>
      <c r="J495" s="49"/>
    </row>
    <row r="496" spans="1:10" ht="18" customHeight="1" x14ac:dyDescent="0.25">
      <c r="A496" s="28"/>
      <c r="B496" s="28"/>
      <c r="C496" s="28"/>
      <c r="D496" s="28"/>
      <c r="E496" s="52"/>
      <c r="F496" s="52"/>
      <c r="G496" s="52"/>
      <c r="H496" s="53"/>
      <c r="I496" s="54"/>
      <c r="J496" s="49"/>
    </row>
    <row r="497" spans="1:10" ht="18" customHeight="1" x14ac:dyDescent="0.25">
      <c r="A497" s="28"/>
      <c r="B497" s="28"/>
      <c r="C497" s="28"/>
      <c r="D497" s="28"/>
      <c r="E497" s="52"/>
      <c r="F497" s="52"/>
      <c r="G497" s="52"/>
      <c r="H497" s="53"/>
      <c r="I497" s="54"/>
      <c r="J497" s="49"/>
    </row>
    <row r="498" spans="1:10" ht="18" customHeight="1" x14ac:dyDescent="0.25">
      <c r="A498" s="28"/>
      <c r="B498" s="28"/>
      <c r="C498" s="28"/>
      <c r="D498" s="28"/>
      <c r="E498" s="52"/>
      <c r="F498" s="52"/>
      <c r="G498" s="52"/>
      <c r="H498" s="53"/>
      <c r="I498" s="54"/>
      <c r="J498" s="49"/>
    </row>
    <row r="499" spans="1:10" ht="18" customHeight="1" x14ac:dyDescent="0.25">
      <c r="A499" s="28"/>
      <c r="B499" s="28"/>
      <c r="C499" s="28"/>
      <c r="D499" s="28"/>
      <c r="E499" s="52"/>
      <c r="F499" s="52"/>
      <c r="G499" s="52"/>
      <c r="H499" s="53"/>
      <c r="I499" s="54"/>
      <c r="J499" s="49"/>
    </row>
    <row r="500" spans="1:10" ht="18" customHeight="1" x14ac:dyDescent="0.25">
      <c r="A500" s="28"/>
      <c r="B500" s="28"/>
      <c r="C500" s="28"/>
      <c r="D500" s="28"/>
      <c r="E500" s="52"/>
      <c r="F500" s="52"/>
      <c r="G500" s="52"/>
      <c r="H500" s="53"/>
      <c r="I500" s="54"/>
      <c r="J500" s="49"/>
    </row>
    <row r="501" spans="1:10" ht="18" customHeight="1" x14ac:dyDescent="0.25">
      <c r="A501" s="28"/>
      <c r="B501" s="28"/>
      <c r="C501" s="28"/>
      <c r="D501" s="28"/>
      <c r="E501" s="52"/>
      <c r="F501" s="52"/>
      <c r="G501" s="52"/>
      <c r="H501" s="53"/>
      <c r="I501" s="54"/>
      <c r="J501" s="49"/>
    </row>
    <row r="502" spans="1:10" ht="18" customHeight="1" x14ac:dyDescent="0.25">
      <c r="A502" s="28"/>
      <c r="B502" s="28"/>
      <c r="C502" s="28"/>
      <c r="D502" s="28"/>
      <c r="E502" s="52"/>
      <c r="F502" s="52"/>
      <c r="G502" s="52"/>
      <c r="H502" s="53"/>
      <c r="I502" s="54"/>
      <c r="J502" s="49"/>
    </row>
    <row r="503" spans="1:10" ht="18" customHeight="1" x14ac:dyDescent="0.25">
      <c r="A503" s="28"/>
      <c r="B503" s="28"/>
      <c r="C503" s="28"/>
      <c r="D503" s="28"/>
      <c r="E503" s="52"/>
      <c r="F503" s="52"/>
      <c r="G503" s="52"/>
      <c r="H503" s="53"/>
      <c r="I503" s="54"/>
      <c r="J503" s="49"/>
    </row>
    <row r="504" spans="1:10" ht="18" customHeight="1" x14ac:dyDescent="0.25">
      <c r="A504" s="28"/>
      <c r="B504" s="28"/>
      <c r="C504" s="28"/>
      <c r="D504" s="28"/>
      <c r="E504" s="52"/>
      <c r="F504" s="52"/>
      <c r="G504" s="52"/>
      <c r="H504" s="53"/>
      <c r="I504" s="54"/>
      <c r="J504" s="49"/>
    </row>
    <row r="505" spans="1:10" ht="18" customHeight="1" x14ac:dyDescent="0.25">
      <c r="A505" s="28"/>
      <c r="B505" s="28"/>
      <c r="C505" s="28"/>
      <c r="D505" s="28"/>
      <c r="E505" s="52"/>
      <c r="F505" s="52"/>
      <c r="G505" s="52"/>
      <c r="H505" s="53"/>
      <c r="I505" s="54"/>
      <c r="J505" s="49"/>
    </row>
    <row r="506" spans="1:10" ht="18" customHeight="1" x14ac:dyDescent="0.25">
      <c r="A506" s="28"/>
      <c r="B506" s="28"/>
      <c r="C506" s="28"/>
      <c r="D506" s="28"/>
      <c r="E506" s="52"/>
      <c r="F506" s="52"/>
      <c r="G506" s="52"/>
      <c r="H506" s="53"/>
      <c r="I506" s="54"/>
      <c r="J506" s="49"/>
    </row>
    <row r="507" spans="1:10" ht="18" customHeight="1" x14ac:dyDescent="0.25">
      <c r="A507" s="28"/>
      <c r="B507" s="28"/>
      <c r="C507" s="28"/>
      <c r="D507" s="28"/>
      <c r="E507" s="52"/>
      <c r="F507" s="52"/>
      <c r="G507" s="52"/>
      <c r="H507" s="53"/>
      <c r="I507" s="54"/>
      <c r="J507" s="49"/>
    </row>
    <row r="508" spans="1:10" ht="18" customHeight="1" x14ac:dyDescent="0.25">
      <c r="A508" s="28"/>
      <c r="B508" s="28"/>
      <c r="C508" s="28"/>
      <c r="D508" s="28"/>
      <c r="E508" s="52"/>
      <c r="F508" s="52"/>
      <c r="G508" s="52"/>
      <c r="H508" s="53"/>
      <c r="I508" s="54"/>
      <c r="J508" s="49"/>
    </row>
    <row r="509" spans="1:10" ht="18" customHeight="1" x14ac:dyDescent="0.25">
      <c r="A509" s="28"/>
      <c r="B509" s="28"/>
      <c r="C509" s="28"/>
      <c r="D509" s="28"/>
      <c r="E509" s="52"/>
      <c r="F509" s="52"/>
      <c r="G509" s="52"/>
      <c r="H509" s="53"/>
      <c r="I509" s="54"/>
      <c r="J509" s="49"/>
    </row>
    <row r="510" spans="1:10" ht="18" customHeight="1" x14ac:dyDescent="0.25">
      <c r="A510" s="28"/>
      <c r="B510" s="28"/>
      <c r="C510" s="28"/>
      <c r="D510" s="28"/>
      <c r="E510" s="52"/>
      <c r="F510" s="52"/>
      <c r="G510" s="52"/>
      <c r="H510" s="53"/>
      <c r="I510" s="54"/>
      <c r="J510" s="49"/>
    </row>
    <row r="511" spans="1:10" ht="18" customHeight="1" x14ac:dyDescent="0.25">
      <c r="A511" s="28"/>
      <c r="B511" s="28"/>
      <c r="C511" s="28"/>
      <c r="D511" s="28"/>
      <c r="E511" s="52"/>
      <c r="F511" s="52"/>
      <c r="G511" s="52"/>
      <c r="H511" s="53"/>
      <c r="I511" s="54"/>
      <c r="J511" s="49"/>
    </row>
    <row r="512" spans="1:10" ht="18" customHeight="1" x14ac:dyDescent="0.25">
      <c r="A512" s="28"/>
      <c r="B512" s="28"/>
      <c r="C512" s="28"/>
      <c r="D512" s="28"/>
      <c r="E512" s="52"/>
      <c r="F512" s="52"/>
      <c r="G512" s="52"/>
      <c r="H512" s="53"/>
      <c r="I512" s="54"/>
      <c r="J512" s="49"/>
    </row>
    <row r="513" spans="1:10" ht="18" customHeight="1" x14ac:dyDescent="0.25">
      <c r="A513" s="28"/>
      <c r="B513" s="28"/>
      <c r="C513" s="28"/>
      <c r="D513" s="28"/>
      <c r="E513" s="52"/>
      <c r="F513" s="52"/>
      <c r="G513" s="52"/>
      <c r="H513" s="53"/>
      <c r="I513" s="54"/>
      <c r="J513" s="49"/>
    </row>
    <row r="514" spans="1:10" ht="18" customHeight="1" x14ac:dyDescent="0.25">
      <c r="A514" s="28"/>
      <c r="B514" s="28"/>
      <c r="C514" s="28"/>
      <c r="D514" s="28"/>
      <c r="E514" s="52"/>
      <c r="F514" s="52"/>
      <c r="G514" s="52"/>
      <c r="H514" s="53"/>
      <c r="I514" s="54"/>
      <c r="J514" s="49"/>
    </row>
    <row r="515" spans="1:10" ht="18" customHeight="1" x14ac:dyDescent="0.25">
      <c r="A515" s="28"/>
      <c r="B515" s="28"/>
      <c r="C515" s="28"/>
      <c r="D515" s="28"/>
      <c r="E515" s="52"/>
      <c r="F515" s="52"/>
      <c r="G515" s="52"/>
      <c r="H515" s="53"/>
      <c r="I515" s="54"/>
      <c r="J515" s="49"/>
    </row>
    <row r="516" spans="1:10" ht="18" customHeight="1" x14ac:dyDescent="0.25">
      <c r="A516" s="28"/>
      <c r="B516" s="28"/>
      <c r="C516" s="28"/>
      <c r="D516" s="28"/>
      <c r="E516" s="52"/>
      <c r="F516" s="52"/>
      <c r="G516" s="52"/>
      <c r="H516" s="53"/>
      <c r="I516" s="54"/>
      <c r="J516" s="49"/>
    </row>
    <row r="517" spans="1:10" ht="18" customHeight="1" x14ac:dyDescent="0.25">
      <c r="A517" s="28"/>
      <c r="B517" s="28"/>
      <c r="C517" s="28"/>
      <c r="D517" s="28"/>
      <c r="E517" s="52"/>
      <c r="F517" s="52"/>
      <c r="G517" s="52"/>
      <c r="H517" s="53"/>
      <c r="I517" s="54"/>
      <c r="J517" s="49"/>
    </row>
    <row r="518" spans="1:10" ht="18" customHeight="1" x14ac:dyDescent="0.25">
      <c r="A518" s="28"/>
      <c r="B518" s="28"/>
      <c r="C518" s="28"/>
      <c r="D518" s="28"/>
      <c r="E518" s="52"/>
      <c r="F518" s="52"/>
      <c r="G518" s="52"/>
      <c r="H518" s="53"/>
      <c r="I518" s="54"/>
      <c r="J518" s="49"/>
    </row>
    <row r="519" spans="1:10" ht="18" customHeight="1" x14ac:dyDescent="0.25">
      <c r="A519" s="28"/>
      <c r="B519" s="28"/>
      <c r="C519" s="28"/>
      <c r="D519" s="28"/>
      <c r="E519" s="52"/>
      <c r="F519" s="52"/>
      <c r="G519" s="52"/>
      <c r="H519" s="53"/>
      <c r="I519" s="54"/>
      <c r="J519" s="49"/>
    </row>
    <row r="520" spans="1:10" ht="18" customHeight="1" x14ac:dyDescent="0.25">
      <c r="A520" s="28"/>
      <c r="B520" s="28"/>
      <c r="C520" s="28"/>
      <c r="D520" s="28"/>
      <c r="E520" s="52"/>
      <c r="F520" s="52"/>
      <c r="G520" s="52"/>
      <c r="H520" s="53"/>
      <c r="I520" s="54"/>
      <c r="J520" s="49"/>
    </row>
    <row r="521" spans="1:10" ht="18" customHeight="1" x14ac:dyDescent="0.25">
      <c r="A521" s="28"/>
      <c r="B521" s="28"/>
      <c r="C521" s="28"/>
      <c r="D521" s="28"/>
      <c r="E521" s="52"/>
      <c r="F521" s="52"/>
      <c r="G521" s="52"/>
      <c r="H521" s="53"/>
      <c r="I521" s="54"/>
      <c r="J521" s="49"/>
    </row>
    <row r="522" spans="1:10" ht="18" customHeight="1" x14ac:dyDescent="0.25">
      <c r="A522" s="28"/>
      <c r="B522" s="28"/>
      <c r="C522" s="28"/>
      <c r="D522" s="28"/>
      <c r="E522" s="52"/>
      <c r="F522" s="52"/>
      <c r="G522" s="52"/>
      <c r="H522" s="53"/>
      <c r="I522" s="54"/>
      <c r="J522" s="49"/>
    </row>
    <row r="523" spans="1:10" ht="18" customHeight="1" x14ac:dyDescent="0.25">
      <c r="A523" s="28"/>
      <c r="B523" s="28"/>
      <c r="C523" s="28"/>
      <c r="D523" s="28"/>
      <c r="E523" s="52"/>
      <c r="F523" s="52"/>
      <c r="G523" s="52"/>
      <c r="H523" s="53"/>
      <c r="I523" s="54"/>
      <c r="J523" s="49"/>
    </row>
    <row r="524" spans="1:10" ht="18" customHeight="1" x14ac:dyDescent="0.25">
      <c r="A524" s="28"/>
      <c r="B524" s="28"/>
      <c r="C524" s="28"/>
      <c r="D524" s="28"/>
      <c r="E524" s="52"/>
      <c r="F524" s="52"/>
      <c r="G524" s="52"/>
      <c r="H524" s="53"/>
      <c r="I524" s="54"/>
      <c r="J524" s="49"/>
    </row>
    <row r="525" spans="1:10" ht="18" customHeight="1" x14ac:dyDescent="0.25">
      <c r="A525" s="28"/>
      <c r="B525" s="28"/>
      <c r="C525" s="28"/>
      <c r="D525" s="28"/>
      <c r="E525" s="52"/>
      <c r="F525" s="52"/>
      <c r="G525" s="52"/>
      <c r="H525" s="53"/>
      <c r="I525" s="54"/>
      <c r="J525" s="49"/>
    </row>
    <row r="526" spans="1:10" ht="18" customHeight="1" x14ac:dyDescent="0.25">
      <c r="A526" s="28"/>
      <c r="B526" s="28"/>
      <c r="C526" s="28"/>
      <c r="D526" s="28"/>
      <c r="E526" s="52"/>
      <c r="F526" s="52"/>
      <c r="G526" s="52"/>
      <c r="H526" s="53"/>
      <c r="I526" s="54"/>
      <c r="J526" s="49"/>
    </row>
    <row r="527" spans="1:10" ht="18" customHeight="1" x14ac:dyDescent="0.25">
      <c r="A527" s="28"/>
      <c r="B527" s="28"/>
      <c r="C527" s="28"/>
      <c r="D527" s="28"/>
      <c r="E527" s="52"/>
      <c r="F527" s="52"/>
      <c r="G527" s="52"/>
      <c r="H527" s="53"/>
      <c r="I527" s="54"/>
      <c r="J527" s="49"/>
    </row>
    <row r="528" spans="1:10" ht="18" customHeight="1" x14ac:dyDescent="0.25">
      <c r="A528" s="28"/>
      <c r="B528" s="28"/>
      <c r="C528" s="28"/>
      <c r="D528" s="28"/>
      <c r="E528" s="52"/>
      <c r="F528" s="52"/>
      <c r="G528" s="52"/>
      <c r="H528" s="53"/>
      <c r="I528" s="54"/>
      <c r="J528" s="49"/>
    </row>
    <row r="529" spans="1:10" ht="18" customHeight="1" x14ac:dyDescent="0.25">
      <c r="A529" s="28"/>
      <c r="B529" s="28"/>
      <c r="C529" s="28"/>
      <c r="D529" s="28"/>
      <c r="E529" s="52"/>
      <c r="F529" s="52"/>
      <c r="G529" s="52"/>
      <c r="H529" s="53"/>
      <c r="I529" s="54"/>
      <c r="J529" s="49"/>
    </row>
    <row r="530" spans="1:10" ht="18" customHeight="1" x14ac:dyDescent="0.25">
      <c r="A530" s="28"/>
      <c r="B530" s="28"/>
      <c r="C530" s="28"/>
      <c r="D530" s="28"/>
      <c r="E530" s="52"/>
      <c r="F530" s="52"/>
      <c r="G530" s="52"/>
      <c r="H530" s="53"/>
      <c r="I530" s="54"/>
      <c r="J530" s="49"/>
    </row>
    <row r="531" spans="1:10" ht="18" customHeight="1" x14ac:dyDescent="0.25">
      <c r="A531" s="28"/>
      <c r="B531" s="28"/>
      <c r="C531" s="28"/>
      <c r="D531" s="28"/>
      <c r="E531" s="52"/>
      <c r="F531" s="52"/>
      <c r="G531" s="52"/>
      <c r="H531" s="53"/>
      <c r="I531" s="54"/>
      <c r="J531" s="49"/>
    </row>
    <row r="532" spans="1:10" ht="18" customHeight="1" x14ac:dyDescent="0.25">
      <c r="A532" s="28"/>
      <c r="B532" s="28"/>
      <c r="C532" s="28"/>
      <c r="D532" s="28"/>
      <c r="E532" s="52"/>
      <c r="F532" s="52"/>
      <c r="G532" s="52"/>
      <c r="H532" s="53"/>
      <c r="I532" s="54"/>
      <c r="J532" s="49"/>
    </row>
    <row r="533" spans="1:10" ht="18" customHeight="1" x14ac:dyDescent="0.25">
      <c r="A533" s="28"/>
      <c r="B533" s="28"/>
      <c r="C533" s="28"/>
      <c r="D533" s="28"/>
      <c r="E533" s="52"/>
      <c r="F533" s="52"/>
      <c r="G533" s="52"/>
      <c r="H533" s="53"/>
      <c r="I533" s="54"/>
      <c r="J533" s="49"/>
    </row>
    <row r="534" spans="1:10" ht="18" customHeight="1" x14ac:dyDescent="0.25">
      <c r="A534" s="28"/>
      <c r="B534" s="28"/>
      <c r="C534" s="28"/>
      <c r="D534" s="28"/>
      <c r="E534" s="52"/>
      <c r="F534" s="52"/>
      <c r="G534" s="52"/>
      <c r="H534" s="53"/>
      <c r="I534" s="54"/>
      <c r="J534" s="49"/>
    </row>
    <row r="535" spans="1:10" ht="18" customHeight="1" x14ac:dyDescent="0.25">
      <c r="A535" s="28"/>
      <c r="B535" s="28"/>
      <c r="C535" s="28"/>
      <c r="D535" s="28"/>
      <c r="E535" s="52"/>
      <c r="F535" s="52"/>
      <c r="G535" s="52"/>
      <c r="H535" s="53"/>
      <c r="I535" s="54"/>
      <c r="J535" s="49"/>
    </row>
    <row r="536" spans="1:10" ht="18" customHeight="1" x14ac:dyDescent="0.25">
      <c r="A536" s="28"/>
      <c r="B536" s="28"/>
      <c r="C536" s="28"/>
      <c r="D536" s="28"/>
      <c r="E536" s="52"/>
      <c r="F536" s="52"/>
      <c r="G536" s="52"/>
      <c r="H536" s="53"/>
      <c r="I536" s="54"/>
      <c r="J536" s="49"/>
    </row>
    <row r="537" spans="1:10" ht="18" customHeight="1" x14ac:dyDescent="0.25">
      <c r="A537" s="28"/>
      <c r="B537" s="28"/>
      <c r="C537" s="28"/>
      <c r="D537" s="28"/>
      <c r="E537" s="52"/>
      <c r="F537" s="52"/>
      <c r="G537" s="52"/>
      <c r="H537" s="53"/>
      <c r="I537" s="54"/>
      <c r="J537" s="49"/>
    </row>
    <row r="538" spans="1:10" ht="18" customHeight="1" x14ac:dyDescent="0.25">
      <c r="A538" s="28"/>
      <c r="B538" s="28"/>
      <c r="C538" s="28"/>
      <c r="D538" s="28"/>
      <c r="E538" s="52"/>
      <c r="F538" s="52"/>
      <c r="G538" s="52"/>
      <c r="H538" s="53"/>
      <c r="I538" s="54"/>
      <c r="J538" s="49"/>
    </row>
    <row r="539" spans="1:10" ht="18" customHeight="1" x14ac:dyDescent="0.25">
      <c r="A539" s="28"/>
      <c r="B539" s="28"/>
      <c r="C539" s="28"/>
      <c r="D539" s="28"/>
      <c r="E539" s="52"/>
      <c r="F539" s="52"/>
      <c r="G539" s="52"/>
      <c r="H539" s="53"/>
      <c r="I539" s="54"/>
      <c r="J539" s="49"/>
    </row>
    <row r="540" spans="1:10" ht="18" customHeight="1" x14ac:dyDescent="0.25">
      <c r="A540" s="28"/>
      <c r="B540" s="28"/>
      <c r="C540" s="28"/>
      <c r="D540" s="28"/>
      <c r="E540" s="52"/>
      <c r="F540" s="52"/>
      <c r="G540" s="52"/>
      <c r="H540" s="53"/>
      <c r="I540" s="54"/>
      <c r="J540" s="49"/>
    </row>
    <row r="541" spans="1:10" ht="18" customHeight="1" x14ac:dyDescent="0.25">
      <c r="A541" s="28"/>
      <c r="B541" s="28"/>
      <c r="C541" s="28"/>
      <c r="D541" s="28"/>
      <c r="E541" s="52"/>
      <c r="F541" s="52"/>
      <c r="G541" s="52"/>
      <c r="H541" s="53"/>
      <c r="I541" s="54"/>
      <c r="J541" s="49"/>
    </row>
    <row r="542" spans="1:10" ht="18" customHeight="1" x14ac:dyDescent="0.25">
      <c r="A542" s="28"/>
      <c r="B542" s="28"/>
      <c r="C542" s="28"/>
      <c r="D542" s="28"/>
      <c r="E542" s="52"/>
      <c r="F542" s="52"/>
      <c r="G542" s="52"/>
      <c r="H542" s="53"/>
      <c r="I542" s="54"/>
      <c r="J542" s="49"/>
    </row>
    <row r="543" spans="1:10" ht="18" customHeight="1" x14ac:dyDescent="0.25">
      <c r="A543" s="28"/>
      <c r="B543" s="28"/>
      <c r="C543" s="28"/>
      <c r="D543" s="28"/>
      <c r="E543" s="52"/>
      <c r="F543" s="52"/>
      <c r="G543" s="52"/>
      <c r="H543" s="53"/>
      <c r="I543" s="54"/>
      <c r="J543" s="49"/>
    </row>
    <row r="544" spans="1:10" ht="18" customHeight="1" x14ac:dyDescent="0.25">
      <c r="A544" s="28"/>
      <c r="B544" s="28"/>
      <c r="C544" s="28"/>
      <c r="D544" s="28"/>
      <c r="E544" s="52"/>
      <c r="F544" s="52"/>
      <c r="G544" s="52"/>
      <c r="H544" s="53"/>
      <c r="I544" s="54"/>
      <c r="J544" s="49"/>
    </row>
    <row r="545" spans="1:10" ht="18" customHeight="1" x14ac:dyDescent="0.25">
      <c r="A545" s="28"/>
      <c r="B545" s="28"/>
      <c r="C545" s="28"/>
      <c r="D545" s="28"/>
      <c r="E545" s="52"/>
      <c r="F545" s="52"/>
      <c r="G545" s="52"/>
      <c r="H545" s="53"/>
      <c r="I545" s="54"/>
      <c r="J545" s="49"/>
    </row>
    <row r="546" spans="1:10" ht="18" customHeight="1" x14ac:dyDescent="0.25">
      <c r="A546" s="28"/>
      <c r="B546" s="28"/>
      <c r="C546" s="28"/>
      <c r="D546" s="28"/>
      <c r="E546" s="52"/>
      <c r="F546" s="52"/>
      <c r="G546" s="52"/>
      <c r="H546" s="53"/>
      <c r="I546" s="54"/>
      <c r="J546" s="49"/>
    </row>
    <row r="547" spans="1:10" ht="18" customHeight="1" x14ac:dyDescent="0.25">
      <c r="A547" s="28"/>
      <c r="B547" s="28"/>
      <c r="C547" s="28"/>
      <c r="D547" s="28"/>
      <c r="E547" s="52"/>
      <c r="F547" s="52"/>
      <c r="G547" s="52"/>
      <c r="H547" s="53"/>
      <c r="I547" s="54"/>
      <c r="J547" s="49"/>
    </row>
    <row r="548" spans="1:10" ht="18" customHeight="1" x14ac:dyDescent="0.25">
      <c r="A548" s="28"/>
      <c r="B548" s="28"/>
      <c r="C548" s="28"/>
      <c r="D548" s="28"/>
      <c r="E548" s="52"/>
      <c r="F548" s="52"/>
      <c r="G548" s="52"/>
      <c r="H548" s="53"/>
      <c r="I548" s="54"/>
      <c r="J548" s="49"/>
    </row>
    <row r="549" spans="1:10" ht="18" customHeight="1" x14ac:dyDescent="0.25">
      <c r="A549" s="28"/>
      <c r="B549" s="28"/>
      <c r="C549" s="28"/>
      <c r="D549" s="28"/>
      <c r="E549" s="52"/>
      <c r="F549" s="52"/>
      <c r="G549" s="52"/>
      <c r="H549" s="53"/>
      <c r="I549" s="54"/>
      <c r="J549" s="49"/>
    </row>
    <row r="550" spans="1:10" ht="18" customHeight="1" x14ac:dyDescent="0.25">
      <c r="A550" s="28"/>
      <c r="B550" s="28"/>
      <c r="C550" s="28"/>
      <c r="D550" s="28"/>
      <c r="E550" s="52"/>
      <c r="F550" s="52"/>
      <c r="G550" s="52"/>
      <c r="H550" s="53"/>
      <c r="I550" s="54"/>
      <c r="J550" s="49"/>
    </row>
    <row r="551" spans="1:10" ht="18" customHeight="1" x14ac:dyDescent="0.25">
      <c r="A551" s="28"/>
      <c r="B551" s="28"/>
      <c r="C551" s="28"/>
      <c r="D551" s="28"/>
      <c r="E551" s="52"/>
      <c r="F551" s="52"/>
      <c r="G551" s="52"/>
      <c r="H551" s="53"/>
      <c r="I551" s="54"/>
      <c r="J551" s="49"/>
    </row>
    <row r="552" spans="1:10" ht="18" customHeight="1" x14ac:dyDescent="0.25">
      <c r="A552" s="28"/>
      <c r="B552" s="28"/>
      <c r="C552" s="28"/>
      <c r="D552" s="28"/>
      <c r="E552" s="52"/>
      <c r="F552" s="52"/>
      <c r="G552" s="52"/>
      <c r="H552" s="53"/>
      <c r="I552" s="54"/>
      <c r="J552" s="49"/>
    </row>
    <row r="553" spans="1:10" ht="18" customHeight="1" x14ac:dyDescent="0.25">
      <c r="A553" s="28"/>
      <c r="B553" s="28"/>
      <c r="C553" s="28"/>
      <c r="D553" s="28"/>
      <c r="E553" s="52"/>
      <c r="F553" s="52"/>
      <c r="G553" s="52"/>
      <c r="H553" s="53"/>
      <c r="I553" s="54"/>
      <c r="J553" s="49"/>
    </row>
    <row r="554" spans="1:10" ht="18" customHeight="1" x14ac:dyDescent="0.25">
      <c r="A554" s="28"/>
      <c r="B554" s="28"/>
      <c r="C554" s="28"/>
      <c r="D554" s="28"/>
      <c r="E554" s="52"/>
      <c r="F554" s="52"/>
      <c r="G554" s="52"/>
      <c r="H554" s="53"/>
      <c r="I554" s="54"/>
      <c r="J554" s="49"/>
    </row>
    <row r="555" spans="1:10" ht="18" customHeight="1" x14ac:dyDescent="0.25">
      <c r="A555" s="28"/>
      <c r="B555" s="28"/>
      <c r="C555" s="28"/>
      <c r="D555" s="28"/>
      <c r="E555" s="52"/>
      <c r="F555" s="52"/>
      <c r="G555" s="52"/>
      <c r="H555" s="53"/>
      <c r="I555" s="54"/>
      <c r="J555" s="49"/>
    </row>
    <row r="556" spans="1:10" ht="18" customHeight="1" x14ac:dyDescent="0.25">
      <c r="A556" s="28"/>
      <c r="B556" s="28"/>
      <c r="C556" s="28"/>
      <c r="D556" s="28"/>
      <c r="E556" s="52"/>
      <c r="F556" s="52"/>
      <c r="G556" s="52"/>
      <c r="H556" s="53"/>
      <c r="I556" s="54"/>
      <c r="J556" s="49"/>
    </row>
    <row r="557" spans="1:10" ht="18" customHeight="1" x14ac:dyDescent="0.25">
      <c r="A557" s="28"/>
      <c r="B557" s="28"/>
      <c r="C557" s="28"/>
      <c r="D557" s="28"/>
      <c r="E557" s="52"/>
      <c r="F557" s="52"/>
      <c r="G557" s="52"/>
      <c r="H557" s="53"/>
      <c r="I557" s="54"/>
      <c r="J557" s="49"/>
    </row>
    <row r="558" spans="1:10" ht="18" customHeight="1" x14ac:dyDescent="0.25">
      <c r="A558" s="28"/>
      <c r="B558" s="28"/>
      <c r="C558" s="28"/>
      <c r="D558" s="28"/>
      <c r="E558" s="52"/>
      <c r="F558" s="52"/>
      <c r="G558" s="52"/>
      <c r="H558" s="53"/>
      <c r="I558" s="54"/>
      <c r="J558" s="49"/>
    </row>
    <row r="559" spans="1:10" ht="18" customHeight="1" x14ac:dyDescent="0.25">
      <c r="A559" s="28"/>
      <c r="B559" s="28"/>
      <c r="C559" s="28"/>
      <c r="D559" s="28"/>
      <c r="E559" s="52"/>
      <c r="F559" s="52"/>
      <c r="G559" s="52"/>
      <c r="H559" s="53"/>
      <c r="I559" s="54"/>
      <c r="J559" s="49"/>
    </row>
    <row r="560" spans="1:10" ht="18" customHeight="1" x14ac:dyDescent="0.25">
      <c r="A560" s="28"/>
      <c r="B560" s="28"/>
      <c r="C560" s="28"/>
      <c r="D560" s="28"/>
      <c r="E560" s="52"/>
      <c r="F560" s="52"/>
      <c r="G560" s="52"/>
      <c r="H560" s="53"/>
      <c r="I560" s="54"/>
      <c r="J560" s="49"/>
    </row>
    <row r="561" spans="1:10" ht="18" customHeight="1" x14ac:dyDescent="0.25">
      <c r="A561" s="28"/>
      <c r="B561" s="28"/>
      <c r="C561" s="28"/>
      <c r="D561" s="28"/>
      <c r="E561" s="52"/>
      <c r="F561" s="52"/>
      <c r="G561" s="52"/>
      <c r="H561" s="53"/>
      <c r="I561" s="54"/>
      <c r="J561" s="49"/>
    </row>
    <row r="562" spans="1:10" ht="18" customHeight="1" x14ac:dyDescent="0.25">
      <c r="A562" s="28"/>
      <c r="B562" s="28"/>
      <c r="C562" s="28"/>
      <c r="D562" s="28"/>
      <c r="E562" s="52"/>
      <c r="F562" s="52"/>
      <c r="G562" s="52"/>
      <c r="H562" s="53"/>
      <c r="I562" s="54"/>
      <c r="J562" s="49"/>
    </row>
    <row r="563" spans="1:10" ht="18" customHeight="1" x14ac:dyDescent="0.25">
      <c r="A563" s="28"/>
      <c r="B563" s="28"/>
      <c r="C563" s="28"/>
      <c r="D563" s="28"/>
      <c r="E563" s="52"/>
      <c r="F563" s="52"/>
      <c r="G563" s="52"/>
      <c r="H563" s="53"/>
      <c r="I563" s="54"/>
      <c r="J563" s="49"/>
    </row>
    <row r="564" spans="1:10" ht="18" customHeight="1" x14ac:dyDescent="0.25">
      <c r="A564" s="28"/>
      <c r="B564" s="28"/>
      <c r="C564" s="28"/>
      <c r="D564" s="28"/>
      <c r="E564" s="52"/>
      <c r="F564" s="52"/>
      <c r="G564" s="52"/>
      <c r="H564" s="53"/>
      <c r="I564" s="54"/>
      <c r="J564" s="49"/>
    </row>
    <row r="565" spans="1:10" ht="18" customHeight="1" x14ac:dyDescent="0.25">
      <c r="A565" s="28"/>
      <c r="B565" s="28"/>
      <c r="C565" s="28"/>
      <c r="D565" s="28"/>
      <c r="E565" s="52"/>
      <c r="F565" s="52"/>
      <c r="G565" s="52"/>
      <c r="H565" s="53"/>
      <c r="I565" s="54"/>
      <c r="J565" s="49"/>
    </row>
    <row r="566" spans="1:10" ht="18" customHeight="1" x14ac:dyDescent="0.25">
      <c r="A566" s="28"/>
      <c r="B566" s="28"/>
      <c r="C566" s="28"/>
      <c r="D566" s="28"/>
      <c r="E566" s="52"/>
      <c r="F566" s="52"/>
      <c r="G566" s="52"/>
      <c r="H566" s="53"/>
      <c r="I566" s="54"/>
      <c r="J566" s="49"/>
    </row>
    <row r="567" spans="1:10" ht="18" customHeight="1" x14ac:dyDescent="0.25">
      <c r="A567" s="28"/>
      <c r="B567" s="28"/>
      <c r="C567" s="28"/>
      <c r="D567" s="28"/>
      <c r="E567" s="52"/>
      <c r="F567" s="52"/>
      <c r="G567" s="52"/>
      <c r="H567" s="53"/>
      <c r="I567" s="54"/>
      <c r="J567" s="49"/>
    </row>
    <row r="568" spans="1:10" ht="18" customHeight="1" x14ac:dyDescent="0.25">
      <c r="A568" s="28"/>
      <c r="B568" s="28"/>
      <c r="C568" s="28"/>
      <c r="D568" s="28"/>
      <c r="E568" s="52"/>
      <c r="F568" s="52"/>
      <c r="G568" s="52"/>
      <c r="H568" s="53"/>
      <c r="I568" s="54"/>
      <c r="J568" s="49"/>
    </row>
    <row r="569" spans="1:10" ht="18" customHeight="1" x14ac:dyDescent="0.25">
      <c r="A569" s="28"/>
      <c r="B569" s="28"/>
      <c r="C569" s="28"/>
      <c r="D569" s="28"/>
      <c r="E569" s="52"/>
      <c r="F569" s="52"/>
      <c r="G569" s="52"/>
      <c r="H569" s="53"/>
      <c r="I569" s="54"/>
      <c r="J569" s="49"/>
    </row>
    <row r="570" spans="1:10" ht="18" customHeight="1" x14ac:dyDescent="0.25">
      <c r="A570" s="28"/>
      <c r="B570" s="28"/>
      <c r="C570" s="28"/>
      <c r="D570" s="28"/>
      <c r="E570" s="52"/>
      <c r="F570" s="52"/>
      <c r="G570" s="52"/>
      <c r="H570" s="53"/>
      <c r="I570" s="54"/>
      <c r="J570" s="49"/>
    </row>
    <row r="571" spans="1:10" ht="18" customHeight="1" x14ac:dyDescent="0.25">
      <c r="A571" s="28"/>
      <c r="B571" s="28"/>
      <c r="C571" s="28"/>
      <c r="D571" s="28"/>
      <c r="E571" s="52"/>
      <c r="F571" s="52"/>
      <c r="G571" s="52"/>
      <c r="H571" s="53"/>
      <c r="I571" s="54"/>
      <c r="J571" s="49"/>
    </row>
    <row r="572" spans="1:10" ht="18" customHeight="1" x14ac:dyDescent="0.25">
      <c r="A572" s="28"/>
      <c r="B572" s="28"/>
      <c r="C572" s="28"/>
      <c r="D572" s="28"/>
      <c r="E572" s="52"/>
      <c r="F572" s="52"/>
      <c r="G572" s="52"/>
      <c r="H572" s="53"/>
      <c r="I572" s="54"/>
      <c r="J572" s="49"/>
    </row>
    <row r="573" spans="1:10" ht="18" customHeight="1" x14ac:dyDescent="0.25">
      <c r="A573" s="28"/>
      <c r="B573" s="28"/>
      <c r="C573" s="28"/>
      <c r="D573" s="28"/>
      <c r="E573" s="52"/>
      <c r="F573" s="52"/>
      <c r="G573" s="52"/>
      <c r="H573" s="53"/>
      <c r="I573" s="54"/>
      <c r="J573" s="49"/>
    </row>
    <row r="574" spans="1:10" ht="18" customHeight="1" x14ac:dyDescent="0.25">
      <c r="A574" s="28"/>
      <c r="B574" s="28"/>
      <c r="C574" s="28"/>
      <c r="D574" s="28"/>
      <c r="E574" s="52"/>
      <c r="F574" s="52"/>
      <c r="G574" s="52"/>
      <c r="H574" s="53"/>
      <c r="I574" s="54"/>
      <c r="J574" s="49"/>
    </row>
    <row r="575" spans="1:10" ht="18" customHeight="1" x14ac:dyDescent="0.25">
      <c r="A575" s="28"/>
      <c r="B575" s="28"/>
      <c r="C575" s="28"/>
      <c r="D575" s="28"/>
      <c r="E575" s="52"/>
      <c r="F575" s="52"/>
      <c r="G575" s="52"/>
      <c r="H575" s="53"/>
      <c r="I575" s="54"/>
      <c r="J575" s="49"/>
    </row>
    <row r="576" spans="1:10" ht="18" customHeight="1" x14ac:dyDescent="0.25">
      <c r="A576" s="28"/>
      <c r="B576" s="28"/>
      <c r="C576" s="28"/>
      <c r="D576" s="28"/>
      <c r="E576" s="52"/>
      <c r="F576" s="52"/>
      <c r="G576" s="52"/>
      <c r="H576" s="53"/>
      <c r="I576" s="54"/>
      <c r="J576" s="49"/>
    </row>
    <row r="577" spans="1:10" ht="18" customHeight="1" x14ac:dyDescent="0.25">
      <c r="A577" s="28"/>
      <c r="B577" s="28"/>
      <c r="C577" s="28"/>
      <c r="D577" s="28"/>
      <c r="E577" s="52"/>
      <c r="F577" s="52"/>
      <c r="G577" s="52"/>
      <c r="H577" s="53"/>
      <c r="I577" s="54"/>
      <c r="J577" s="49"/>
    </row>
    <row r="578" spans="1:10" ht="18" customHeight="1" x14ac:dyDescent="0.25">
      <c r="A578" s="28"/>
      <c r="B578" s="28"/>
      <c r="C578" s="28"/>
      <c r="D578" s="28"/>
      <c r="E578" s="52"/>
      <c r="F578" s="52"/>
      <c r="G578" s="52"/>
      <c r="H578" s="53"/>
      <c r="I578" s="54"/>
      <c r="J578" s="49"/>
    </row>
    <row r="579" spans="1:10" ht="18" customHeight="1" x14ac:dyDescent="0.25">
      <c r="A579" s="28"/>
      <c r="B579" s="28"/>
      <c r="C579" s="28"/>
      <c r="D579" s="28"/>
      <c r="E579" s="52"/>
      <c r="F579" s="52"/>
      <c r="G579" s="52"/>
      <c r="H579" s="53"/>
      <c r="I579" s="54"/>
      <c r="J579" s="49"/>
    </row>
    <row r="580" spans="1:10" ht="18" customHeight="1" x14ac:dyDescent="0.25">
      <c r="A580" s="28"/>
      <c r="B580" s="28"/>
      <c r="C580" s="28"/>
      <c r="D580" s="28"/>
      <c r="E580" s="52"/>
      <c r="F580" s="52"/>
      <c r="G580" s="52"/>
      <c r="H580" s="53"/>
      <c r="I580" s="54"/>
      <c r="J580" s="49"/>
    </row>
    <row r="581" spans="1:10" ht="18" customHeight="1" x14ac:dyDescent="0.25">
      <c r="A581" s="28"/>
      <c r="B581" s="28"/>
      <c r="C581" s="28"/>
      <c r="D581" s="28"/>
      <c r="E581" s="52"/>
      <c r="F581" s="52"/>
      <c r="G581" s="52"/>
      <c r="H581" s="53"/>
      <c r="I581" s="54"/>
      <c r="J581" s="49"/>
    </row>
    <row r="582" spans="1:10" ht="18" customHeight="1" x14ac:dyDescent="0.25">
      <c r="A582" s="28"/>
      <c r="B582" s="28"/>
      <c r="C582" s="28"/>
      <c r="D582" s="28"/>
      <c r="E582" s="52"/>
      <c r="F582" s="52"/>
      <c r="G582" s="52"/>
      <c r="H582" s="53"/>
      <c r="I582" s="54"/>
      <c r="J582" s="49"/>
    </row>
    <row r="583" spans="1:10" ht="18" customHeight="1" x14ac:dyDescent="0.25">
      <c r="A583" s="28"/>
      <c r="B583" s="28"/>
      <c r="C583" s="28"/>
      <c r="D583" s="28"/>
      <c r="E583" s="52"/>
      <c r="F583" s="52"/>
      <c r="G583" s="52"/>
      <c r="H583" s="53"/>
      <c r="I583" s="54"/>
      <c r="J583" s="49"/>
    </row>
    <row r="584" spans="1:10" ht="18" customHeight="1" x14ac:dyDescent="0.25">
      <c r="A584" s="28"/>
      <c r="B584" s="28"/>
      <c r="C584" s="28"/>
      <c r="D584" s="28"/>
      <c r="E584" s="52"/>
      <c r="F584" s="52"/>
      <c r="G584" s="52"/>
      <c r="H584" s="53"/>
      <c r="I584" s="54"/>
      <c r="J584" s="49"/>
    </row>
    <row r="585" spans="1:10" ht="18" customHeight="1" x14ac:dyDescent="0.25">
      <c r="A585" s="28"/>
      <c r="B585" s="28"/>
      <c r="C585" s="28"/>
      <c r="D585" s="28"/>
      <c r="E585" s="52"/>
      <c r="F585" s="52"/>
      <c r="G585" s="52"/>
      <c r="H585" s="53"/>
      <c r="I585" s="54"/>
      <c r="J585" s="49"/>
    </row>
    <row r="586" spans="1:10" ht="18" customHeight="1" x14ac:dyDescent="0.25">
      <c r="A586" s="28"/>
      <c r="B586" s="28"/>
      <c r="C586" s="28"/>
      <c r="D586" s="28"/>
      <c r="E586" s="52"/>
      <c r="F586" s="52"/>
      <c r="G586" s="52"/>
      <c r="H586" s="53"/>
      <c r="I586" s="54"/>
      <c r="J586" s="49"/>
    </row>
    <row r="587" spans="1:10" ht="18" customHeight="1" x14ac:dyDescent="0.25">
      <c r="A587" s="28"/>
      <c r="B587" s="28"/>
      <c r="C587" s="28"/>
      <c r="D587" s="28"/>
      <c r="E587" s="52"/>
      <c r="F587" s="52"/>
      <c r="G587" s="52"/>
      <c r="H587" s="53"/>
      <c r="I587" s="54"/>
      <c r="J587" s="49"/>
    </row>
    <row r="588" spans="1:10" ht="18" customHeight="1" x14ac:dyDescent="0.25">
      <c r="A588" s="28"/>
      <c r="B588" s="28"/>
      <c r="C588" s="28"/>
      <c r="D588" s="28"/>
      <c r="E588" s="52"/>
      <c r="F588" s="52"/>
      <c r="G588" s="52"/>
      <c r="H588" s="53"/>
      <c r="I588" s="54"/>
      <c r="J588" s="49"/>
    </row>
    <row r="589" spans="1:10" ht="18" customHeight="1" x14ac:dyDescent="0.25">
      <c r="A589" s="28"/>
      <c r="B589" s="28"/>
      <c r="C589" s="28"/>
      <c r="D589" s="28"/>
      <c r="E589" s="52"/>
      <c r="F589" s="52"/>
      <c r="G589" s="52"/>
      <c r="H589" s="53"/>
      <c r="I589" s="54"/>
      <c r="J589" s="49"/>
    </row>
    <row r="590" spans="1:10" ht="18" customHeight="1" x14ac:dyDescent="0.25">
      <c r="A590" s="28"/>
      <c r="B590" s="28"/>
      <c r="C590" s="28"/>
      <c r="D590" s="28"/>
      <c r="E590" s="52"/>
      <c r="F590" s="52"/>
      <c r="G590" s="52"/>
      <c r="H590" s="53"/>
      <c r="I590" s="54"/>
      <c r="J590" s="49"/>
    </row>
    <row r="591" spans="1:10" ht="18" customHeight="1" x14ac:dyDescent="0.25">
      <c r="A591" s="28"/>
      <c r="B591" s="28"/>
      <c r="C591" s="28"/>
      <c r="D591" s="28"/>
      <c r="E591" s="52"/>
      <c r="F591" s="52"/>
      <c r="G591" s="52"/>
      <c r="H591" s="53"/>
      <c r="I591" s="54"/>
      <c r="J591" s="49"/>
    </row>
    <row r="592" spans="1:10" ht="18" customHeight="1" x14ac:dyDescent="0.25">
      <c r="A592" s="28"/>
      <c r="B592" s="28"/>
      <c r="C592" s="28"/>
      <c r="D592" s="28"/>
      <c r="E592" s="52"/>
      <c r="F592" s="52"/>
      <c r="G592" s="52"/>
      <c r="H592" s="53"/>
      <c r="I592" s="54"/>
      <c r="J592" s="49"/>
    </row>
    <row r="593" spans="1:10" ht="18" customHeight="1" x14ac:dyDescent="0.25">
      <c r="A593" s="28"/>
      <c r="B593" s="28"/>
      <c r="C593" s="28"/>
      <c r="D593" s="28"/>
      <c r="E593" s="52"/>
      <c r="F593" s="52"/>
      <c r="G593" s="52"/>
      <c r="H593" s="53"/>
      <c r="I593" s="54"/>
      <c r="J593" s="49"/>
    </row>
    <row r="594" spans="1:10" ht="18" customHeight="1" x14ac:dyDescent="0.25">
      <c r="A594" s="28"/>
      <c r="B594" s="28"/>
      <c r="C594" s="28"/>
      <c r="D594" s="28"/>
      <c r="E594" s="52"/>
      <c r="F594" s="52"/>
      <c r="G594" s="52"/>
      <c r="H594" s="53"/>
      <c r="I594" s="54"/>
      <c r="J594" s="49"/>
    </row>
    <row r="595" spans="1:10" ht="18" customHeight="1" x14ac:dyDescent="0.25">
      <c r="A595" s="28"/>
      <c r="B595" s="28"/>
      <c r="C595" s="28"/>
      <c r="D595" s="28"/>
      <c r="E595" s="52"/>
      <c r="F595" s="52"/>
      <c r="G595" s="52"/>
      <c r="H595" s="53"/>
      <c r="I595" s="54"/>
      <c r="J595" s="49"/>
    </row>
    <row r="596" spans="1:10" ht="18" customHeight="1" x14ac:dyDescent="0.25">
      <c r="A596" s="28"/>
      <c r="B596" s="28"/>
      <c r="C596" s="28"/>
      <c r="D596" s="28"/>
      <c r="E596" s="52"/>
      <c r="F596" s="52"/>
      <c r="G596" s="52"/>
      <c r="H596" s="53"/>
      <c r="I596" s="54"/>
      <c r="J596" s="49"/>
    </row>
    <row r="597" spans="1:10" ht="18" customHeight="1" x14ac:dyDescent="0.25">
      <c r="A597" s="28"/>
      <c r="B597" s="28"/>
      <c r="C597" s="28"/>
      <c r="D597" s="28"/>
      <c r="E597" s="52"/>
      <c r="F597" s="52"/>
      <c r="G597" s="52"/>
      <c r="H597" s="53"/>
      <c r="I597" s="54"/>
      <c r="J597" s="49"/>
    </row>
    <row r="598" spans="1:10" ht="18" customHeight="1" x14ac:dyDescent="0.25">
      <c r="A598" s="28"/>
      <c r="B598" s="28"/>
      <c r="C598" s="28"/>
      <c r="D598" s="28"/>
      <c r="E598" s="52"/>
      <c r="F598" s="52"/>
      <c r="G598" s="52"/>
      <c r="H598" s="53"/>
      <c r="I598" s="54"/>
      <c r="J598" s="49"/>
    </row>
    <row r="599" spans="1:10" ht="18" customHeight="1" x14ac:dyDescent="0.25">
      <c r="A599" s="28"/>
      <c r="B599" s="28"/>
      <c r="C599" s="28"/>
      <c r="D599" s="28"/>
      <c r="E599" s="52"/>
      <c r="F599" s="52"/>
      <c r="G599" s="52"/>
      <c r="H599" s="53"/>
      <c r="I599" s="54"/>
      <c r="J599" s="49"/>
    </row>
    <row r="600" spans="1:10" ht="18" customHeight="1" x14ac:dyDescent="0.25">
      <c r="A600" s="28"/>
      <c r="B600" s="28"/>
      <c r="C600" s="28"/>
      <c r="D600" s="28"/>
      <c r="E600" s="52"/>
      <c r="F600" s="52"/>
      <c r="G600" s="52"/>
      <c r="H600" s="53"/>
      <c r="I600" s="54"/>
      <c r="J600" s="49"/>
    </row>
    <row r="601" spans="1:10" ht="18" customHeight="1" x14ac:dyDescent="0.25">
      <c r="A601" s="28"/>
      <c r="B601" s="28"/>
      <c r="C601" s="28"/>
      <c r="D601" s="28"/>
      <c r="E601" s="52"/>
      <c r="F601" s="52"/>
      <c r="G601" s="52"/>
      <c r="H601" s="53"/>
      <c r="I601" s="54"/>
      <c r="J601" s="49"/>
    </row>
    <row r="602" spans="1:10" ht="18" customHeight="1" x14ac:dyDescent="0.25">
      <c r="A602" s="28"/>
      <c r="B602" s="28"/>
      <c r="C602" s="28"/>
      <c r="D602" s="28"/>
      <c r="E602" s="52"/>
      <c r="F602" s="52"/>
      <c r="G602" s="52"/>
      <c r="H602" s="53"/>
      <c r="I602" s="54"/>
      <c r="J602" s="49"/>
    </row>
    <row r="603" spans="1:10" ht="18" customHeight="1" x14ac:dyDescent="0.25">
      <c r="A603" s="28"/>
      <c r="B603" s="28"/>
      <c r="C603" s="28"/>
      <c r="D603" s="28"/>
      <c r="E603" s="52"/>
      <c r="F603" s="52"/>
      <c r="G603" s="52"/>
      <c r="H603" s="53"/>
      <c r="I603" s="54"/>
      <c r="J603" s="49"/>
    </row>
    <row r="604" spans="1:10" ht="18" customHeight="1" x14ac:dyDescent="0.25">
      <c r="A604" s="28"/>
      <c r="B604" s="28"/>
      <c r="C604" s="28"/>
      <c r="D604" s="28"/>
      <c r="E604" s="52"/>
      <c r="F604" s="52"/>
      <c r="G604" s="52"/>
      <c r="H604" s="53"/>
      <c r="I604" s="54"/>
      <c r="J604" s="49"/>
    </row>
    <row r="605" spans="1:10" ht="18" customHeight="1" x14ac:dyDescent="0.25">
      <c r="A605" s="28"/>
      <c r="B605" s="28"/>
      <c r="C605" s="28"/>
      <c r="D605" s="28"/>
      <c r="E605" s="52"/>
      <c r="F605" s="52"/>
      <c r="G605" s="52"/>
      <c r="H605" s="53"/>
      <c r="I605" s="54"/>
      <c r="J605" s="49"/>
    </row>
    <row r="606" spans="1:10" ht="18" customHeight="1" x14ac:dyDescent="0.25">
      <c r="A606" s="28"/>
      <c r="B606" s="28"/>
      <c r="C606" s="28"/>
      <c r="D606" s="28"/>
      <c r="E606" s="52"/>
      <c r="F606" s="52"/>
      <c r="G606" s="52"/>
      <c r="H606" s="53"/>
      <c r="I606" s="54"/>
      <c r="J606" s="49"/>
    </row>
    <row r="607" spans="1:10" ht="18" customHeight="1" x14ac:dyDescent="0.25">
      <c r="A607" s="28"/>
      <c r="B607" s="28"/>
      <c r="C607" s="28"/>
      <c r="D607" s="28"/>
      <c r="E607" s="52"/>
      <c r="F607" s="52"/>
      <c r="G607" s="52"/>
      <c r="H607" s="53"/>
      <c r="I607" s="54"/>
      <c r="J607" s="49"/>
    </row>
    <row r="608" spans="1:10" ht="18" customHeight="1" x14ac:dyDescent="0.25">
      <c r="A608" s="28"/>
      <c r="B608" s="28"/>
      <c r="C608" s="28"/>
      <c r="D608" s="28"/>
      <c r="E608" s="52"/>
      <c r="F608" s="52"/>
      <c r="G608" s="52"/>
      <c r="H608" s="53"/>
      <c r="I608" s="54"/>
      <c r="J608" s="49"/>
    </row>
    <row r="609" spans="1:10" ht="18" customHeight="1" x14ac:dyDescent="0.25">
      <c r="A609" s="28"/>
      <c r="B609" s="28"/>
      <c r="C609" s="28"/>
      <c r="D609" s="28"/>
      <c r="E609" s="52"/>
      <c r="F609" s="52"/>
      <c r="G609" s="52"/>
      <c r="H609" s="53"/>
      <c r="I609" s="54"/>
      <c r="J609" s="49"/>
    </row>
    <row r="610" spans="1:10" ht="18" customHeight="1" x14ac:dyDescent="0.25">
      <c r="A610" s="28"/>
      <c r="B610" s="28"/>
      <c r="C610" s="28"/>
      <c r="D610" s="28"/>
      <c r="E610" s="52"/>
      <c r="F610" s="52"/>
      <c r="G610" s="52"/>
      <c r="H610" s="53"/>
      <c r="I610" s="54"/>
      <c r="J610" s="49"/>
    </row>
    <row r="611" spans="1:10" ht="18" customHeight="1" x14ac:dyDescent="0.25">
      <c r="A611" s="28"/>
      <c r="B611" s="28"/>
      <c r="C611" s="28"/>
      <c r="D611" s="28"/>
      <c r="E611" s="52"/>
      <c r="F611" s="52"/>
      <c r="G611" s="52"/>
      <c r="H611" s="53"/>
      <c r="I611" s="54"/>
      <c r="J611" s="49"/>
    </row>
    <row r="612" spans="1:10" ht="18" customHeight="1" x14ac:dyDescent="0.25">
      <c r="A612" s="28"/>
      <c r="B612" s="28"/>
      <c r="C612" s="28"/>
      <c r="D612" s="28"/>
      <c r="E612" s="52"/>
      <c r="F612" s="52"/>
      <c r="G612" s="52"/>
      <c r="H612" s="53"/>
      <c r="I612" s="54"/>
      <c r="J612" s="49"/>
    </row>
    <row r="613" spans="1:10" ht="18" customHeight="1" x14ac:dyDescent="0.25">
      <c r="A613" s="28"/>
      <c r="B613" s="28"/>
      <c r="C613" s="28"/>
      <c r="D613" s="28"/>
      <c r="E613" s="52"/>
      <c r="F613" s="52"/>
      <c r="G613" s="52"/>
      <c r="H613" s="53"/>
      <c r="I613" s="54"/>
      <c r="J613" s="49"/>
    </row>
    <row r="614" spans="1:10" ht="18" customHeight="1" x14ac:dyDescent="0.25">
      <c r="A614" s="28"/>
      <c r="B614" s="28"/>
      <c r="C614" s="28"/>
      <c r="D614" s="28"/>
      <c r="E614" s="52"/>
      <c r="F614" s="52"/>
      <c r="G614" s="52"/>
      <c r="H614" s="53"/>
      <c r="I614" s="54"/>
      <c r="J614" s="49"/>
    </row>
    <row r="615" spans="1:10" ht="18" customHeight="1" x14ac:dyDescent="0.25">
      <c r="A615" s="28"/>
      <c r="B615" s="28"/>
      <c r="C615" s="28"/>
      <c r="D615" s="28"/>
      <c r="E615" s="52"/>
      <c r="F615" s="52"/>
      <c r="G615" s="52"/>
      <c r="H615" s="53"/>
      <c r="I615" s="54"/>
      <c r="J615" s="49"/>
    </row>
    <row r="616" spans="1:10" ht="18" customHeight="1" x14ac:dyDescent="0.25">
      <c r="A616" s="28"/>
      <c r="B616" s="28"/>
      <c r="C616" s="28"/>
      <c r="D616" s="28"/>
      <c r="E616" s="52"/>
      <c r="F616" s="52"/>
      <c r="G616" s="52"/>
      <c r="H616" s="53"/>
      <c r="I616" s="54"/>
      <c r="J616" s="49"/>
    </row>
    <row r="617" spans="1:10" ht="18" customHeight="1" x14ac:dyDescent="0.25">
      <c r="A617" s="28"/>
      <c r="B617" s="28"/>
      <c r="C617" s="28"/>
      <c r="D617" s="28"/>
      <c r="E617" s="52"/>
      <c r="F617" s="52"/>
      <c r="G617" s="52"/>
      <c r="H617" s="53"/>
      <c r="I617" s="54"/>
      <c r="J617" s="49"/>
    </row>
    <row r="618" spans="1:10" ht="18" customHeight="1" x14ac:dyDescent="0.25">
      <c r="A618" s="28"/>
      <c r="B618" s="28"/>
      <c r="C618" s="28"/>
      <c r="D618" s="28"/>
      <c r="E618" s="52"/>
      <c r="F618" s="52"/>
      <c r="G618" s="52"/>
      <c r="H618" s="53"/>
      <c r="I618" s="54"/>
      <c r="J618" s="49"/>
    </row>
    <row r="619" spans="1:10" ht="18" customHeight="1" x14ac:dyDescent="0.25">
      <c r="A619" s="28"/>
      <c r="B619" s="28"/>
      <c r="C619" s="28"/>
      <c r="D619" s="28"/>
      <c r="E619" s="52"/>
      <c r="F619" s="52"/>
      <c r="G619" s="52"/>
      <c r="H619" s="53"/>
      <c r="I619" s="54"/>
      <c r="J619" s="49"/>
    </row>
    <row r="620" spans="1:10" ht="18" customHeight="1" x14ac:dyDescent="0.25">
      <c r="A620" s="28"/>
      <c r="B620" s="28"/>
      <c r="C620" s="28"/>
      <c r="D620" s="28"/>
      <c r="E620" s="52"/>
      <c r="F620" s="52"/>
      <c r="G620" s="52"/>
      <c r="H620" s="53"/>
      <c r="I620" s="54"/>
      <c r="J620" s="49"/>
    </row>
    <row r="621" spans="1:10" ht="18" customHeight="1" x14ac:dyDescent="0.25">
      <c r="A621" s="28"/>
      <c r="B621" s="28"/>
      <c r="C621" s="28"/>
      <c r="D621" s="28"/>
      <c r="E621" s="52"/>
      <c r="F621" s="52"/>
      <c r="G621" s="52"/>
      <c r="H621" s="53"/>
      <c r="I621" s="54"/>
      <c r="J621" s="49"/>
    </row>
    <row r="622" spans="1:10" ht="18" customHeight="1" x14ac:dyDescent="0.25">
      <c r="A622" s="28"/>
      <c r="B622" s="28"/>
      <c r="C622" s="28"/>
      <c r="D622" s="28"/>
      <c r="E622" s="52"/>
      <c r="F622" s="52"/>
      <c r="G622" s="52"/>
      <c r="H622" s="53"/>
      <c r="I622" s="54"/>
      <c r="J622" s="49"/>
    </row>
    <row r="623" spans="1:10" ht="18" customHeight="1" x14ac:dyDescent="0.25">
      <c r="A623" s="28"/>
      <c r="B623" s="28"/>
      <c r="C623" s="28"/>
      <c r="D623" s="28"/>
      <c r="E623" s="52"/>
      <c r="F623" s="52"/>
      <c r="G623" s="52"/>
      <c r="H623" s="53"/>
      <c r="I623" s="54"/>
      <c r="J623" s="49"/>
    </row>
    <row r="624" spans="1:10" ht="18" customHeight="1" x14ac:dyDescent="0.25">
      <c r="A624" s="28"/>
      <c r="B624" s="28"/>
      <c r="C624" s="28"/>
      <c r="D624" s="28"/>
      <c r="E624" s="52"/>
      <c r="F624" s="52"/>
      <c r="G624" s="52"/>
      <c r="H624" s="53"/>
      <c r="I624" s="54"/>
      <c r="J624" s="49"/>
    </row>
    <row r="625" spans="1:10" ht="18" customHeight="1" x14ac:dyDescent="0.25">
      <c r="A625" s="28"/>
      <c r="B625" s="28"/>
      <c r="C625" s="28"/>
      <c r="D625" s="28"/>
      <c r="E625" s="52"/>
      <c r="F625" s="52"/>
      <c r="G625" s="52"/>
      <c r="H625" s="53"/>
      <c r="I625" s="54"/>
      <c r="J625" s="49"/>
    </row>
    <row r="626" spans="1:10" ht="18" customHeight="1" x14ac:dyDescent="0.25">
      <c r="A626" s="28"/>
      <c r="B626" s="28"/>
      <c r="C626" s="28"/>
      <c r="D626" s="28"/>
      <c r="E626" s="52"/>
      <c r="F626" s="52"/>
      <c r="G626" s="52"/>
      <c r="H626" s="53"/>
      <c r="I626" s="54"/>
      <c r="J626" s="49"/>
    </row>
    <row r="627" spans="1:10" ht="18" customHeight="1" x14ac:dyDescent="0.25">
      <c r="A627" s="28"/>
      <c r="B627" s="28"/>
      <c r="C627" s="28"/>
      <c r="D627" s="28"/>
      <c r="E627" s="52"/>
      <c r="F627" s="52"/>
      <c r="G627" s="52"/>
      <c r="H627" s="53"/>
      <c r="I627" s="54"/>
      <c r="J627" s="49"/>
    </row>
    <row r="628" spans="1:10" ht="18" customHeight="1" x14ac:dyDescent="0.25">
      <c r="A628" s="28"/>
      <c r="B628" s="28"/>
      <c r="C628" s="28"/>
      <c r="D628" s="28"/>
      <c r="E628" s="52"/>
      <c r="F628" s="52"/>
      <c r="G628" s="52"/>
      <c r="H628" s="53"/>
      <c r="I628" s="54"/>
      <c r="J628" s="49"/>
    </row>
    <row r="629" spans="1:10" ht="18" customHeight="1" x14ac:dyDescent="0.25">
      <c r="A629" s="28"/>
      <c r="B629" s="28"/>
      <c r="C629" s="28"/>
      <c r="D629" s="28"/>
      <c r="E629" s="52"/>
      <c r="F629" s="52"/>
      <c r="G629" s="52"/>
      <c r="H629" s="53"/>
      <c r="I629" s="54"/>
      <c r="J629" s="49"/>
    </row>
    <row r="630" spans="1:10" ht="18" customHeight="1" x14ac:dyDescent="0.25">
      <c r="A630" s="28"/>
      <c r="B630" s="28"/>
      <c r="C630" s="28"/>
      <c r="D630" s="28"/>
      <c r="E630" s="52"/>
      <c r="F630" s="52"/>
      <c r="G630" s="52"/>
      <c r="H630" s="53"/>
      <c r="I630" s="54"/>
      <c r="J630" s="49"/>
    </row>
    <row r="631" spans="1:10" ht="18" customHeight="1" x14ac:dyDescent="0.25">
      <c r="A631" s="28"/>
      <c r="B631" s="28"/>
      <c r="C631" s="28"/>
      <c r="D631" s="28"/>
      <c r="E631" s="52"/>
      <c r="F631" s="52"/>
      <c r="G631" s="52"/>
      <c r="H631" s="53"/>
      <c r="I631" s="54"/>
      <c r="J631" s="49"/>
    </row>
    <row r="632" spans="1:10" ht="18" customHeight="1" x14ac:dyDescent="0.25">
      <c r="A632" s="28"/>
      <c r="B632" s="28"/>
      <c r="C632" s="28"/>
      <c r="D632" s="28"/>
      <c r="E632" s="52"/>
      <c r="F632" s="52"/>
      <c r="G632" s="52"/>
      <c r="H632" s="53"/>
      <c r="I632" s="54"/>
      <c r="J632" s="49"/>
    </row>
    <row r="633" spans="1:10" ht="18" customHeight="1" x14ac:dyDescent="0.25">
      <c r="A633" s="28"/>
      <c r="B633" s="28"/>
      <c r="C633" s="28"/>
      <c r="D633" s="28"/>
      <c r="E633" s="52"/>
      <c r="F633" s="52"/>
      <c r="G633" s="52"/>
      <c r="H633" s="53"/>
      <c r="I633" s="54"/>
      <c r="J633" s="49"/>
    </row>
    <row r="634" spans="1:10" ht="18" customHeight="1" x14ac:dyDescent="0.25">
      <c r="A634" s="28"/>
      <c r="B634" s="28"/>
      <c r="C634" s="28"/>
      <c r="D634" s="28"/>
      <c r="E634" s="52"/>
      <c r="F634" s="52"/>
      <c r="G634" s="52"/>
      <c r="H634" s="53"/>
      <c r="I634" s="54"/>
      <c r="J634" s="49"/>
    </row>
    <row r="635" spans="1:10" ht="18" customHeight="1" x14ac:dyDescent="0.25">
      <c r="A635" s="28"/>
      <c r="B635" s="28"/>
      <c r="C635" s="28"/>
      <c r="D635" s="28"/>
      <c r="E635" s="52"/>
      <c r="F635" s="52"/>
      <c r="G635" s="52"/>
      <c r="H635" s="53"/>
      <c r="I635" s="54"/>
      <c r="J635" s="49"/>
    </row>
    <row r="636" spans="1:10" ht="18" customHeight="1" x14ac:dyDescent="0.25">
      <c r="A636" s="28"/>
      <c r="B636" s="28"/>
      <c r="C636" s="28"/>
      <c r="D636" s="28"/>
      <c r="E636" s="52"/>
      <c r="F636" s="52"/>
      <c r="G636" s="52"/>
      <c r="H636" s="53"/>
      <c r="I636" s="54"/>
      <c r="J636" s="49"/>
    </row>
    <row r="637" spans="1:10" ht="18" customHeight="1" x14ac:dyDescent="0.25">
      <c r="A637" s="28"/>
      <c r="B637" s="28"/>
      <c r="C637" s="28"/>
      <c r="D637" s="28"/>
      <c r="E637" s="52"/>
      <c r="F637" s="52"/>
      <c r="G637" s="52"/>
      <c r="H637" s="53"/>
      <c r="I637" s="54"/>
      <c r="J637" s="49"/>
    </row>
    <row r="638" spans="1:10" ht="18" customHeight="1" x14ac:dyDescent="0.25">
      <c r="A638" s="28"/>
      <c r="B638" s="28"/>
      <c r="C638" s="28"/>
      <c r="D638" s="28"/>
      <c r="E638" s="52"/>
      <c r="F638" s="52"/>
      <c r="G638" s="52"/>
      <c r="H638" s="53"/>
      <c r="I638" s="54"/>
      <c r="J638" s="49"/>
    </row>
    <row r="639" spans="1:10" ht="18" customHeight="1" x14ac:dyDescent="0.25">
      <c r="A639" s="28"/>
      <c r="B639" s="28"/>
      <c r="C639" s="28"/>
      <c r="D639" s="28"/>
      <c r="E639" s="52"/>
      <c r="F639" s="52"/>
      <c r="G639" s="52"/>
      <c r="H639" s="53"/>
      <c r="I639" s="54"/>
      <c r="J639" s="49"/>
    </row>
    <row r="640" spans="1:10" ht="18" customHeight="1" x14ac:dyDescent="0.25">
      <c r="A640" s="28"/>
      <c r="B640" s="28"/>
      <c r="C640" s="28"/>
      <c r="D640" s="28"/>
      <c r="E640" s="52"/>
      <c r="F640" s="52"/>
      <c r="G640" s="52"/>
      <c r="H640" s="53"/>
      <c r="I640" s="54"/>
      <c r="J640" s="49"/>
    </row>
    <row r="641" spans="1:10" ht="18" customHeight="1" x14ac:dyDescent="0.25">
      <c r="A641" s="28"/>
      <c r="B641" s="28"/>
      <c r="C641" s="28"/>
      <c r="D641" s="28"/>
      <c r="E641" s="52"/>
      <c r="F641" s="52"/>
      <c r="G641" s="52"/>
      <c r="H641" s="53"/>
      <c r="I641" s="54"/>
      <c r="J641" s="49"/>
    </row>
    <row r="642" spans="1:10" ht="18" customHeight="1" x14ac:dyDescent="0.25">
      <c r="A642" s="28"/>
      <c r="B642" s="28"/>
      <c r="C642" s="28"/>
      <c r="D642" s="28"/>
      <c r="E642" s="52"/>
      <c r="F642" s="52"/>
      <c r="G642" s="52"/>
      <c r="H642" s="53"/>
      <c r="I642" s="54"/>
      <c r="J642" s="49"/>
    </row>
    <row r="643" spans="1:10" ht="18" customHeight="1" x14ac:dyDescent="0.25">
      <c r="A643" s="28"/>
      <c r="B643" s="28"/>
      <c r="C643" s="28"/>
      <c r="D643" s="28"/>
      <c r="E643" s="52"/>
      <c r="F643" s="52"/>
      <c r="G643" s="52"/>
      <c r="H643" s="53"/>
      <c r="I643" s="54"/>
      <c r="J643" s="49"/>
    </row>
    <row r="644" spans="1:10" ht="18" customHeight="1" x14ac:dyDescent="0.25">
      <c r="A644" s="28"/>
      <c r="B644" s="28"/>
      <c r="C644" s="28"/>
      <c r="D644" s="28"/>
      <c r="E644" s="52"/>
      <c r="F644" s="52"/>
      <c r="G644" s="52"/>
      <c r="H644" s="53"/>
      <c r="I644" s="54"/>
      <c r="J644" s="49"/>
    </row>
    <row r="645" spans="1:10" ht="18" customHeight="1" x14ac:dyDescent="0.25">
      <c r="A645" s="28"/>
      <c r="B645" s="28"/>
      <c r="C645" s="28"/>
      <c r="D645" s="28"/>
      <c r="E645" s="52"/>
      <c r="F645" s="52"/>
      <c r="G645" s="52"/>
      <c r="H645" s="53"/>
      <c r="I645" s="54"/>
      <c r="J645" s="49"/>
    </row>
    <row r="646" spans="1:10" ht="18" customHeight="1" x14ac:dyDescent="0.25">
      <c r="A646" s="28"/>
      <c r="B646" s="28"/>
      <c r="C646" s="28"/>
      <c r="D646" s="28"/>
      <c r="E646" s="52"/>
      <c r="F646" s="52"/>
      <c r="G646" s="52"/>
      <c r="H646" s="53"/>
      <c r="I646" s="54"/>
      <c r="J646" s="49"/>
    </row>
    <row r="647" spans="1:10" ht="18" customHeight="1" x14ac:dyDescent="0.25">
      <c r="A647" s="28"/>
      <c r="B647" s="28"/>
      <c r="C647" s="28"/>
      <c r="D647" s="28"/>
      <c r="E647" s="52"/>
      <c r="F647" s="52"/>
      <c r="G647" s="52"/>
      <c r="H647" s="53"/>
      <c r="I647" s="54"/>
      <c r="J647" s="49"/>
    </row>
    <row r="648" spans="1:10" ht="18" customHeight="1" x14ac:dyDescent="0.25">
      <c r="A648" s="28"/>
      <c r="B648" s="28"/>
      <c r="C648" s="28"/>
      <c r="D648" s="28"/>
      <c r="E648" s="52"/>
      <c r="F648" s="52"/>
      <c r="G648" s="52"/>
      <c r="H648" s="53"/>
      <c r="I648" s="54"/>
      <c r="J648" s="49"/>
    </row>
    <row r="649" spans="1:10" ht="18" customHeight="1" x14ac:dyDescent="0.25">
      <c r="A649" s="28"/>
      <c r="B649" s="28"/>
      <c r="C649" s="28"/>
      <c r="D649" s="28"/>
      <c r="E649" s="52"/>
      <c r="F649" s="52"/>
      <c r="G649" s="52"/>
      <c r="H649" s="53"/>
      <c r="I649" s="54"/>
      <c r="J649" s="49"/>
    </row>
    <row r="650" spans="1:10" ht="18" customHeight="1" x14ac:dyDescent="0.25">
      <c r="A650" s="28"/>
      <c r="B650" s="28"/>
      <c r="C650" s="28"/>
      <c r="D650" s="28"/>
      <c r="E650" s="52"/>
      <c r="F650" s="52"/>
      <c r="G650" s="52"/>
      <c r="H650" s="53"/>
      <c r="I650" s="54"/>
      <c r="J650" s="49"/>
    </row>
    <row r="651" spans="1:10" ht="18" customHeight="1" x14ac:dyDescent="0.25">
      <c r="A651" s="28"/>
      <c r="B651" s="28"/>
      <c r="C651" s="28"/>
      <c r="D651" s="28"/>
      <c r="E651" s="52"/>
      <c r="F651" s="52"/>
      <c r="G651" s="52"/>
      <c r="H651" s="53"/>
      <c r="I651" s="54"/>
      <c r="J651" s="49"/>
    </row>
    <row r="652" spans="1:10" ht="18" customHeight="1" x14ac:dyDescent="0.25">
      <c r="A652" s="28"/>
      <c r="B652" s="28"/>
      <c r="C652" s="28"/>
      <c r="D652" s="28"/>
      <c r="E652" s="52"/>
      <c r="F652" s="52"/>
      <c r="G652" s="52"/>
      <c r="H652" s="53"/>
      <c r="I652" s="54"/>
      <c r="J652" s="49"/>
    </row>
    <row r="653" spans="1:10" ht="18" customHeight="1" x14ac:dyDescent="0.25">
      <c r="A653" s="28"/>
      <c r="B653" s="28"/>
      <c r="C653" s="28"/>
      <c r="D653" s="28"/>
      <c r="E653" s="52"/>
      <c r="F653" s="52"/>
      <c r="G653" s="52"/>
      <c r="H653" s="53"/>
      <c r="I653" s="54"/>
      <c r="J653" s="49"/>
    </row>
    <row r="654" spans="1:10" ht="18" customHeight="1" x14ac:dyDescent="0.25">
      <c r="A654" s="28"/>
      <c r="B654" s="28"/>
      <c r="C654" s="28"/>
      <c r="D654" s="28"/>
      <c r="E654" s="52"/>
      <c r="F654" s="52"/>
      <c r="G654" s="52"/>
      <c r="H654" s="53"/>
      <c r="I654" s="54"/>
      <c r="J654" s="49"/>
    </row>
    <row r="655" spans="1:10" ht="18" customHeight="1" x14ac:dyDescent="0.25">
      <c r="A655" s="28"/>
      <c r="B655" s="28"/>
      <c r="C655" s="28"/>
      <c r="D655" s="28"/>
      <c r="E655" s="52"/>
      <c r="F655" s="52"/>
      <c r="G655" s="52"/>
      <c r="H655" s="53"/>
      <c r="I655" s="54"/>
      <c r="J655" s="49"/>
    </row>
    <row r="656" spans="1:10" ht="18" customHeight="1" x14ac:dyDescent="0.25">
      <c r="A656" s="28"/>
      <c r="B656" s="28"/>
      <c r="C656" s="28"/>
      <c r="D656" s="28"/>
      <c r="E656" s="52"/>
      <c r="F656" s="52"/>
      <c r="G656" s="52"/>
      <c r="H656" s="53"/>
      <c r="I656" s="54"/>
      <c r="J656" s="49"/>
    </row>
    <row r="657" spans="1:10" ht="18" customHeight="1" x14ac:dyDescent="0.25">
      <c r="A657" s="28"/>
      <c r="B657" s="28"/>
      <c r="C657" s="28"/>
      <c r="D657" s="28"/>
      <c r="E657" s="52"/>
      <c r="F657" s="52"/>
      <c r="G657" s="52"/>
      <c r="H657" s="53"/>
      <c r="I657" s="54"/>
      <c r="J657" s="49"/>
    </row>
    <row r="658" spans="1:10" ht="18" customHeight="1" x14ac:dyDescent="0.25">
      <c r="A658" s="28"/>
      <c r="B658" s="28"/>
      <c r="C658" s="28"/>
      <c r="D658" s="28"/>
      <c r="E658" s="52"/>
      <c r="F658" s="52"/>
      <c r="G658" s="52"/>
      <c r="H658" s="53"/>
      <c r="I658" s="54"/>
      <c r="J658" s="49"/>
    </row>
    <row r="659" spans="1:10" ht="18" customHeight="1" x14ac:dyDescent="0.25">
      <c r="A659" s="28"/>
      <c r="B659" s="28"/>
      <c r="C659" s="28"/>
      <c r="D659" s="28"/>
      <c r="E659" s="52"/>
      <c r="F659" s="52"/>
      <c r="G659" s="52"/>
      <c r="H659" s="53"/>
      <c r="I659" s="54"/>
      <c r="J659" s="49"/>
    </row>
    <row r="660" spans="1:10" ht="18" customHeight="1" x14ac:dyDescent="0.25">
      <c r="A660" s="28"/>
      <c r="B660" s="28"/>
      <c r="C660" s="28"/>
      <c r="D660" s="28"/>
      <c r="E660" s="52"/>
      <c r="F660" s="52"/>
      <c r="G660" s="52"/>
      <c r="H660" s="53"/>
      <c r="I660" s="54"/>
      <c r="J660" s="49"/>
    </row>
    <row r="661" spans="1:10" ht="18" customHeight="1" x14ac:dyDescent="0.25">
      <c r="A661" s="28"/>
      <c r="B661" s="28"/>
      <c r="C661" s="28"/>
      <c r="D661" s="28"/>
      <c r="E661" s="52"/>
      <c r="F661" s="52"/>
      <c r="G661" s="52"/>
      <c r="H661" s="53"/>
      <c r="I661" s="54"/>
      <c r="J661" s="49"/>
    </row>
    <row r="662" spans="1:10" ht="18" customHeight="1" x14ac:dyDescent="0.25">
      <c r="A662" s="28"/>
      <c r="B662" s="28"/>
      <c r="C662" s="28"/>
      <c r="D662" s="28"/>
      <c r="E662" s="52"/>
      <c r="F662" s="52"/>
      <c r="G662" s="52"/>
      <c r="H662" s="53"/>
      <c r="I662" s="54"/>
      <c r="J662" s="49"/>
    </row>
    <row r="663" spans="1:10" ht="18" customHeight="1" x14ac:dyDescent="0.25">
      <c r="A663" s="28"/>
      <c r="B663" s="28"/>
      <c r="C663" s="28"/>
      <c r="D663" s="28"/>
      <c r="E663" s="52"/>
      <c r="F663" s="52"/>
      <c r="G663" s="52"/>
      <c r="H663" s="53"/>
      <c r="I663" s="54"/>
      <c r="J663" s="49"/>
    </row>
    <row r="664" spans="1:10" ht="18" customHeight="1" x14ac:dyDescent="0.25">
      <c r="A664" s="28"/>
      <c r="B664" s="28"/>
      <c r="C664" s="28"/>
      <c r="D664" s="28"/>
      <c r="E664" s="52"/>
      <c r="F664" s="52"/>
      <c r="G664" s="52"/>
      <c r="H664" s="53"/>
      <c r="I664" s="54"/>
      <c r="J664" s="49"/>
    </row>
    <row r="665" spans="1:10" ht="18" customHeight="1" x14ac:dyDescent="0.25">
      <c r="A665" s="28"/>
      <c r="B665" s="28"/>
      <c r="C665" s="28"/>
      <c r="D665" s="28"/>
      <c r="E665" s="52"/>
      <c r="F665" s="52"/>
      <c r="G665" s="52"/>
      <c r="H665" s="53"/>
      <c r="I665" s="54"/>
      <c r="J665" s="49"/>
    </row>
    <row r="666" spans="1:10" ht="18" customHeight="1" x14ac:dyDescent="0.25">
      <c r="A666" s="28"/>
      <c r="B666" s="28"/>
      <c r="C666" s="28"/>
      <c r="D666" s="28"/>
      <c r="E666" s="52"/>
      <c r="F666" s="52"/>
      <c r="G666" s="52"/>
      <c r="H666" s="53"/>
      <c r="I666" s="54"/>
      <c r="J666" s="49"/>
    </row>
    <row r="667" spans="1:10" ht="18" customHeight="1" x14ac:dyDescent="0.25">
      <c r="A667" s="28"/>
      <c r="B667" s="28"/>
      <c r="C667" s="28"/>
      <c r="D667" s="28"/>
      <c r="E667" s="52"/>
      <c r="F667" s="52"/>
      <c r="G667" s="52"/>
      <c r="H667" s="53"/>
      <c r="I667" s="54"/>
      <c r="J667" s="49"/>
    </row>
    <row r="668" spans="1:10" ht="18" customHeight="1" x14ac:dyDescent="0.25">
      <c r="A668" s="28"/>
      <c r="B668" s="28"/>
      <c r="C668" s="28"/>
      <c r="D668" s="28"/>
      <c r="E668" s="52"/>
      <c r="F668" s="52"/>
      <c r="G668" s="52"/>
      <c r="H668" s="53"/>
      <c r="I668" s="54"/>
      <c r="J668" s="49"/>
    </row>
    <row r="669" spans="1:10" ht="18" customHeight="1" x14ac:dyDescent="0.25">
      <c r="A669" s="28"/>
      <c r="B669" s="28"/>
      <c r="C669" s="28"/>
      <c r="D669" s="28"/>
      <c r="E669" s="52"/>
      <c r="F669" s="52"/>
      <c r="G669" s="52"/>
      <c r="H669" s="53"/>
      <c r="I669" s="54"/>
      <c r="J669" s="49"/>
    </row>
    <row r="670" spans="1:10" ht="18" customHeight="1" x14ac:dyDescent="0.25">
      <c r="A670" s="28"/>
      <c r="B670" s="28"/>
      <c r="C670" s="28"/>
      <c r="D670" s="28"/>
      <c r="E670" s="52"/>
      <c r="F670" s="52"/>
      <c r="G670" s="52"/>
      <c r="H670" s="53"/>
      <c r="I670" s="54"/>
      <c r="J670" s="49"/>
    </row>
    <row r="671" spans="1:10" ht="18" customHeight="1" x14ac:dyDescent="0.25">
      <c r="A671" s="28"/>
      <c r="B671" s="28"/>
      <c r="C671" s="28"/>
      <c r="D671" s="28"/>
      <c r="E671" s="52"/>
      <c r="F671" s="52"/>
      <c r="G671" s="52"/>
      <c r="H671" s="53"/>
      <c r="I671" s="54"/>
      <c r="J671" s="49"/>
    </row>
    <row r="672" spans="1:10" ht="18" customHeight="1" x14ac:dyDescent="0.25">
      <c r="A672" s="28"/>
      <c r="B672" s="28"/>
      <c r="C672" s="28"/>
      <c r="D672" s="28"/>
      <c r="E672" s="52"/>
      <c r="F672" s="52"/>
      <c r="G672" s="52"/>
      <c r="H672" s="53"/>
      <c r="I672" s="54"/>
      <c r="J672" s="49"/>
    </row>
    <row r="673" spans="1:10" ht="18" customHeight="1" x14ac:dyDescent="0.25">
      <c r="A673" s="28"/>
      <c r="B673" s="28"/>
      <c r="C673" s="28"/>
      <c r="D673" s="28"/>
      <c r="E673" s="52"/>
      <c r="F673" s="52"/>
      <c r="G673" s="52"/>
      <c r="H673" s="53"/>
      <c r="I673" s="54"/>
      <c r="J673" s="49"/>
    </row>
    <row r="674" spans="1:10" ht="18" customHeight="1" x14ac:dyDescent="0.25">
      <c r="A674" s="28"/>
      <c r="B674" s="28"/>
      <c r="C674" s="28"/>
      <c r="D674" s="28"/>
      <c r="E674" s="52"/>
      <c r="F674" s="52"/>
      <c r="G674" s="52"/>
      <c r="H674" s="53"/>
      <c r="I674" s="54"/>
      <c r="J674" s="49"/>
    </row>
    <row r="675" spans="1:10" ht="18" customHeight="1" x14ac:dyDescent="0.25">
      <c r="A675" s="28"/>
      <c r="B675" s="28"/>
      <c r="C675" s="28"/>
      <c r="D675" s="28"/>
      <c r="E675" s="52"/>
      <c r="F675" s="52"/>
      <c r="G675" s="52"/>
      <c r="H675" s="53"/>
      <c r="I675" s="54"/>
      <c r="J675" s="49"/>
    </row>
    <row r="676" spans="1:10" ht="18" customHeight="1" x14ac:dyDescent="0.25">
      <c r="A676" s="28"/>
      <c r="B676" s="28"/>
      <c r="C676" s="28"/>
      <c r="D676" s="28"/>
      <c r="E676" s="52"/>
      <c r="F676" s="52"/>
      <c r="G676" s="52"/>
      <c r="H676" s="53"/>
      <c r="I676" s="54"/>
      <c r="J676" s="49"/>
    </row>
    <row r="677" spans="1:10" ht="18" customHeight="1" x14ac:dyDescent="0.25">
      <c r="A677" s="28"/>
      <c r="B677" s="28"/>
      <c r="C677" s="28"/>
      <c r="D677" s="28"/>
      <c r="E677" s="52"/>
      <c r="F677" s="52"/>
      <c r="G677" s="52"/>
      <c r="H677" s="53"/>
      <c r="I677" s="54"/>
      <c r="J677" s="49"/>
    </row>
    <row r="678" spans="1:10" ht="18" customHeight="1" x14ac:dyDescent="0.25">
      <c r="A678" s="28"/>
      <c r="B678" s="28"/>
      <c r="C678" s="28"/>
      <c r="D678" s="28"/>
      <c r="E678" s="52"/>
      <c r="F678" s="52"/>
      <c r="G678" s="52"/>
      <c r="H678" s="53"/>
      <c r="I678" s="54"/>
      <c r="J678" s="49"/>
    </row>
    <row r="679" spans="1:10" ht="18" customHeight="1" x14ac:dyDescent="0.25">
      <c r="A679" s="28"/>
      <c r="B679" s="28"/>
      <c r="C679" s="28"/>
      <c r="D679" s="28"/>
      <c r="E679" s="52"/>
      <c r="F679" s="52"/>
      <c r="G679" s="52"/>
      <c r="H679" s="53"/>
      <c r="I679" s="54"/>
      <c r="J679" s="49"/>
    </row>
    <row r="680" spans="1:10" ht="18" customHeight="1" x14ac:dyDescent="0.25">
      <c r="A680" s="28"/>
      <c r="B680" s="28"/>
      <c r="C680" s="28"/>
      <c r="D680" s="28"/>
      <c r="E680" s="52"/>
      <c r="F680" s="52"/>
      <c r="G680" s="52"/>
      <c r="H680" s="53"/>
      <c r="I680" s="54"/>
      <c r="J680" s="49"/>
    </row>
    <row r="681" spans="1:10" ht="18" customHeight="1" x14ac:dyDescent="0.25">
      <c r="A681" s="28"/>
      <c r="B681" s="28"/>
      <c r="C681" s="28"/>
      <c r="D681" s="28"/>
      <c r="E681" s="52"/>
      <c r="F681" s="52"/>
      <c r="G681" s="52"/>
      <c r="H681" s="53"/>
      <c r="I681" s="54"/>
      <c r="J681" s="49"/>
    </row>
    <row r="682" spans="1:10" ht="18" customHeight="1" x14ac:dyDescent="0.25">
      <c r="A682" s="28"/>
      <c r="B682" s="28"/>
      <c r="C682" s="28"/>
      <c r="D682" s="28"/>
      <c r="E682" s="52"/>
      <c r="F682" s="52"/>
      <c r="G682" s="52"/>
      <c r="H682" s="53"/>
      <c r="I682" s="54"/>
      <c r="J682" s="49"/>
    </row>
    <row r="683" spans="1:10" ht="18" customHeight="1" x14ac:dyDescent="0.25">
      <c r="A683" s="28"/>
      <c r="B683" s="28"/>
      <c r="C683" s="28"/>
      <c r="D683" s="28"/>
      <c r="E683" s="52"/>
      <c r="F683" s="52"/>
      <c r="G683" s="52"/>
      <c r="H683" s="53"/>
      <c r="I683" s="54"/>
      <c r="J683" s="49"/>
    </row>
    <row r="684" spans="1:10" ht="18" customHeight="1" x14ac:dyDescent="0.25">
      <c r="A684" s="28"/>
      <c r="B684" s="28"/>
      <c r="C684" s="28"/>
      <c r="D684" s="28"/>
      <c r="E684" s="52"/>
      <c r="F684" s="52"/>
      <c r="G684" s="52"/>
      <c r="H684" s="53"/>
      <c r="I684" s="54"/>
      <c r="J684" s="49"/>
    </row>
    <row r="685" spans="1:10" ht="18" customHeight="1" x14ac:dyDescent="0.25">
      <c r="A685" s="28"/>
      <c r="B685" s="28"/>
      <c r="C685" s="28"/>
      <c r="D685" s="28"/>
      <c r="E685" s="52"/>
      <c r="F685" s="52"/>
      <c r="G685" s="52"/>
      <c r="H685" s="53"/>
      <c r="I685" s="54"/>
      <c r="J685" s="49"/>
    </row>
    <row r="686" spans="1:10" ht="18" customHeight="1" x14ac:dyDescent="0.25">
      <c r="A686" s="28"/>
      <c r="B686" s="28"/>
      <c r="C686" s="28"/>
      <c r="D686" s="28"/>
      <c r="E686" s="52"/>
      <c r="F686" s="52"/>
      <c r="G686" s="52"/>
      <c r="H686" s="53"/>
      <c r="I686" s="54"/>
      <c r="J686" s="49"/>
    </row>
    <row r="687" spans="1:10" ht="18" customHeight="1" x14ac:dyDescent="0.25">
      <c r="A687" s="28"/>
      <c r="B687" s="28"/>
      <c r="C687" s="28"/>
      <c r="D687" s="28"/>
      <c r="E687" s="52"/>
      <c r="F687" s="52"/>
      <c r="G687" s="52"/>
      <c r="H687" s="53"/>
      <c r="I687" s="54"/>
      <c r="J687" s="49"/>
    </row>
    <row r="688" spans="1:10" ht="18" customHeight="1" x14ac:dyDescent="0.25">
      <c r="A688" s="28"/>
      <c r="B688" s="28"/>
      <c r="C688" s="28"/>
      <c r="D688" s="28"/>
      <c r="E688" s="52"/>
      <c r="F688" s="52"/>
      <c r="G688" s="52"/>
      <c r="H688" s="53"/>
      <c r="I688" s="54"/>
      <c r="J688" s="49"/>
    </row>
    <row r="689" spans="1:10" ht="18" customHeight="1" x14ac:dyDescent="0.25">
      <c r="A689" s="28"/>
      <c r="B689" s="28"/>
      <c r="C689" s="28"/>
      <c r="D689" s="28"/>
      <c r="E689" s="52"/>
      <c r="F689" s="52"/>
      <c r="G689" s="52"/>
      <c r="H689" s="53"/>
      <c r="I689" s="54"/>
      <c r="J689" s="49"/>
    </row>
    <row r="690" spans="1:10" ht="18" customHeight="1" x14ac:dyDescent="0.25">
      <c r="A690" s="28"/>
      <c r="B690" s="28"/>
      <c r="C690" s="28"/>
      <c r="D690" s="28"/>
      <c r="E690" s="52"/>
      <c r="F690" s="52"/>
      <c r="G690" s="52"/>
      <c r="H690" s="53"/>
      <c r="I690" s="54"/>
      <c r="J690" s="49"/>
    </row>
    <row r="691" spans="1:10" ht="18" customHeight="1" x14ac:dyDescent="0.25">
      <c r="A691" s="28"/>
      <c r="B691" s="28"/>
      <c r="C691" s="28"/>
      <c r="D691" s="28"/>
      <c r="E691" s="52"/>
      <c r="F691" s="52"/>
      <c r="G691" s="52"/>
      <c r="H691" s="53"/>
      <c r="I691" s="54"/>
      <c r="J691" s="49"/>
    </row>
    <row r="692" spans="1:10" ht="18" customHeight="1" x14ac:dyDescent="0.25">
      <c r="A692" s="28"/>
      <c r="B692" s="28"/>
      <c r="C692" s="28"/>
      <c r="D692" s="28"/>
      <c r="E692" s="52"/>
      <c r="F692" s="52"/>
      <c r="G692" s="52"/>
      <c r="H692" s="53"/>
      <c r="I692" s="54"/>
      <c r="J692" s="49"/>
    </row>
    <row r="693" spans="1:10" ht="18" customHeight="1" x14ac:dyDescent="0.25">
      <c r="A693" s="28"/>
      <c r="B693" s="28"/>
      <c r="C693" s="28"/>
      <c r="D693" s="28"/>
      <c r="E693" s="52"/>
      <c r="F693" s="52"/>
      <c r="G693" s="52"/>
      <c r="H693" s="53"/>
      <c r="I693" s="54"/>
      <c r="J693" s="49"/>
    </row>
    <row r="694" spans="1:10" ht="18" customHeight="1" x14ac:dyDescent="0.25">
      <c r="A694" s="28"/>
      <c r="B694" s="28"/>
      <c r="C694" s="28"/>
      <c r="D694" s="28"/>
      <c r="E694" s="52"/>
      <c r="F694" s="52"/>
      <c r="G694" s="52"/>
      <c r="H694" s="53"/>
      <c r="I694" s="54"/>
      <c r="J694" s="49"/>
    </row>
    <row r="695" spans="1:10" ht="18" customHeight="1" x14ac:dyDescent="0.25">
      <c r="A695" s="28"/>
      <c r="B695" s="28"/>
      <c r="C695" s="28"/>
      <c r="D695" s="28"/>
      <c r="E695" s="52"/>
      <c r="F695" s="52"/>
      <c r="G695" s="52"/>
      <c r="H695" s="53"/>
      <c r="I695" s="54"/>
      <c r="J695" s="49"/>
    </row>
    <row r="696" spans="1:10" ht="18" customHeight="1" x14ac:dyDescent="0.25">
      <c r="A696" s="28"/>
      <c r="B696" s="28"/>
      <c r="C696" s="28"/>
      <c r="D696" s="28"/>
      <c r="E696" s="52"/>
      <c r="F696" s="52"/>
      <c r="G696" s="52"/>
      <c r="H696" s="53"/>
      <c r="I696" s="54"/>
      <c r="J696" s="49"/>
    </row>
    <row r="697" spans="1:10" ht="18" customHeight="1" x14ac:dyDescent="0.25">
      <c r="A697" s="28"/>
      <c r="B697" s="28"/>
      <c r="C697" s="28"/>
      <c r="D697" s="28"/>
      <c r="E697" s="52"/>
      <c r="F697" s="52"/>
      <c r="G697" s="52"/>
      <c r="H697" s="53"/>
      <c r="I697" s="54"/>
      <c r="J697" s="49"/>
    </row>
    <row r="698" spans="1:10" ht="18" customHeight="1" x14ac:dyDescent="0.25">
      <c r="A698" s="28"/>
      <c r="B698" s="28"/>
      <c r="C698" s="28"/>
      <c r="D698" s="28"/>
      <c r="E698" s="52"/>
      <c r="F698" s="52"/>
      <c r="G698" s="52"/>
      <c r="H698" s="53"/>
      <c r="I698" s="54"/>
      <c r="J698" s="49"/>
    </row>
    <row r="699" spans="1:10" ht="18" customHeight="1" x14ac:dyDescent="0.25">
      <c r="A699" s="28"/>
      <c r="B699" s="28"/>
      <c r="C699" s="28"/>
      <c r="D699" s="28"/>
      <c r="E699" s="52"/>
      <c r="F699" s="52"/>
      <c r="G699" s="52"/>
      <c r="H699" s="53"/>
      <c r="I699" s="54"/>
      <c r="J699" s="49"/>
    </row>
    <row r="700" spans="1:10" ht="18" customHeight="1" x14ac:dyDescent="0.25">
      <c r="A700" s="28"/>
      <c r="B700" s="28"/>
      <c r="C700" s="28"/>
      <c r="D700" s="28"/>
      <c r="E700" s="52"/>
      <c r="F700" s="52"/>
      <c r="G700" s="52"/>
      <c r="H700" s="53"/>
      <c r="I700" s="54"/>
      <c r="J700" s="49"/>
    </row>
    <row r="701" spans="1:10" ht="18" customHeight="1" x14ac:dyDescent="0.25">
      <c r="A701" s="28"/>
      <c r="B701" s="28"/>
      <c r="C701" s="28"/>
      <c r="D701" s="28"/>
      <c r="E701" s="52"/>
      <c r="F701" s="52"/>
      <c r="G701" s="52"/>
      <c r="H701" s="53"/>
      <c r="I701" s="54"/>
      <c r="J701" s="49"/>
    </row>
    <row r="702" spans="1:10" ht="18" customHeight="1" x14ac:dyDescent="0.25">
      <c r="A702" s="28"/>
      <c r="B702" s="28"/>
      <c r="C702" s="28"/>
      <c r="D702" s="28"/>
      <c r="E702" s="52"/>
      <c r="F702" s="52"/>
      <c r="G702" s="52"/>
      <c r="H702" s="53"/>
      <c r="I702" s="54"/>
      <c r="J702" s="49"/>
    </row>
    <row r="703" spans="1:10" ht="18" customHeight="1" x14ac:dyDescent="0.25">
      <c r="A703" s="28"/>
      <c r="B703" s="28"/>
      <c r="C703" s="28"/>
      <c r="D703" s="28"/>
      <c r="E703" s="52"/>
      <c r="F703" s="52"/>
      <c r="G703" s="52"/>
      <c r="H703" s="53"/>
      <c r="I703" s="54"/>
      <c r="J703" s="49"/>
    </row>
    <row r="704" spans="1:10" ht="18" customHeight="1" x14ac:dyDescent="0.25">
      <c r="A704" s="28"/>
      <c r="B704" s="28"/>
      <c r="C704" s="28"/>
      <c r="D704" s="28"/>
      <c r="E704" s="52"/>
      <c r="F704" s="52"/>
      <c r="G704" s="52"/>
      <c r="H704" s="53"/>
      <c r="I704" s="54"/>
      <c r="J704" s="49"/>
    </row>
    <row r="705" spans="1:10" ht="18" customHeight="1" x14ac:dyDescent="0.25">
      <c r="A705" s="28"/>
      <c r="B705" s="28"/>
      <c r="C705" s="28"/>
      <c r="D705" s="28"/>
      <c r="E705" s="52"/>
      <c r="F705" s="52"/>
      <c r="G705" s="52"/>
      <c r="H705" s="53"/>
      <c r="I705" s="54"/>
      <c r="J705" s="49"/>
    </row>
    <row r="706" spans="1:10" ht="18" customHeight="1" x14ac:dyDescent="0.25">
      <c r="A706" s="28"/>
      <c r="B706" s="28"/>
      <c r="C706" s="28"/>
      <c r="D706" s="28"/>
      <c r="E706" s="52"/>
      <c r="F706" s="52"/>
      <c r="G706" s="52"/>
      <c r="H706" s="53"/>
      <c r="I706" s="54"/>
      <c r="J706" s="49"/>
    </row>
    <row r="707" spans="1:10" ht="18" customHeight="1" x14ac:dyDescent="0.25">
      <c r="A707" s="28"/>
      <c r="B707" s="28"/>
      <c r="C707" s="28"/>
      <c r="D707" s="28"/>
      <c r="E707" s="52"/>
      <c r="F707" s="52"/>
      <c r="G707" s="52"/>
      <c r="H707" s="53"/>
      <c r="I707" s="54"/>
      <c r="J707" s="49"/>
    </row>
    <row r="708" spans="1:10" ht="18" customHeight="1" x14ac:dyDescent="0.25">
      <c r="A708" s="28"/>
      <c r="B708" s="28"/>
      <c r="C708" s="28"/>
      <c r="D708" s="28"/>
      <c r="E708" s="52"/>
      <c r="F708" s="52"/>
      <c r="G708" s="52"/>
      <c r="H708" s="53"/>
      <c r="I708" s="54"/>
      <c r="J708" s="49"/>
    </row>
    <row r="709" spans="1:10" ht="18" customHeight="1" x14ac:dyDescent="0.25">
      <c r="A709" s="28"/>
      <c r="B709" s="28"/>
      <c r="C709" s="28"/>
      <c r="D709" s="28"/>
      <c r="E709" s="52"/>
      <c r="F709" s="52"/>
      <c r="G709" s="52"/>
      <c r="H709" s="53"/>
      <c r="I709" s="54"/>
      <c r="J709" s="49"/>
    </row>
    <row r="710" spans="1:10" ht="18" customHeight="1" x14ac:dyDescent="0.25">
      <c r="A710" s="28"/>
      <c r="B710" s="28"/>
      <c r="C710" s="28"/>
      <c r="D710" s="28"/>
      <c r="E710" s="52"/>
      <c r="F710" s="52"/>
      <c r="G710" s="52"/>
      <c r="H710" s="53"/>
      <c r="I710" s="54"/>
      <c r="J710" s="49"/>
    </row>
    <row r="711" spans="1:10" ht="18" customHeight="1" x14ac:dyDescent="0.25">
      <c r="A711" s="28"/>
      <c r="B711" s="28"/>
      <c r="C711" s="28"/>
      <c r="D711" s="28"/>
      <c r="E711" s="52"/>
      <c r="F711" s="52"/>
      <c r="G711" s="52"/>
      <c r="H711" s="53"/>
      <c r="I711" s="54"/>
      <c r="J711" s="49"/>
    </row>
    <row r="712" spans="1:10" ht="18" customHeight="1" x14ac:dyDescent="0.25">
      <c r="A712" s="28"/>
      <c r="B712" s="28"/>
      <c r="C712" s="28"/>
      <c r="D712" s="28"/>
      <c r="E712" s="52"/>
      <c r="F712" s="52"/>
      <c r="G712" s="52"/>
      <c r="H712" s="53"/>
      <c r="I712" s="54"/>
      <c r="J712" s="49"/>
    </row>
    <row r="713" spans="1:10" ht="18" customHeight="1" x14ac:dyDescent="0.25">
      <c r="A713" s="28"/>
      <c r="B713" s="28"/>
      <c r="C713" s="28"/>
      <c r="D713" s="28"/>
      <c r="E713" s="52"/>
      <c r="F713" s="52"/>
      <c r="G713" s="52"/>
      <c r="H713" s="53"/>
      <c r="I713" s="54"/>
      <c r="J713" s="49"/>
    </row>
    <row r="714" spans="1:10" ht="18" customHeight="1" x14ac:dyDescent="0.25">
      <c r="A714" s="28"/>
      <c r="B714" s="28"/>
      <c r="C714" s="28"/>
      <c r="D714" s="28"/>
      <c r="E714" s="52"/>
      <c r="F714" s="52"/>
      <c r="G714" s="52"/>
      <c r="H714" s="53"/>
      <c r="I714" s="54"/>
      <c r="J714" s="49"/>
    </row>
    <row r="715" spans="1:10" ht="18" customHeight="1" x14ac:dyDescent="0.25">
      <c r="A715" s="28"/>
      <c r="B715" s="28"/>
      <c r="C715" s="28"/>
      <c r="D715" s="28"/>
      <c r="E715" s="52"/>
      <c r="F715" s="52"/>
      <c r="G715" s="52"/>
      <c r="H715" s="53"/>
      <c r="I715" s="54"/>
      <c r="J715" s="49"/>
    </row>
    <row r="716" spans="1:10" ht="18" customHeight="1" x14ac:dyDescent="0.25">
      <c r="A716" s="28"/>
      <c r="B716" s="28"/>
      <c r="C716" s="28"/>
      <c r="D716" s="28"/>
      <c r="E716" s="52"/>
      <c r="F716" s="52"/>
      <c r="G716" s="52"/>
      <c r="H716" s="53"/>
      <c r="I716" s="54"/>
      <c r="J716" s="49"/>
    </row>
    <row r="717" spans="1:10" ht="18" customHeight="1" x14ac:dyDescent="0.25">
      <c r="A717" s="28"/>
      <c r="B717" s="28"/>
      <c r="C717" s="28"/>
      <c r="D717" s="28"/>
      <c r="E717" s="52"/>
      <c r="F717" s="52"/>
      <c r="G717" s="52"/>
      <c r="H717" s="53"/>
      <c r="I717" s="54"/>
      <c r="J717" s="49"/>
    </row>
    <row r="718" spans="1:10" ht="18" customHeight="1" x14ac:dyDescent="0.25">
      <c r="A718" s="28"/>
      <c r="B718" s="28"/>
      <c r="C718" s="28"/>
      <c r="D718" s="28"/>
      <c r="E718" s="52"/>
      <c r="F718" s="52"/>
      <c r="G718" s="52"/>
      <c r="H718" s="53"/>
      <c r="I718" s="54"/>
      <c r="J718" s="49"/>
    </row>
    <row r="719" spans="1:10" ht="18" customHeight="1" x14ac:dyDescent="0.25">
      <c r="A719" s="28"/>
      <c r="B719" s="28"/>
      <c r="C719" s="28"/>
      <c r="D719" s="28"/>
      <c r="E719" s="52"/>
      <c r="F719" s="52"/>
      <c r="G719" s="52"/>
      <c r="H719" s="53"/>
      <c r="I719" s="54"/>
      <c r="J719" s="49"/>
    </row>
    <row r="720" spans="1:10" ht="18" customHeight="1" x14ac:dyDescent="0.25">
      <c r="A720" s="28"/>
      <c r="B720" s="28"/>
      <c r="C720" s="28"/>
      <c r="D720" s="28"/>
      <c r="E720" s="52"/>
      <c r="F720" s="52"/>
      <c r="G720" s="52"/>
      <c r="H720" s="53"/>
      <c r="I720" s="54"/>
      <c r="J720" s="49"/>
    </row>
    <row r="721" spans="1:10" ht="18" customHeight="1" x14ac:dyDescent="0.25">
      <c r="A721" s="28"/>
      <c r="B721" s="28"/>
      <c r="C721" s="28"/>
      <c r="D721" s="28"/>
      <c r="E721" s="52"/>
      <c r="F721" s="52"/>
      <c r="G721" s="52"/>
      <c r="H721" s="53"/>
      <c r="I721" s="54"/>
      <c r="J721" s="49"/>
    </row>
    <row r="722" spans="1:10" ht="18" customHeight="1" x14ac:dyDescent="0.25">
      <c r="A722" s="28"/>
      <c r="B722" s="28"/>
      <c r="C722" s="28"/>
      <c r="D722" s="28"/>
      <c r="E722" s="52"/>
      <c r="F722" s="52"/>
      <c r="G722" s="52"/>
      <c r="H722" s="53"/>
      <c r="I722" s="54"/>
      <c r="J722" s="49"/>
    </row>
    <row r="723" spans="1:10" ht="18" customHeight="1" x14ac:dyDescent="0.25">
      <c r="A723" s="28"/>
      <c r="B723" s="28"/>
      <c r="C723" s="28"/>
      <c r="D723" s="28"/>
      <c r="E723" s="52"/>
      <c r="F723" s="52"/>
      <c r="G723" s="52"/>
      <c r="H723" s="53"/>
      <c r="I723" s="54"/>
      <c r="J723" s="49"/>
    </row>
    <row r="724" spans="1:10" ht="18" customHeight="1" x14ac:dyDescent="0.25">
      <c r="A724" s="28"/>
      <c r="B724" s="28"/>
      <c r="C724" s="28"/>
      <c r="D724" s="28"/>
      <c r="E724" s="52"/>
      <c r="F724" s="52"/>
      <c r="G724" s="52"/>
      <c r="H724" s="53"/>
      <c r="I724" s="54"/>
      <c r="J724" s="49"/>
    </row>
    <row r="725" spans="1:10" ht="18" customHeight="1" x14ac:dyDescent="0.25">
      <c r="A725" s="28"/>
      <c r="B725" s="28"/>
      <c r="C725" s="28"/>
      <c r="D725" s="28"/>
      <c r="E725" s="52"/>
      <c r="F725" s="52"/>
      <c r="G725" s="52"/>
      <c r="H725" s="53"/>
      <c r="I725" s="54"/>
      <c r="J725" s="49"/>
    </row>
    <row r="726" spans="1:10" ht="18" customHeight="1" x14ac:dyDescent="0.25">
      <c r="A726" s="28"/>
      <c r="B726" s="28"/>
      <c r="C726" s="28"/>
      <c r="D726" s="28"/>
      <c r="E726" s="52"/>
      <c r="F726" s="52"/>
      <c r="G726" s="52"/>
      <c r="H726" s="53"/>
      <c r="I726" s="54"/>
      <c r="J726" s="49"/>
    </row>
    <row r="727" spans="1:10" ht="18" customHeight="1" x14ac:dyDescent="0.25">
      <c r="A727" s="28"/>
      <c r="B727" s="28"/>
      <c r="C727" s="28"/>
      <c r="D727" s="28"/>
      <c r="E727" s="52"/>
      <c r="F727" s="52"/>
      <c r="G727" s="52"/>
      <c r="H727" s="53"/>
      <c r="I727" s="54"/>
      <c r="J727" s="49"/>
    </row>
    <row r="728" spans="1:10" ht="18" customHeight="1" x14ac:dyDescent="0.25">
      <c r="A728" s="28"/>
      <c r="B728" s="28"/>
      <c r="C728" s="28"/>
      <c r="D728" s="28"/>
      <c r="E728" s="52"/>
      <c r="F728" s="52"/>
      <c r="G728" s="52"/>
      <c r="H728" s="53"/>
      <c r="I728" s="54"/>
      <c r="J728" s="49"/>
    </row>
    <row r="729" spans="1:10" ht="18" customHeight="1" x14ac:dyDescent="0.25">
      <c r="A729" s="28"/>
      <c r="B729" s="28"/>
      <c r="C729" s="28"/>
      <c r="D729" s="28"/>
      <c r="E729" s="52"/>
      <c r="F729" s="52"/>
      <c r="G729" s="52"/>
      <c r="H729" s="53"/>
      <c r="I729" s="54"/>
      <c r="J729" s="49"/>
    </row>
    <row r="730" spans="1:10" ht="18" customHeight="1" x14ac:dyDescent="0.25">
      <c r="A730" s="28"/>
      <c r="B730" s="28"/>
      <c r="C730" s="28"/>
      <c r="D730" s="28"/>
      <c r="E730" s="52"/>
      <c r="F730" s="52"/>
      <c r="G730" s="52"/>
      <c r="H730" s="53"/>
      <c r="I730" s="54"/>
      <c r="J730" s="49"/>
    </row>
    <row r="731" spans="1:10" ht="18" customHeight="1" x14ac:dyDescent="0.25">
      <c r="A731" s="28"/>
      <c r="B731" s="28"/>
      <c r="C731" s="28"/>
      <c r="D731" s="28"/>
      <c r="E731" s="52"/>
      <c r="F731" s="52"/>
      <c r="G731" s="52"/>
      <c r="H731" s="53"/>
      <c r="I731" s="54"/>
      <c r="J731" s="49"/>
    </row>
    <row r="732" spans="1:10" ht="18" customHeight="1" x14ac:dyDescent="0.25">
      <c r="A732" s="28"/>
      <c r="B732" s="28"/>
      <c r="C732" s="28"/>
      <c r="D732" s="28"/>
      <c r="E732" s="52"/>
      <c r="F732" s="52"/>
      <c r="G732" s="52"/>
      <c r="H732" s="53"/>
      <c r="I732" s="54"/>
      <c r="J732" s="49"/>
    </row>
    <row r="733" spans="1:10" ht="18" customHeight="1" x14ac:dyDescent="0.25">
      <c r="A733" s="28"/>
      <c r="B733" s="28"/>
      <c r="C733" s="28"/>
      <c r="D733" s="28"/>
      <c r="E733" s="52"/>
      <c r="F733" s="52"/>
      <c r="G733" s="52"/>
      <c r="H733" s="53"/>
      <c r="I733" s="54"/>
      <c r="J733" s="49"/>
    </row>
    <row r="734" spans="1:10" ht="18" customHeight="1" x14ac:dyDescent="0.25">
      <c r="A734" s="28"/>
      <c r="B734" s="28"/>
      <c r="C734" s="28"/>
      <c r="D734" s="28"/>
      <c r="E734" s="52"/>
      <c r="F734" s="52"/>
      <c r="G734" s="52"/>
      <c r="H734" s="53"/>
      <c r="I734" s="54"/>
      <c r="J734" s="49"/>
    </row>
    <row r="735" spans="1:10" ht="18" customHeight="1" x14ac:dyDescent="0.25">
      <c r="A735" s="28"/>
      <c r="B735" s="28"/>
      <c r="C735" s="28"/>
      <c r="D735" s="28"/>
      <c r="E735" s="52"/>
      <c r="F735" s="52"/>
      <c r="G735" s="52"/>
      <c r="H735" s="53"/>
      <c r="I735" s="54"/>
      <c r="J735" s="49"/>
    </row>
    <row r="736" spans="1:10" ht="18" customHeight="1" x14ac:dyDescent="0.25">
      <c r="A736" s="28"/>
      <c r="B736" s="28"/>
      <c r="C736" s="28"/>
      <c r="D736" s="28"/>
      <c r="E736" s="52"/>
      <c r="F736" s="52"/>
      <c r="G736" s="52"/>
      <c r="H736" s="53"/>
      <c r="I736" s="54"/>
      <c r="J736" s="49"/>
    </row>
    <row r="737" spans="1:10" ht="18" customHeight="1" x14ac:dyDescent="0.25">
      <c r="A737" s="28"/>
      <c r="B737" s="28"/>
      <c r="C737" s="28"/>
      <c r="D737" s="28"/>
      <c r="E737" s="52"/>
      <c r="F737" s="52"/>
      <c r="G737" s="52"/>
      <c r="H737" s="53"/>
      <c r="I737" s="54"/>
      <c r="J737" s="49"/>
    </row>
    <row r="738" spans="1:10" ht="18" customHeight="1" x14ac:dyDescent="0.25">
      <c r="A738" s="28"/>
      <c r="B738" s="28"/>
      <c r="C738" s="28"/>
      <c r="D738" s="28"/>
      <c r="E738" s="52"/>
      <c r="F738" s="52"/>
      <c r="G738" s="52"/>
      <c r="H738" s="53"/>
      <c r="I738" s="54"/>
      <c r="J738" s="49"/>
    </row>
    <row r="739" spans="1:10" ht="18" customHeight="1" x14ac:dyDescent="0.25">
      <c r="A739" s="28"/>
      <c r="B739" s="28"/>
      <c r="C739" s="28"/>
      <c r="D739" s="28"/>
      <c r="E739" s="52"/>
      <c r="F739" s="52"/>
      <c r="G739" s="52"/>
      <c r="H739" s="53"/>
      <c r="I739" s="54"/>
      <c r="J739" s="49"/>
    </row>
    <row r="740" spans="1:10" ht="18" customHeight="1" x14ac:dyDescent="0.25">
      <c r="A740" s="28"/>
      <c r="B740" s="28"/>
      <c r="C740" s="28"/>
      <c r="D740" s="28"/>
      <c r="E740" s="52"/>
      <c r="F740" s="52"/>
      <c r="G740" s="52"/>
      <c r="H740" s="53"/>
      <c r="I740" s="54"/>
      <c r="J740" s="49"/>
    </row>
    <row r="741" spans="1:10" ht="18" customHeight="1" x14ac:dyDescent="0.25">
      <c r="A741" s="28"/>
      <c r="B741" s="28"/>
      <c r="C741" s="28"/>
      <c r="D741" s="28"/>
      <c r="E741" s="52"/>
      <c r="F741" s="52"/>
      <c r="G741" s="52"/>
      <c r="H741" s="53"/>
      <c r="I741" s="54"/>
      <c r="J741" s="49"/>
    </row>
    <row r="742" spans="1:10" ht="18" customHeight="1" x14ac:dyDescent="0.25">
      <c r="A742" s="28"/>
      <c r="B742" s="28"/>
      <c r="C742" s="28"/>
      <c r="D742" s="28"/>
      <c r="E742" s="52"/>
      <c r="F742" s="52"/>
      <c r="G742" s="52"/>
      <c r="H742" s="53"/>
      <c r="I742" s="54"/>
      <c r="J742" s="49"/>
    </row>
    <row r="743" spans="1:10" ht="18" customHeight="1" x14ac:dyDescent="0.25">
      <c r="A743" s="28"/>
      <c r="B743" s="28"/>
      <c r="C743" s="28"/>
      <c r="D743" s="28"/>
      <c r="E743" s="52"/>
      <c r="F743" s="52"/>
      <c r="G743" s="52"/>
      <c r="H743" s="53"/>
      <c r="I743" s="54"/>
      <c r="J743" s="49"/>
    </row>
    <row r="744" spans="1:10" ht="18" customHeight="1" x14ac:dyDescent="0.25">
      <c r="A744" s="28"/>
      <c r="B744" s="28"/>
      <c r="C744" s="28"/>
      <c r="D744" s="28"/>
      <c r="E744" s="52"/>
      <c r="F744" s="52"/>
      <c r="G744" s="52"/>
      <c r="H744" s="53"/>
      <c r="I744" s="54"/>
      <c r="J744" s="49"/>
    </row>
    <row r="745" spans="1:10" ht="18" customHeight="1" x14ac:dyDescent="0.25">
      <c r="A745" s="28"/>
      <c r="B745" s="28"/>
      <c r="C745" s="28"/>
      <c r="D745" s="28"/>
      <c r="E745" s="52"/>
      <c r="F745" s="52"/>
      <c r="G745" s="52"/>
      <c r="H745" s="53"/>
      <c r="I745" s="54"/>
      <c r="J745" s="49"/>
    </row>
    <row r="746" spans="1:10" ht="18" customHeight="1" x14ac:dyDescent="0.25">
      <c r="A746" s="28"/>
      <c r="B746" s="28"/>
      <c r="C746" s="28"/>
      <c r="D746" s="28"/>
      <c r="E746" s="52"/>
      <c r="F746" s="52"/>
      <c r="G746" s="52"/>
      <c r="H746" s="53"/>
      <c r="I746" s="54"/>
      <c r="J746" s="49"/>
    </row>
    <row r="747" spans="1:10" ht="18" customHeight="1" x14ac:dyDescent="0.25">
      <c r="A747" s="28"/>
      <c r="B747" s="28"/>
      <c r="C747" s="28"/>
      <c r="D747" s="28"/>
      <c r="E747" s="52"/>
      <c r="F747" s="52"/>
      <c r="G747" s="52"/>
      <c r="H747" s="53"/>
      <c r="I747" s="54"/>
      <c r="J747" s="49"/>
    </row>
    <row r="748" spans="1:10" ht="18" customHeight="1" x14ac:dyDescent="0.25">
      <c r="A748" s="28"/>
      <c r="B748" s="28"/>
      <c r="C748" s="28"/>
      <c r="D748" s="28"/>
      <c r="E748" s="52"/>
      <c r="F748" s="52"/>
      <c r="G748" s="52"/>
      <c r="H748" s="53"/>
      <c r="I748" s="54"/>
      <c r="J748" s="49"/>
    </row>
    <row r="749" spans="1:10" ht="18" customHeight="1" x14ac:dyDescent="0.25">
      <c r="A749" s="28"/>
      <c r="B749" s="28"/>
      <c r="C749" s="28"/>
      <c r="D749" s="28"/>
      <c r="E749" s="52"/>
      <c r="F749" s="52"/>
      <c r="G749" s="52"/>
      <c r="H749" s="53"/>
      <c r="I749" s="54"/>
      <c r="J749" s="49"/>
    </row>
    <row r="750" spans="1:10" ht="18" customHeight="1" x14ac:dyDescent="0.25">
      <c r="A750" s="28"/>
      <c r="B750" s="28"/>
      <c r="C750" s="28"/>
      <c r="D750" s="28"/>
      <c r="E750" s="52"/>
      <c r="F750" s="52"/>
      <c r="G750" s="52"/>
      <c r="H750" s="53"/>
      <c r="I750" s="54"/>
      <c r="J750" s="49"/>
    </row>
    <row r="751" spans="1:10" ht="18" customHeight="1" x14ac:dyDescent="0.25">
      <c r="A751" s="28"/>
      <c r="B751" s="28"/>
      <c r="C751" s="28"/>
      <c r="D751" s="28"/>
      <c r="E751" s="52"/>
      <c r="F751" s="52"/>
      <c r="G751" s="52"/>
      <c r="H751" s="53"/>
      <c r="I751" s="54"/>
      <c r="J751" s="49"/>
    </row>
    <row r="752" spans="1:10" ht="18" customHeight="1" x14ac:dyDescent="0.25">
      <c r="A752" s="28"/>
      <c r="B752" s="28"/>
      <c r="C752" s="28"/>
      <c r="D752" s="28"/>
      <c r="E752" s="52"/>
      <c r="F752" s="52"/>
      <c r="G752" s="52"/>
      <c r="H752" s="53"/>
      <c r="I752" s="54"/>
      <c r="J752" s="49"/>
    </row>
    <row r="753" spans="1:10" ht="18" customHeight="1" x14ac:dyDescent="0.25">
      <c r="A753" s="28"/>
      <c r="B753" s="28"/>
      <c r="C753" s="28"/>
      <c r="D753" s="28"/>
      <c r="E753" s="52"/>
      <c r="F753" s="52"/>
      <c r="G753" s="52"/>
      <c r="H753" s="53"/>
      <c r="I753" s="54"/>
      <c r="J753" s="49"/>
    </row>
    <row r="754" spans="1:10" ht="18" customHeight="1" x14ac:dyDescent="0.25">
      <c r="A754" s="28"/>
      <c r="B754" s="28"/>
      <c r="C754" s="28"/>
      <c r="D754" s="28"/>
      <c r="E754" s="52"/>
      <c r="F754" s="52"/>
      <c r="G754" s="52"/>
      <c r="H754" s="53"/>
      <c r="I754" s="54"/>
      <c r="J754" s="49"/>
    </row>
    <row r="755" spans="1:10" ht="18" customHeight="1" x14ac:dyDescent="0.25">
      <c r="A755" s="28"/>
      <c r="B755" s="28"/>
      <c r="C755" s="28"/>
      <c r="D755" s="28"/>
      <c r="E755" s="52"/>
      <c r="F755" s="52"/>
      <c r="G755" s="52"/>
      <c r="H755" s="53"/>
      <c r="I755" s="54"/>
      <c r="J755" s="49"/>
    </row>
    <row r="756" spans="1:10" ht="18" customHeight="1" x14ac:dyDescent="0.25">
      <c r="A756" s="28"/>
      <c r="B756" s="28"/>
      <c r="C756" s="28"/>
      <c r="D756" s="28"/>
      <c r="E756" s="52"/>
      <c r="F756" s="52"/>
      <c r="G756" s="52"/>
      <c r="H756" s="53"/>
      <c r="I756" s="54"/>
      <c r="J756" s="49"/>
    </row>
    <row r="757" spans="1:10" ht="18" customHeight="1" x14ac:dyDescent="0.25">
      <c r="A757" s="28"/>
      <c r="B757" s="28"/>
      <c r="C757" s="28"/>
      <c r="D757" s="28"/>
      <c r="E757" s="52"/>
      <c r="F757" s="52"/>
      <c r="G757" s="52"/>
      <c r="H757" s="53"/>
      <c r="I757" s="54"/>
      <c r="J757" s="49"/>
    </row>
    <row r="758" spans="1:10" ht="18" customHeight="1" x14ac:dyDescent="0.25">
      <c r="A758" s="28"/>
      <c r="B758" s="28"/>
      <c r="C758" s="28"/>
      <c r="D758" s="28"/>
      <c r="E758" s="52"/>
      <c r="F758" s="52"/>
      <c r="G758" s="52"/>
      <c r="H758" s="53"/>
      <c r="I758" s="54"/>
      <c r="J758" s="49"/>
    </row>
    <row r="759" spans="1:10" ht="18" customHeight="1" x14ac:dyDescent="0.25">
      <c r="A759" s="28"/>
      <c r="B759" s="28"/>
      <c r="C759" s="28"/>
      <c r="D759" s="28"/>
      <c r="E759" s="52"/>
      <c r="F759" s="52"/>
      <c r="G759" s="52"/>
      <c r="H759" s="53"/>
      <c r="I759" s="54"/>
      <c r="J759" s="49"/>
    </row>
    <row r="760" spans="1:10" ht="18" customHeight="1" x14ac:dyDescent="0.25">
      <c r="A760" s="28"/>
      <c r="B760" s="28"/>
      <c r="C760" s="28"/>
      <c r="D760" s="28"/>
      <c r="E760" s="52"/>
      <c r="F760" s="52"/>
      <c r="G760" s="52"/>
      <c r="H760" s="53"/>
      <c r="I760" s="54"/>
      <c r="J760" s="49"/>
    </row>
    <row r="761" spans="1:10" ht="18" customHeight="1" x14ac:dyDescent="0.25">
      <c r="A761" s="28"/>
      <c r="B761" s="28"/>
      <c r="C761" s="28"/>
      <c r="D761" s="28"/>
      <c r="E761" s="52"/>
      <c r="F761" s="52"/>
      <c r="G761" s="52"/>
      <c r="H761" s="53"/>
      <c r="I761" s="54"/>
      <c r="J761" s="49"/>
    </row>
    <row r="762" spans="1:10" ht="18" customHeight="1" x14ac:dyDescent="0.25">
      <c r="A762" s="28"/>
      <c r="B762" s="28"/>
      <c r="C762" s="28"/>
      <c r="D762" s="28"/>
      <c r="E762" s="52"/>
      <c r="F762" s="52"/>
      <c r="G762" s="52"/>
      <c r="H762" s="53"/>
      <c r="I762" s="54"/>
      <c r="J762" s="49"/>
    </row>
    <row r="763" spans="1:10" ht="18" customHeight="1" x14ac:dyDescent="0.25">
      <c r="A763" s="28"/>
      <c r="B763" s="28"/>
      <c r="C763" s="28"/>
      <c r="D763" s="28"/>
      <c r="E763" s="52"/>
      <c r="F763" s="52"/>
      <c r="G763" s="52"/>
      <c r="H763" s="53"/>
      <c r="I763" s="54"/>
      <c r="J763" s="49"/>
    </row>
    <row r="764" spans="1:10" ht="18" customHeight="1" x14ac:dyDescent="0.25">
      <c r="A764" s="28"/>
      <c r="B764" s="28"/>
      <c r="C764" s="28"/>
      <c r="D764" s="28"/>
      <c r="E764" s="52"/>
      <c r="F764" s="52"/>
      <c r="G764" s="52"/>
      <c r="H764" s="53"/>
      <c r="I764" s="54"/>
      <c r="J764" s="49"/>
    </row>
    <row r="765" spans="1:10" ht="18" customHeight="1" x14ac:dyDescent="0.25">
      <c r="A765" s="28"/>
      <c r="B765" s="28"/>
      <c r="C765" s="28"/>
      <c r="D765" s="28"/>
      <c r="E765" s="52"/>
      <c r="F765" s="52"/>
      <c r="G765" s="52"/>
      <c r="H765" s="53"/>
      <c r="I765" s="54"/>
      <c r="J765" s="49"/>
    </row>
    <row r="766" spans="1:10" ht="18" customHeight="1" x14ac:dyDescent="0.25">
      <c r="A766" s="28"/>
      <c r="B766" s="28"/>
      <c r="C766" s="28"/>
      <c r="D766" s="28"/>
      <c r="E766" s="52"/>
      <c r="F766" s="52"/>
      <c r="G766" s="52"/>
      <c r="H766" s="53"/>
      <c r="I766" s="54"/>
      <c r="J766" s="49"/>
    </row>
    <row r="767" spans="1:10" ht="18" customHeight="1" x14ac:dyDescent="0.25">
      <c r="A767" s="28"/>
      <c r="B767" s="28"/>
      <c r="C767" s="28"/>
      <c r="D767" s="28"/>
      <c r="E767" s="52"/>
      <c r="F767" s="52"/>
      <c r="G767" s="52"/>
      <c r="H767" s="53"/>
      <c r="I767" s="54"/>
      <c r="J767" s="49"/>
    </row>
    <row r="768" spans="1:10" ht="18" customHeight="1" x14ac:dyDescent="0.25">
      <c r="A768" s="28"/>
      <c r="B768" s="28"/>
      <c r="C768" s="28"/>
      <c r="D768" s="28"/>
      <c r="E768" s="52"/>
      <c r="F768" s="52"/>
      <c r="G768" s="52"/>
      <c r="H768" s="53"/>
      <c r="I768" s="54"/>
      <c r="J768" s="49"/>
    </row>
    <row r="769" spans="1:10" ht="18" customHeight="1" x14ac:dyDescent="0.25">
      <c r="A769" s="28"/>
      <c r="B769" s="28"/>
      <c r="C769" s="28"/>
      <c r="D769" s="28"/>
      <c r="E769" s="52"/>
      <c r="F769" s="52"/>
      <c r="G769" s="52"/>
      <c r="H769" s="53"/>
      <c r="I769" s="54"/>
      <c r="J769" s="49"/>
    </row>
    <row r="770" spans="1:10" ht="18" customHeight="1" x14ac:dyDescent="0.25">
      <c r="A770" s="28"/>
      <c r="B770" s="28"/>
      <c r="C770" s="28"/>
      <c r="D770" s="28"/>
      <c r="E770" s="52"/>
      <c r="F770" s="52"/>
      <c r="G770" s="52"/>
      <c r="H770" s="53"/>
      <c r="I770" s="54"/>
      <c r="J770" s="49"/>
    </row>
    <row r="771" spans="1:10" ht="18" customHeight="1" x14ac:dyDescent="0.25">
      <c r="A771" s="28"/>
      <c r="B771" s="28"/>
      <c r="C771" s="28"/>
      <c r="D771" s="28"/>
      <c r="E771" s="52"/>
      <c r="F771" s="52"/>
      <c r="G771" s="52"/>
      <c r="H771" s="53"/>
      <c r="I771" s="54"/>
      <c r="J771" s="49"/>
    </row>
    <row r="772" spans="1:10" ht="18" customHeight="1" x14ac:dyDescent="0.25">
      <c r="A772" s="28"/>
      <c r="B772" s="28"/>
      <c r="C772" s="28"/>
      <c r="D772" s="28"/>
      <c r="E772" s="52"/>
      <c r="F772" s="52"/>
      <c r="G772" s="52"/>
      <c r="H772" s="53"/>
      <c r="I772" s="54"/>
      <c r="J772" s="49"/>
    </row>
    <row r="773" spans="1:10" ht="18" customHeight="1" x14ac:dyDescent="0.25">
      <c r="A773" s="28"/>
      <c r="B773" s="28"/>
      <c r="C773" s="28"/>
      <c r="D773" s="28"/>
      <c r="E773" s="52"/>
      <c r="F773" s="52"/>
      <c r="G773" s="52"/>
      <c r="H773" s="53"/>
      <c r="I773" s="54"/>
      <c r="J773" s="49"/>
    </row>
    <row r="774" spans="1:10" ht="18" customHeight="1" x14ac:dyDescent="0.25">
      <c r="A774" s="28"/>
      <c r="B774" s="28"/>
      <c r="C774" s="28"/>
      <c r="D774" s="28"/>
      <c r="E774" s="52"/>
      <c r="F774" s="52"/>
      <c r="G774" s="52"/>
      <c r="H774" s="53"/>
      <c r="I774" s="54"/>
      <c r="J774" s="49"/>
    </row>
    <row r="775" spans="1:10" ht="18" customHeight="1" x14ac:dyDescent="0.25">
      <c r="A775" s="28"/>
      <c r="B775" s="28"/>
      <c r="C775" s="28"/>
      <c r="D775" s="28"/>
      <c r="E775" s="52"/>
      <c r="F775" s="52"/>
      <c r="G775" s="52"/>
      <c r="H775" s="53"/>
      <c r="I775" s="54"/>
      <c r="J775" s="49"/>
    </row>
    <row r="776" spans="1:10" ht="18" customHeight="1" x14ac:dyDescent="0.25">
      <c r="A776" s="28"/>
      <c r="B776" s="28"/>
      <c r="C776" s="28"/>
      <c r="D776" s="28"/>
      <c r="E776" s="52"/>
      <c r="F776" s="52"/>
      <c r="G776" s="52"/>
      <c r="H776" s="53"/>
      <c r="I776" s="54"/>
      <c r="J776" s="49"/>
    </row>
    <row r="777" spans="1:10" ht="18" customHeight="1" x14ac:dyDescent="0.25">
      <c r="A777" s="28"/>
      <c r="B777" s="28"/>
      <c r="C777" s="28"/>
      <c r="D777" s="28"/>
      <c r="E777" s="52"/>
      <c r="F777" s="52"/>
      <c r="G777" s="52"/>
      <c r="H777" s="53"/>
      <c r="I777" s="54"/>
      <c r="J777" s="49"/>
    </row>
    <row r="778" spans="1:10" ht="18" customHeight="1" x14ac:dyDescent="0.25">
      <c r="A778" s="28"/>
      <c r="B778" s="28"/>
      <c r="C778" s="28"/>
      <c r="D778" s="28"/>
      <c r="E778" s="52"/>
      <c r="F778" s="52"/>
      <c r="G778" s="52"/>
      <c r="H778" s="53"/>
      <c r="I778" s="54"/>
      <c r="J778" s="49"/>
    </row>
    <row r="779" spans="1:10" ht="18" customHeight="1" x14ac:dyDescent="0.25">
      <c r="A779" s="28"/>
      <c r="B779" s="28"/>
      <c r="C779" s="28"/>
      <c r="D779" s="28"/>
      <c r="E779" s="52"/>
      <c r="F779" s="52"/>
      <c r="G779" s="52"/>
      <c r="H779" s="53"/>
      <c r="I779" s="54"/>
      <c r="J779" s="49"/>
    </row>
    <row r="780" spans="1:10" ht="18" customHeight="1" x14ac:dyDescent="0.25">
      <c r="A780" s="28"/>
      <c r="B780" s="28"/>
      <c r="C780" s="28"/>
      <c r="D780" s="28"/>
      <c r="E780" s="52"/>
      <c r="F780" s="52"/>
      <c r="G780" s="52"/>
      <c r="H780" s="53"/>
      <c r="I780" s="54"/>
      <c r="J780" s="49"/>
    </row>
    <row r="781" spans="1:10" ht="18" customHeight="1" x14ac:dyDescent="0.25">
      <c r="A781" s="28"/>
      <c r="B781" s="28"/>
      <c r="C781" s="28"/>
      <c r="D781" s="28"/>
      <c r="E781" s="52"/>
      <c r="F781" s="52"/>
      <c r="G781" s="52"/>
      <c r="H781" s="53"/>
      <c r="I781" s="54"/>
      <c r="J781" s="49"/>
    </row>
    <row r="782" spans="1:10" ht="18" customHeight="1" x14ac:dyDescent="0.25">
      <c r="A782" s="28"/>
      <c r="B782" s="28"/>
      <c r="C782" s="28"/>
      <c r="D782" s="28"/>
      <c r="E782" s="52"/>
      <c r="F782" s="52"/>
      <c r="G782" s="52"/>
      <c r="H782" s="53"/>
      <c r="I782" s="54"/>
      <c r="J782" s="49"/>
    </row>
    <row r="783" spans="1:10" ht="18" customHeight="1" x14ac:dyDescent="0.25">
      <c r="A783" s="28"/>
      <c r="B783" s="28"/>
      <c r="C783" s="28"/>
      <c r="D783" s="28"/>
      <c r="E783" s="52"/>
      <c r="F783" s="52"/>
      <c r="G783" s="52"/>
      <c r="H783" s="53"/>
      <c r="I783" s="54"/>
      <c r="J783" s="49"/>
    </row>
    <row r="784" spans="1:10" ht="18" customHeight="1" x14ac:dyDescent="0.25">
      <c r="A784" s="28"/>
      <c r="B784" s="28"/>
      <c r="C784" s="28"/>
      <c r="D784" s="28"/>
      <c r="E784" s="52"/>
      <c r="F784" s="52"/>
      <c r="G784" s="52"/>
      <c r="H784" s="53"/>
      <c r="I784" s="54"/>
      <c r="J784" s="49"/>
    </row>
    <row r="785" spans="1:10" ht="18" customHeight="1" x14ac:dyDescent="0.25">
      <c r="A785" s="28"/>
      <c r="B785" s="28"/>
      <c r="C785" s="28"/>
      <c r="D785" s="28"/>
      <c r="E785" s="52"/>
      <c r="F785" s="52"/>
      <c r="G785" s="52"/>
      <c r="H785" s="53"/>
      <c r="I785" s="54"/>
      <c r="J785" s="49"/>
    </row>
    <row r="786" spans="1:10" ht="18" customHeight="1" x14ac:dyDescent="0.25">
      <c r="A786" s="28"/>
      <c r="B786" s="28"/>
      <c r="C786" s="28"/>
      <c r="D786" s="28"/>
      <c r="E786" s="52"/>
      <c r="F786" s="52"/>
      <c r="G786" s="52"/>
      <c r="H786" s="53"/>
      <c r="I786" s="54"/>
      <c r="J786" s="49"/>
    </row>
    <row r="787" spans="1:10" ht="18" customHeight="1" x14ac:dyDescent="0.25">
      <c r="A787" s="28"/>
      <c r="B787" s="28"/>
      <c r="C787" s="28"/>
      <c r="D787" s="28"/>
      <c r="E787" s="52"/>
      <c r="F787" s="52"/>
      <c r="G787" s="52"/>
      <c r="H787" s="53"/>
      <c r="I787" s="54"/>
      <c r="J787" s="49"/>
    </row>
    <row r="788" spans="1:10" ht="18" customHeight="1" x14ac:dyDescent="0.25">
      <c r="A788" s="28"/>
      <c r="B788" s="28"/>
      <c r="C788" s="28"/>
      <c r="D788" s="28"/>
      <c r="E788" s="52"/>
      <c r="F788" s="52"/>
      <c r="G788" s="52"/>
      <c r="H788" s="53"/>
      <c r="I788" s="54"/>
      <c r="J788" s="49"/>
    </row>
    <row r="789" spans="1:10" ht="18" customHeight="1" x14ac:dyDescent="0.25">
      <c r="A789" s="28"/>
      <c r="B789" s="28"/>
      <c r="C789" s="28"/>
      <c r="D789" s="28"/>
      <c r="E789" s="52"/>
      <c r="F789" s="52"/>
      <c r="G789" s="52"/>
      <c r="H789" s="53"/>
      <c r="I789" s="54"/>
      <c r="J789" s="49"/>
    </row>
    <row r="790" spans="1:10" ht="18" customHeight="1" x14ac:dyDescent="0.25">
      <c r="A790" s="28"/>
      <c r="B790" s="28"/>
      <c r="C790" s="28"/>
      <c r="D790" s="28"/>
      <c r="E790" s="52"/>
      <c r="F790" s="52"/>
      <c r="G790" s="52"/>
      <c r="H790" s="53"/>
      <c r="I790" s="54"/>
      <c r="J790" s="49"/>
    </row>
    <row r="791" spans="1:10" ht="18" customHeight="1" x14ac:dyDescent="0.25">
      <c r="A791" s="28"/>
      <c r="B791" s="28"/>
      <c r="C791" s="28"/>
      <c r="D791" s="28"/>
      <c r="E791" s="52"/>
      <c r="F791" s="52"/>
      <c r="G791" s="52"/>
      <c r="H791" s="53"/>
      <c r="I791" s="54"/>
      <c r="J791" s="49"/>
    </row>
    <row r="792" spans="1:10" ht="18" customHeight="1" x14ac:dyDescent="0.25">
      <c r="A792" s="28"/>
      <c r="B792" s="28"/>
      <c r="C792" s="28"/>
      <c r="D792" s="28"/>
      <c r="E792" s="52"/>
      <c r="F792" s="52"/>
      <c r="G792" s="52"/>
      <c r="H792" s="53"/>
      <c r="I792" s="54"/>
      <c r="J792" s="49"/>
    </row>
    <row r="793" spans="1:10" ht="18" customHeight="1" x14ac:dyDescent="0.25">
      <c r="A793" s="28"/>
      <c r="B793" s="28"/>
      <c r="C793" s="28"/>
      <c r="D793" s="28"/>
      <c r="E793" s="52"/>
      <c r="F793" s="52"/>
      <c r="G793" s="52"/>
      <c r="H793" s="53"/>
      <c r="I793" s="54"/>
      <c r="J793" s="49"/>
    </row>
    <row r="794" spans="1:10" ht="18" customHeight="1" x14ac:dyDescent="0.25">
      <c r="A794" s="28"/>
      <c r="B794" s="28"/>
      <c r="C794" s="28"/>
      <c r="D794" s="28"/>
      <c r="E794" s="52"/>
      <c r="F794" s="52"/>
      <c r="G794" s="52"/>
      <c r="H794" s="53"/>
      <c r="I794" s="54"/>
      <c r="J794" s="49"/>
    </row>
    <row r="795" spans="1:10" ht="18" customHeight="1" x14ac:dyDescent="0.25">
      <c r="A795" s="28"/>
      <c r="B795" s="28"/>
      <c r="C795" s="28"/>
      <c r="D795" s="28"/>
      <c r="E795" s="52"/>
      <c r="F795" s="52"/>
      <c r="G795" s="52"/>
      <c r="H795" s="53"/>
      <c r="I795" s="54"/>
      <c r="J795" s="49"/>
    </row>
    <row r="796" spans="1:10" ht="18" customHeight="1" x14ac:dyDescent="0.25">
      <c r="A796" s="28"/>
      <c r="B796" s="28"/>
      <c r="C796" s="28"/>
      <c r="D796" s="28"/>
      <c r="E796" s="52"/>
      <c r="F796" s="52"/>
      <c r="G796" s="52"/>
      <c r="H796" s="53"/>
      <c r="I796" s="54"/>
      <c r="J796" s="49"/>
    </row>
    <row r="797" spans="1:10" ht="18" customHeight="1" x14ac:dyDescent="0.25">
      <c r="A797" s="28"/>
      <c r="B797" s="28"/>
      <c r="C797" s="28"/>
      <c r="D797" s="28"/>
      <c r="E797" s="52"/>
      <c r="F797" s="52"/>
      <c r="G797" s="52"/>
      <c r="H797" s="53"/>
      <c r="I797" s="54"/>
      <c r="J797" s="49"/>
    </row>
    <row r="798" spans="1:10" ht="18" customHeight="1" x14ac:dyDescent="0.25">
      <c r="A798" s="28"/>
      <c r="B798" s="28"/>
      <c r="C798" s="28"/>
      <c r="D798" s="28"/>
      <c r="E798" s="52"/>
      <c r="F798" s="52"/>
      <c r="G798" s="52"/>
      <c r="H798" s="53"/>
      <c r="I798" s="54"/>
      <c r="J798" s="49"/>
    </row>
    <row r="799" spans="1:10" ht="18" customHeight="1" x14ac:dyDescent="0.25">
      <c r="A799" s="28"/>
      <c r="B799" s="28"/>
      <c r="C799" s="28"/>
      <c r="D799" s="28"/>
      <c r="E799" s="52"/>
      <c r="F799" s="52"/>
      <c r="G799" s="52"/>
      <c r="H799" s="53"/>
      <c r="I799" s="54"/>
      <c r="J799" s="49"/>
    </row>
    <row r="800" spans="1:10" ht="18" customHeight="1" x14ac:dyDescent="0.25">
      <c r="A800" s="28"/>
      <c r="B800" s="28"/>
      <c r="C800" s="28"/>
      <c r="D800" s="28"/>
      <c r="E800" s="52"/>
      <c r="F800" s="52"/>
      <c r="G800" s="52"/>
      <c r="H800" s="53"/>
      <c r="I800" s="54"/>
      <c r="J800" s="49"/>
    </row>
    <row r="801" spans="1:10" ht="18" customHeight="1" x14ac:dyDescent="0.25">
      <c r="A801" s="28"/>
      <c r="B801" s="28"/>
      <c r="C801" s="28"/>
      <c r="D801" s="28"/>
      <c r="E801" s="52"/>
      <c r="F801" s="52"/>
      <c r="G801" s="52"/>
      <c r="H801" s="53"/>
      <c r="I801" s="54"/>
      <c r="J801" s="49"/>
    </row>
    <row r="802" spans="1:10" ht="18" customHeight="1" x14ac:dyDescent="0.25">
      <c r="A802" s="28"/>
      <c r="B802" s="28"/>
      <c r="C802" s="28"/>
      <c r="D802" s="28"/>
      <c r="E802" s="52"/>
      <c r="F802" s="52"/>
      <c r="G802" s="52"/>
      <c r="H802" s="53"/>
      <c r="I802" s="54"/>
      <c r="J802" s="49"/>
    </row>
    <row r="803" spans="1:10" ht="18" customHeight="1" x14ac:dyDescent="0.25">
      <c r="A803" s="28"/>
      <c r="B803" s="28"/>
      <c r="C803" s="28"/>
      <c r="D803" s="28"/>
      <c r="E803" s="52"/>
      <c r="F803" s="52"/>
      <c r="G803" s="52"/>
      <c r="H803" s="53"/>
      <c r="I803" s="54"/>
      <c r="J803" s="49"/>
    </row>
    <row r="804" spans="1:10" ht="18" customHeight="1" x14ac:dyDescent="0.25">
      <c r="A804" s="28"/>
      <c r="B804" s="28"/>
      <c r="C804" s="28"/>
      <c r="D804" s="28"/>
      <c r="E804" s="52"/>
      <c r="F804" s="52"/>
      <c r="G804" s="52"/>
      <c r="H804" s="53"/>
      <c r="I804" s="54"/>
      <c r="J804" s="49"/>
    </row>
    <row r="805" spans="1:10" ht="18" customHeight="1" x14ac:dyDescent="0.25">
      <c r="A805" s="28"/>
      <c r="B805" s="28"/>
      <c r="C805" s="28"/>
      <c r="D805" s="28"/>
      <c r="E805" s="52"/>
      <c r="F805" s="52"/>
      <c r="G805" s="52"/>
      <c r="H805" s="53"/>
      <c r="I805" s="54"/>
      <c r="J805" s="49"/>
    </row>
    <row r="806" spans="1:10" ht="18" customHeight="1" x14ac:dyDescent="0.25">
      <c r="A806" s="28"/>
      <c r="B806" s="28"/>
      <c r="C806" s="28"/>
      <c r="D806" s="28"/>
      <c r="E806" s="52"/>
      <c r="F806" s="52"/>
      <c r="G806" s="52"/>
      <c r="H806" s="53"/>
      <c r="I806" s="54"/>
      <c r="J806" s="49"/>
    </row>
    <row r="807" spans="1:10" ht="18" customHeight="1" x14ac:dyDescent="0.25">
      <c r="A807" s="28"/>
      <c r="B807" s="28"/>
      <c r="C807" s="28"/>
      <c r="D807" s="28"/>
      <c r="E807" s="52"/>
      <c r="F807" s="52"/>
      <c r="G807" s="52"/>
      <c r="H807" s="53"/>
      <c r="I807" s="54"/>
      <c r="J807" s="49"/>
    </row>
    <row r="808" spans="1:10" ht="18" customHeight="1" x14ac:dyDescent="0.25">
      <c r="A808" s="28"/>
      <c r="B808" s="28"/>
      <c r="C808" s="28"/>
      <c r="D808" s="28"/>
      <c r="E808" s="52"/>
      <c r="F808" s="52"/>
      <c r="G808" s="52"/>
      <c r="H808" s="53"/>
      <c r="I808" s="54"/>
      <c r="J808" s="49"/>
    </row>
    <row r="809" spans="1:10" ht="18" customHeight="1" x14ac:dyDescent="0.25">
      <c r="A809" s="28"/>
      <c r="B809" s="28"/>
      <c r="C809" s="28"/>
      <c r="D809" s="28"/>
      <c r="E809" s="52"/>
      <c r="F809" s="52"/>
      <c r="G809" s="52"/>
      <c r="H809" s="53"/>
      <c r="I809" s="54"/>
      <c r="J809" s="49"/>
    </row>
    <row r="810" spans="1:10" ht="18" customHeight="1" x14ac:dyDescent="0.25">
      <c r="A810" s="28"/>
      <c r="B810" s="28"/>
      <c r="C810" s="28"/>
      <c r="D810" s="28"/>
      <c r="E810" s="52"/>
      <c r="F810" s="52"/>
      <c r="G810" s="52"/>
      <c r="H810" s="53"/>
      <c r="I810" s="54"/>
      <c r="J810" s="49"/>
    </row>
    <row r="811" spans="1:10" ht="18" customHeight="1" x14ac:dyDescent="0.25">
      <c r="A811" s="28"/>
      <c r="B811" s="28"/>
      <c r="C811" s="28"/>
      <c r="D811" s="28"/>
      <c r="E811" s="52"/>
      <c r="F811" s="52"/>
      <c r="G811" s="52"/>
      <c r="H811" s="53"/>
      <c r="I811" s="54"/>
      <c r="J811" s="49"/>
    </row>
    <row r="812" spans="1:10" ht="18" customHeight="1" x14ac:dyDescent="0.25">
      <c r="A812" s="28"/>
      <c r="B812" s="28"/>
      <c r="C812" s="28"/>
      <c r="D812" s="28"/>
      <c r="E812" s="52"/>
      <c r="F812" s="52"/>
      <c r="G812" s="52"/>
      <c r="H812" s="53"/>
      <c r="I812" s="54"/>
      <c r="J812" s="49"/>
    </row>
    <row r="813" spans="1:10" ht="18" customHeight="1" x14ac:dyDescent="0.25">
      <c r="A813" s="28"/>
      <c r="B813" s="28"/>
      <c r="C813" s="28"/>
      <c r="D813" s="28"/>
      <c r="E813" s="52"/>
      <c r="F813" s="52"/>
      <c r="G813" s="52"/>
      <c r="H813" s="53"/>
      <c r="I813" s="54"/>
      <c r="J813" s="49"/>
    </row>
    <row r="814" spans="1:10" ht="18" customHeight="1" x14ac:dyDescent="0.25">
      <c r="A814" s="28"/>
      <c r="B814" s="28"/>
      <c r="C814" s="28"/>
      <c r="D814" s="28"/>
      <c r="E814" s="52"/>
      <c r="F814" s="52"/>
      <c r="G814" s="52"/>
      <c r="H814" s="53"/>
      <c r="I814" s="54"/>
      <c r="J814" s="49"/>
    </row>
    <row r="815" spans="1:10" ht="18" customHeight="1" x14ac:dyDescent="0.25">
      <c r="A815" s="28"/>
      <c r="B815" s="28"/>
      <c r="C815" s="28"/>
      <c r="D815" s="28"/>
      <c r="E815" s="52"/>
      <c r="F815" s="52"/>
      <c r="G815" s="52"/>
      <c r="H815" s="53"/>
      <c r="I815" s="54"/>
      <c r="J815" s="49"/>
    </row>
    <row r="816" spans="1:10" ht="18" customHeight="1" x14ac:dyDescent="0.25">
      <c r="A816" s="28"/>
      <c r="B816" s="28"/>
      <c r="C816" s="28"/>
      <c r="D816" s="28"/>
      <c r="E816" s="52"/>
      <c r="F816" s="52"/>
      <c r="G816" s="52"/>
      <c r="H816" s="53"/>
      <c r="I816" s="54"/>
      <c r="J816" s="49"/>
    </row>
    <row r="817" spans="1:10" ht="18" customHeight="1" x14ac:dyDescent="0.25">
      <c r="A817" s="28"/>
      <c r="B817" s="28"/>
      <c r="C817" s="28"/>
      <c r="D817" s="28"/>
      <c r="E817" s="52"/>
      <c r="F817" s="52"/>
      <c r="G817" s="52"/>
      <c r="H817" s="53"/>
      <c r="I817" s="54"/>
      <c r="J817" s="49"/>
    </row>
    <row r="818" spans="1:10" ht="18" customHeight="1" x14ac:dyDescent="0.25">
      <c r="A818" s="28"/>
      <c r="B818" s="28"/>
      <c r="C818" s="28"/>
      <c r="D818" s="28"/>
      <c r="E818" s="52"/>
      <c r="F818" s="52"/>
      <c r="G818" s="52"/>
      <c r="H818" s="53"/>
      <c r="I818" s="54"/>
      <c r="J818" s="49"/>
    </row>
    <row r="819" spans="1:10" ht="18" customHeight="1" x14ac:dyDescent="0.25">
      <c r="A819" s="28"/>
      <c r="B819" s="28"/>
      <c r="C819" s="28"/>
      <c r="D819" s="28"/>
      <c r="E819" s="52"/>
      <c r="F819" s="52"/>
      <c r="G819" s="52"/>
      <c r="H819" s="53"/>
      <c r="I819" s="54"/>
      <c r="J819" s="49"/>
    </row>
    <row r="820" spans="1:10" ht="18" customHeight="1" x14ac:dyDescent="0.25">
      <c r="A820" s="28"/>
      <c r="B820" s="28"/>
      <c r="C820" s="28"/>
      <c r="D820" s="28"/>
      <c r="E820" s="52"/>
      <c r="F820" s="52"/>
      <c r="G820" s="52"/>
      <c r="H820" s="53"/>
      <c r="I820" s="54"/>
      <c r="J820" s="49"/>
    </row>
    <row r="821" spans="1:10" ht="18" customHeight="1" x14ac:dyDescent="0.25">
      <c r="A821" s="28"/>
      <c r="B821" s="28"/>
      <c r="C821" s="28"/>
      <c r="D821" s="28"/>
      <c r="E821" s="52"/>
      <c r="F821" s="52"/>
      <c r="G821" s="52"/>
      <c r="H821" s="53"/>
      <c r="I821" s="54"/>
      <c r="J821" s="49"/>
    </row>
    <row r="822" spans="1:10" ht="18" customHeight="1" x14ac:dyDescent="0.25">
      <c r="A822" s="28"/>
      <c r="B822" s="28"/>
      <c r="C822" s="28"/>
      <c r="D822" s="28"/>
      <c r="E822" s="52"/>
      <c r="F822" s="52"/>
      <c r="G822" s="52"/>
      <c r="H822" s="53"/>
      <c r="I822" s="54"/>
      <c r="J822" s="49"/>
    </row>
    <row r="823" spans="1:10" ht="18" customHeight="1" x14ac:dyDescent="0.25">
      <c r="A823" s="28"/>
      <c r="B823" s="28"/>
      <c r="C823" s="28"/>
      <c r="D823" s="28"/>
      <c r="E823" s="52"/>
      <c r="F823" s="52"/>
      <c r="G823" s="52"/>
      <c r="H823" s="53"/>
      <c r="I823" s="54"/>
      <c r="J823" s="49"/>
    </row>
    <row r="824" spans="1:10" ht="18" customHeight="1" x14ac:dyDescent="0.25">
      <c r="A824" s="28"/>
      <c r="B824" s="28"/>
      <c r="C824" s="28"/>
      <c r="D824" s="28"/>
      <c r="E824" s="52"/>
      <c r="F824" s="52"/>
      <c r="G824" s="52"/>
      <c r="H824" s="53"/>
      <c r="I824" s="54"/>
      <c r="J824" s="49"/>
    </row>
    <row r="825" spans="1:10" ht="18" customHeight="1" x14ac:dyDescent="0.25">
      <c r="A825" s="28"/>
      <c r="B825" s="28"/>
      <c r="C825" s="28"/>
      <c r="D825" s="28"/>
      <c r="E825" s="52"/>
      <c r="F825" s="52"/>
      <c r="G825" s="52"/>
      <c r="H825" s="53"/>
      <c r="I825" s="54"/>
      <c r="J825" s="49"/>
    </row>
    <row r="826" spans="1:10" ht="18" customHeight="1" x14ac:dyDescent="0.25">
      <c r="A826" s="28"/>
      <c r="B826" s="28"/>
      <c r="C826" s="28"/>
      <c r="D826" s="28"/>
      <c r="E826" s="52"/>
      <c r="F826" s="52"/>
      <c r="G826" s="52"/>
      <c r="H826" s="53"/>
      <c r="I826" s="54"/>
      <c r="J826" s="49"/>
    </row>
    <row r="827" spans="1:10" ht="18" customHeight="1" x14ac:dyDescent="0.25">
      <c r="A827" s="28"/>
      <c r="B827" s="28"/>
      <c r="C827" s="28"/>
      <c r="D827" s="28"/>
      <c r="E827" s="52"/>
      <c r="F827" s="52"/>
      <c r="G827" s="52"/>
      <c r="H827" s="53"/>
      <c r="I827" s="54"/>
      <c r="J827" s="49"/>
    </row>
    <row r="828" spans="1:10" ht="18" customHeight="1" x14ac:dyDescent="0.25">
      <c r="A828" s="28"/>
      <c r="B828" s="28"/>
      <c r="C828" s="28"/>
      <c r="D828" s="28"/>
      <c r="E828" s="52"/>
      <c r="F828" s="52"/>
      <c r="G828" s="52"/>
      <c r="H828" s="53"/>
      <c r="I828" s="54"/>
      <c r="J828" s="49"/>
    </row>
    <row r="829" spans="1:10" ht="18" customHeight="1" x14ac:dyDescent="0.25">
      <c r="A829" s="28"/>
      <c r="B829" s="28"/>
      <c r="C829" s="28"/>
      <c r="D829" s="28"/>
      <c r="E829" s="52"/>
      <c r="F829" s="52"/>
      <c r="G829" s="52"/>
      <c r="H829" s="53"/>
      <c r="I829" s="54"/>
      <c r="J829" s="49"/>
    </row>
    <row r="830" spans="1:10" ht="18" customHeight="1" x14ac:dyDescent="0.25">
      <c r="A830" s="28"/>
      <c r="B830" s="28"/>
      <c r="C830" s="28"/>
      <c r="D830" s="28"/>
      <c r="E830" s="52"/>
      <c r="F830" s="52"/>
      <c r="G830" s="52"/>
      <c r="H830" s="53"/>
      <c r="I830" s="54"/>
      <c r="J830" s="49"/>
    </row>
    <row r="831" spans="1:10" ht="18" customHeight="1" x14ac:dyDescent="0.25">
      <c r="A831" s="28"/>
      <c r="B831" s="28"/>
      <c r="C831" s="28"/>
      <c r="D831" s="28"/>
      <c r="E831" s="52"/>
      <c r="F831" s="52"/>
      <c r="G831" s="52"/>
      <c r="H831" s="53"/>
      <c r="I831" s="54"/>
      <c r="J831" s="49"/>
    </row>
    <row r="832" spans="1:10" ht="18" customHeight="1" x14ac:dyDescent="0.25">
      <c r="A832" s="28"/>
      <c r="B832" s="28"/>
      <c r="C832" s="28"/>
      <c r="D832" s="28"/>
      <c r="E832" s="52"/>
      <c r="F832" s="52"/>
      <c r="G832" s="52"/>
      <c r="H832" s="53"/>
      <c r="I832" s="54"/>
      <c r="J832" s="49"/>
    </row>
    <row r="833" spans="1:10" ht="18" customHeight="1" x14ac:dyDescent="0.25">
      <c r="A833" s="28"/>
      <c r="B833" s="28"/>
      <c r="C833" s="28"/>
      <c r="D833" s="28"/>
      <c r="E833" s="52"/>
      <c r="F833" s="52"/>
      <c r="G833" s="52"/>
      <c r="H833" s="53"/>
      <c r="I833" s="54"/>
      <c r="J833" s="49"/>
    </row>
    <row r="834" spans="1:10" ht="18" customHeight="1" x14ac:dyDescent="0.25">
      <c r="A834" s="28"/>
      <c r="B834" s="28"/>
      <c r="C834" s="28"/>
      <c r="D834" s="28"/>
      <c r="E834" s="52"/>
      <c r="F834" s="52"/>
      <c r="G834" s="52"/>
      <c r="H834" s="53"/>
      <c r="I834" s="54"/>
      <c r="J834" s="49"/>
    </row>
    <row r="835" spans="1:10" ht="18" customHeight="1" x14ac:dyDescent="0.25">
      <c r="A835" s="28"/>
      <c r="B835" s="28"/>
      <c r="C835" s="28"/>
      <c r="D835" s="28"/>
      <c r="E835" s="52"/>
      <c r="F835" s="52"/>
      <c r="G835" s="52"/>
      <c r="H835" s="53"/>
      <c r="I835" s="54"/>
      <c r="J835" s="49"/>
    </row>
    <row r="836" spans="1:10" ht="18" customHeight="1" x14ac:dyDescent="0.25">
      <c r="A836" s="28"/>
      <c r="B836" s="28"/>
      <c r="C836" s="28"/>
      <c r="D836" s="28"/>
      <c r="E836" s="52"/>
      <c r="F836" s="52"/>
      <c r="G836" s="52"/>
      <c r="H836" s="53"/>
      <c r="I836" s="54"/>
      <c r="J836" s="49"/>
    </row>
    <row r="837" spans="1:10" ht="18" customHeight="1" x14ac:dyDescent="0.25">
      <c r="A837" s="28"/>
      <c r="B837" s="28"/>
      <c r="C837" s="28"/>
      <c r="D837" s="28"/>
      <c r="E837" s="52"/>
      <c r="F837" s="52"/>
      <c r="G837" s="52"/>
      <c r="H837" s="53"/>
      <c r="I837" s="54"/>
      <c r="J837" s="49"/>
    </row>
    <row r="838" spans="1:10" ht="18" customHeight="1" x14ac:dyDescent="0.25">
      <c r="A838" s="28"/>
      <c r="B838" s="28"/>
      <c r="C838" s="28"/>
      <c r="D838" s="28"/>
      <c r="E838" s="52"/>
      <c r="F838" s="52"/>
      <c r="G838" s="52"/>
      <c r="H838" s="53"/>
      <c r="I838" s="54"/>
      <c r="J838" s="49"/>
    </row>
    <row r="839" spans="1:10" ht="18" customHeight="1" x14ac:dyDescent="0.25">
      <c r="A839" s="28"/>
      <c r="B839" s="28"/>
      <c r="C839" s="28"/>
      <c r="D839" s="28"/>
      <c r="E839" s="52"/>
      <c r="F839" s="52"/>
      <c r="G839" s="52"/>
      <c r="H839" s="53"/>
      <c r="I839" s="54"/>
      <c r="J839" s="49"/>
    </row>
    <row r="840" spans="1:10" ht="18" customHeight="1" x14ac:dyDescent="0.25">
      <c r="A840" s="28"/>
      <c r="B840" s="28"/>
      <c r="C840" s="28"/>
      <c r="D840" s="28"/>
      <c r="E840" s="52"/>
      <c r="F840" s="52"/>
      <c r="G840" s="52"/>
      <c r="H840" s="53"/>
      <c r="I840" s="54"/>
      <c r="J840" s="49"/>
    </row>
    <row r="841" spans="1:10" ht="18" customHeight="1" x14ac:dyDescent="0.25">
      <c r="A841" s="28"/>
      <c r="B841" s="28"/>
      <c r="C841" s="28"/>
      <c r="D841" s="28"/>
      <c r="E841" s="52"/>
      <c r="F841" s="52"/>
      <c r="G841" s="52"/>
      <c r="H841" s="53"/>
      <c r="I841" s="54"/>
      <c r="J841" s="49"/>
    </row>
    <row r="842" spans="1:10" ht="18" customHeight="1" x14ac:dyDescent="0.25">
      <c r="A842" s="28"/>
      <c r="B842" s="28"/>
      <c r="C842" s="28"/>
      <c r="D842" s="28"/>
      <c r="E842" s="52"/>
      <c r="F842" s="52"/>
      <c r="G842" s="52"/>
      <c r="H842" s="53"/>
      <c r="I842" s="54"/>
      <c r="J842" s="49"/>
    </row>
    <row r="843" spans="1:10" ht="18" customHeight="1" x14ac:dyDescent="0.25">
      <c r="A843" s="28"/>
      <c r="B843" s="28"/>
      <c r="C843" s="28"/>
      <c r="D843" s="28"/>
      <c r="E843" s="52"/>
      <c r="F843" s="52"/>
      <c r="G843" s="52"/>
      <c r="H843" s="53"/>
      <c r="I843" s="54"/>
      <c r="J843" s="49"/>
    </row>
    <row r="844" spans="1:10" ht="18" customHeight="1" x14ac:dyDescent="0.25">
      <c r="A844" s="28"/>
      <c r="B844" s="28"/>
      <c r="C844" s="28"/>
      <c r="D844" s="28"/>
      <c r="E844" s="52"/>
      <c r="F844" s="52"/>
      <c r="G844" s="52"/>
      <c r="H844" s="53"/>
      <c r="I844" s="54"/>
      <c r="J844" s="49"/>
    </row>
    <row r="845" spans="1:10" ht="18" customHeight="1" x14ac:dyDescent="0.25">
      <c r="A845" s="28"/>
      <c r="B845" s="28"/>
      <c r="C845" s="28"/>
      <c r="D845" s="28"/>
      <c r="E845" s="52"/>
      <c r="F845" s="52"/>
      <c r="G845" s="52"/>
      <c r="H845" s="53"/>
      <c r="I845" s="54"/>
      <c r="J845" s="49"/>
    </row>
    <row r="846" spans="1:10" ht="18" customHeight="1" x14ac:dyDescent="0.25">
      <c r="A846" s="28"/>
      <c r="B846" s="28"/>
      <c r="C846" s="28"/>
      <c r="D846" s="28"/>
      <c r="E846" s="52"/>
      <c r="F846" s="52"/>
      <c r="G846" s="52"/>
      <c r="H846" s="53"/>
      <c r="I846" s="54"/>
      <c r="J846" s="49"/>
    </row>
    <row r="847" spans="1:10" ht="18" customHeight="1" x14ac:dyDescent="0.25">
      <c r="A847" s="28"/>
      <c r="B847" s="28"/>
      <c r="C847" s="28"/>
      <c r="D847" s="28"/>
      <c r="E847" s="52"/>
      <c r="F847" s="52"/>
      <c r="G847" s="52"/>
      <c r="H847" s="53"/>
      <c r="I847" s="54"/>
      <c r="J847" s="49"/>
    </row>
    <row r="848" spans="1:10" ht="18" customHeight="1" x14ac:dyDescent="0.25">
      <c r="A848" s="28"/>
      <c r="B848" s="28"/>
      <c r="C848" s="28"/>
      <c r="D848" s="28"/>
      <c r="E848" s="52"/>
      <c r="F848" s="52"/>
      <c r="G848" s="52"/>
      <c r="H848" s="53"/>
      <c r="I848" s="54"/>
      <c r="J848" s="49"/>
    </row>
    <row r="849" spans="1:10" ht="18" customHeight="1" x14ac:dyDescent="0.25">
      <c r="A849" s="28"/>
      <c r="B849" s="28"/>
      <c r="C849" s="28"/>
      <c r="D849" s="28"/>
      <c r="E849" s="52"/>
      <c r="F849" s="52"/>
      <c r="G849" s="52"/>
      <c r="H849" s="53"/>
      <c r="I849" s="54"/>
      <c r="J849" s="49"/>
    </row>
    <row r="850" spans="1:10" ht="18" customHeight="1" x14ac:dyDescent="0.25">
      <c r="A850" s="28"/>
      <c r="B850" s="28"/>
      <c r="C850" s="28"/>
      <c r="D850" s="28"/>
      <c r="E850" s="52"/>
      <c r="F850" s="52"/>
      <c r="G850" s="52"/>
      <c r="H850" s="53"/>
      <c r="I850" s="54"/>
      <c r="J850" s="49"/>
    </row>
    <row r="851" spans="1:10" ht="18" customHeight="1" x14ac:dyDescent="0.25">
      <c r="A851" s="28"/>
      <c r="B851" s="28"/>
      <c r="C851" s="28"/>
      <c r="D851" s="28"/>
      <c r="E851" s="52"/>
      <c r="F851" s="52"/>
      <c r="G851" s="52"/>
      <c r="H851" s="53"/>
      <c r="I851" s="54"/>
      <c r="J851" s="49"/>
    </row>
    <row r="852" spans="1:10" ht="18" customHeight="1" x14ac:dyDescent="0.25">
      <c r="A852" s="28"/>
      <c r="B852" s="28"/>
      <c r="C852" s="28"/>
      <c r="D852" s="28"/>
      <c r="E852" s="52"/>
      <c r="F852" s="52"/>
      <c r="G852" s="52"/>
      <c r="H852" s="53"/>
      <c r="I852" s="54"/>
      <c r="J852" s="49"/>
    </row>
    <row r="853" spans="1:10" ht="18" customHeight="1" x14ac:dyDescent="0.25">
      <c r="A853" s="28"/>
      <c r="B853" s="28"/>
      <c r="C853" s="28"/>
      <c r="D853" s="28"/>
      <c r="E853" s="52"/>
      <c r="F853" s="52"/>
      <c r="G853" s="52"/>
      <c r="H853" s="53"/>
      <c r="I853" s="54"/>
      <c r="J853" s="49"/>
    </row>
    <row r="854" spans="1:10" ht="18" customHeight="1" x14ac:dyDescent="0.25">
      <c r="A854" s="28"/>
      <c r="B854" s="28"/>
      <c r="C854" s="28"/>
      <c r="D854" s="28"/>
      <c r="E854" s="52"/>
      <c r="F854" s="52"/>
      <c r="G854" s="52"/>
      <c r="H854" s="53"/>
      <c r="I854" s="54"/>
      <c r="J854" s="49"/>
    </row>
    <row r="855" spans="1:10" ht="18" customHeight="1" x14ac:dyDescent="0.25">
      <c r="A855" s="28"/>
      <c r="B855" s="28"/>
      <c r="C855" s="28"/>
      <c r="D855" s="28"/>
      <c r="E855" s="52"/>
      <c r="F855" s="52"/>
      <c r="G855" s="52"/>
      <c r="H855" s="53"/>
      <c r="I855" s="54"/>
      <c r="J855" s="49"/>
    </row>
    <row r="856" spans="1:10" ht="18" customHeight="1" x14ac:dyDescent="0.25">
      <c r="A856" s="28"/>
      <c r="B856" s="28"/>
      <c r="C856" s="28"/>
      <c r="D856" s="28"/>
      <c r="E856" s="52"/>
      <c r="F856" s="52"/>
      <c r="G856" s="52"/>
      <c r="H856" s="53"/>
      <c r="I856" s="54"/>
      <c r="J856" s="49"/>
    </row>
    <row r="857" spans="1:10" ht="18" customHeight="1" x14ac:dyDescent="0.25">
      <c r="A857" s="28"/>
      <c r="B857" s="28"/>
      <c r="C857" s="28"/>
      <c r="D857" s="28"/>
      <c r="E857" s="52"/>
      <c r="F857" s="52"/>
      <c r="G857" s="52"/>
      <c r="H857" s="53"/>
      <c r="I857" s="54"/>
      <c r="J857" s="49"/>
    </row>
    <row r="858" spans="1:10" ht="18" customHeight="1" x14ac:dyDescent="0.25">
      <c r="A858" s="28"/>
      <c r="B858" s="28"/>
      <c r="C858" s="28"/>
      <c r="D858" s="28"/>
      <c r="E858" s="52"/>
      <c r="F858" s="52"/>
      <c r="G858" s="52"/>
      <c r="H858" s="53"/>
      <c r="I858" s="54"/>
      <c r="J858" s="49"/>
    </row>
    <row r="859" spans="1:10" ht="18" customHeight="1" x14ac:dyDescent="0.25">
      <c r="A859" s="28"/>
      <c r="B859" s="28"/>
      <c r="C859" s="28"/>
      <c r="D859" s="28"/>
      <c r="E859" s="52"/>
      <c r="F859" s="52"/>
      <c r="G859" s="52"/>
      <c r="H859" s="53"/>
      <c r="I859" s="54"/>
      <c r="J859" s="49"/>
    </row>
    <row r="860" spans="1:10" ht="18" customHeight="1" x14ac:dyDescent="0.25">
      <c r="A860" s="28"/>
      <c r="B860" s="28"/>
      <c r="C860" s="28"/>
      <c r="D860" s="28"/>
      <c r="E860" s="52"/>
      <c r="F860" s="52"/>
      <c r="G860" s="52"/>
      <c r="H860" s="53"/>
      <c r="I860" s="54"/>
      <c r="J860" s="49"/>
    </row>
    <row r="861" spans="1:10" ht="18" customHeight="1" x14ac:dyDescent="0.25">
      <c r="A861" s="28"/>
      <c r="B861" s="28"/>
      <c r="C861" s="28"/>
      <c r="D861" s="28"/>
      <c r="E861" s="52"/>
      <c r="F861" s="52"/>
      <c r="G861" s="52"/>
      <c r="H861" s="53"/>
      <c r="I861" s="54"/>
      <c r="J861" s="49"/>
    </row>
    <row r="862" spans="1:10" ht="18" customHeight="1" x14ac:dyDescent="0.25">
      <c r="A862" s="28"/>
      <c r="B862" s="28"/>
      <c r="C862" s="28"/>
      <c r="D862" s="28"/>
      <c r="E862" s="52"/>
      <c r="F862" s="52"/>
      <c r="G862" s="52"/>
      <c r="H862" s="53"/>
      <c r="I862" s="54"/>
      <c r="J862" s="49"/>
    </row>
    <row r="863" spans="1:10" ht="18" customHeight="1" x14ac:dyDescent="0.25">
      <c r="A863" s="28"/>
      <c r="B863" s="28"/>
      <c r="C863" s="28"/>
      <c r="D863" s="28"/>
      <c r="E863" s="52"/>
      <c r="F863" s="52"/>
      <c r="G863" s="52"/>
      <c r="H863" s="53"/>
      <c r="I863" s="54"/>
      <c r="J863" s="49"/>
    </row>
    <row r="864" spans="1:10" ht="18" customHeight="1" x14ac:dyDescent="0.25">
      <c r="A864" s="28"/>
      <c r="B864" s="28"/>
      <c r="C864" s="28"/>
      <c r="D864" s="28"/>
      <c r="E864" s="52"/>
      <c r="F864" s="52"/>
      <c r="G864" s="52"/>
      <c r="H864" s="53"/>
      <c r="I864" s="54"/>
      <c r="J864" s="49"/>
    </row>
    <row r="865" spans="1:10" ht="18" customHeight="1" x14ac:dyDescent="0.25">
      <c r="A865" s="28"/>
      <c r="B865" s="28"/>
      <c r="C865" s="28"/>
      <c r="D865" s="28"/>
      <c r="E865" s="52"/>
      <c r="F865" s="52"/>
      <c r="G865" s="52"/>
      <c r="H865" s="53"/>
      <c r="I865" s="54"/>
      <c r="J865" s="49"/>
    </row>
    <row r="866" spans="1:10" ht="18" customHeight="1" x14ac:dyDescent="0.25">
      <c r="A866" s="28"/>
      <c r="B866" s="28"/>
      <c r="C866" s="28"/>
      <c r="D866" s="28"/>
      <c r="E866" s="52"/>
      <c r="F866" s="52"/>
      <c r="G866" s="52"/>
      <c r="H866" s="53"/>
      <c r="I866" s="54"/>
      <c r="J866" s="49"/>
    </row>
    <row r="867" spans="1:10" ht="18" customHeight="1" x14ac:dyDescent="0.25">
      <c r="A867" s="28"/>
      <c r="B867" s="28"/>
      <c r="C867" s="28"/>
      <c r="D867" s="28"/>
      <c r="E867" s="52"/>
      <c r="F867" s="52"/>
      <c r="G867" s="52"/>
      <c r="H867" s="53"/>
      <c r="I867" s="54"/>
      <c r="J867" s="49"/>
    </row>
    <row r="868" spans="1:10" ht="18" customHeight="1" x14ac:dyDescent="0.25">
      <c r="A868" s="28"/>
      <c r="B868" s="28"/>
      <c r="C868" s="28"/>
      <c r="D868" s="28"/>
      <c r="E868" s="52"/>
      <c r="F868" s="52"/>
      <c r="G868" s="52"/>
      <c r="H868" s="53"/>
      <c r="I868" s="54"/>
      <c r="J868" s="49"/>
    </row>
    <row r="869" spans="1:10" ht="18" customHeight="1" x14ac:dyDescent="0.25">
      <c r="A869" s="28"/>
      <c r="B869" s="28"/>
      <c r="C869" s="28"/>
      <c r="D869" s="28"/>
      <c r="E869" s="52"/>
      <c r="F869" s="52"/>
      <c r="G869" s="52"/>
      <c r="H869" s="53"/>
      <c r="I869" s="54"/>
      <c r="J869" s="49"/>
    </row>
    <row r="870" spans="1:10" ht="18" customHeight="1" x14ac:dyDescent="0.25">
      <c r="A870" s="28"/>
      <c r="B870" s="28"/>
      <c r="C870" s="28"/>
      <c r="D870" s="28"/>
      <c r="E870" s="52"/>
      <c r="F870" s="52"/>
      <c r="G870" s="52"/>
      <c r="H870" s="53"/>
      <c r="I870" s="54"/>
      <c r="J870" s="49"/>
    </row>
    <row r="871" spans="1:10" ht="18" customHeight="1" x14ac:dyDescent="0.25">
      <c r="A871" s="28"/>
      <c r="B871" s="28"/>
      <c r="C871" s="28"/>
      <c r="D871" s="28"/>
      <c r="E871" s="52"/>
      <c r="F871" s="52"/>
      <c r="G871" s="52"/>
      <c r="H871" s="53"/>
      <c r="I871" s="54"/>
      <c r="J871" s="49"/>
    </row>
    <row r="872" spans="1:10" ht="18" customHeight="1" x14ac:dyDescent="0.25">
      <c r="A872" s="28"/>
      <c r="B872" s="28"/>
      <c r="C872" s="28"/>
      <c r="D872" s="28"/>
      <c r="E872" s="52"/>
      <c r="F872" s="52"/>
      <c r="G872" s="52"/>
      <c r="H872" s="53"/>
      <c r="I872" s="54"/>
      <c r="J872" s="49"/>
    </row>
    <row r="873" spans="1:10" ht="18" customHeight="1" x14ac:dyDescent="0.25">
      <c r="A873" s="28"/>
      <c r="B873" s="28"/>
      <c r="C873" s="28"/>
      <c r="D873" s="28"/>
      <c r="E873" s="52"/>
      <c r="F873" s="52"/>
      <c r="G873" s="52"/>
      <c r="H873" s="53"/>
      <c r="I873" s="54"/>
      <c r="J873" s="49"/>
    </row>
    <row r="874" spans="1:10" ht="18" customHeight="1" x14ac:dyDescent="0.25">
      <c r="A874" s="28"/>
      <c r="B874" s="28"/>
      <c r="C874" s="28"/>
      <c r="D874" s="28"/>
      <c r="E874" s="52"/>
      <c r="F874" s="52"/>
      <c r="G874" s="52"/>
      <c r="H874" s="53"/>
      <c r="I874" s="54"/>
      <c r="J874" s="49"/>
    </row>
    <row r="875" spans="1:10" ht="18" customHeight="1" x14ac:dyDescent="0.25">
      <c r="A875" s="28"/>
      <c r="B875" s="28"/>
      <c r="C875" s="28"/>
      <c r="D875" s="28"/>
      <c r="E875" s="52"/>
      <c r="F875" s="52"/>
      <c r="G875" s="52"/>
      <c r="H875" s="53"/>
      <c r="I875" s="54"/>
      <c r="J875" s="49"/>
    </row>
    <row r="876" spans="1:10" ht="18" customHeight="1" x14ac:dyDescent="0.25">
      <c r="A876" s="28"/>
      <c r="B876" s="28"/>
      <c r="C876" s="28"/>
      <c r="D876" s="28"/>
      <c r="E876" s="52"/>
      <c r="F876" s="52"/>
      <c r="G876" s="52"/>
      <c r="H876" s="53"/>
      <c r="I876" s="54"/>
      <c r="J876" s="49"/>
    </row>
    <row r="877" spans="1:10" ht="18" customHeight="1" x14ac:dyDescent="0.25">
      <c r="A877" s="28"/>
      <c r="B877" s="28"/>
      <c r="C877" s="28"/>
      <c r="D877" s="28"/>
      <c r="E877" s="52"/>
      <c r="F877" s="52"/>
      <c r="G877" s="52"/>
      <c r="H877" s="53"/>
      <c r="I877" s="54"/>
      <c r="J877" s="49"/>
    </row>
    <row r="878" spans="1:10" ht="18" customHeight="1" x14ac:dyDescent="0.25">
      <c r="A878" s="28"/>
      <c r="B878" s="28"/>
      <c r="C878" s="28"/>
      <c r="D878" s="28"/>
      <c r="E878" s="52"/>
      <c r="F878" s="52"/>
      <c r="G878" s="52"/>
      <c r="H878" s="53"/>
      <c r="I878" s="54"/>
      <c r="J878" s="49"/>
    </row>
    <row r="879" spans="1:10" ht="18" customHeight="1" x14ac:dyDescent="0.25">
      <c r="A879" s="28"/>
      <c r="B879" s="28"/>
      <c r="C879" s="28"/>
      <c r="D879" s="28"/>
      <c r="E879" s="52"/>
      <c r="F879" s="52"/>
      <c r="G879" s="52"/>
      <c r="H879" s="53"/>
      <c r="I879" s="54"/>
      <c r="J879" s="49"/>
    </row>
    <row r="880" spans="1:10" ht="18" customHeight="1" x14ac:dyDescent="0.25">
      <c r="A880" s="28"/>
      <c r="B880" s="28"/>
      <c r="C880" s="28"/>
      <c r="D880" s="28"/>
      <c r="E880" s="52"/>
      <c r="F880" s="52"/>
      <c r="G880" s="52"/>
      <c r="H880" s="53"/>
      <c r="I880" s="54"/>
      <c r="J880" s="49"/>
    </row>
    <row r="881" spans="1:10" ht="18" customHeight="1" x14ac:dyDescent="0.25">
      <c r="A881" s="28"/>
      <c r="B881" s="28"/>
      <c r="C881" s="28"/>
      <c r="D881" s="28"/>
      <c r="E881" s="52"/>
      <c r="F881" s="52"/>
      <c r="G881" s="52"/>
      <c r="H881" s="53"/>
      <c r="I881" s="54"/>
      <c r="J881" s="49"/>
    </row>
    <row r="882" spans="1:10" ht="18" customHeight="1" x14ac:dyDescent="0.25">
      <c r="A882" s="28"/>
      <c r="B882" s="28"/>
      <c r="C882" s="28"/>
      <c r="D882" s="28"/>
      <c r="E882" s="52"/>
      <c r="F882" s="52"/>
      <c r="G882" s="52"/>
      <c r="H882" s="53"/>
      <c r="I882" s="54"/>
      <c r="J882" s="49"/>
    </row>
    <row r="883" spans="1:10" ht="18" customHeight="1" x14ac:dyDescent="0.25">
      <c r="A883" s="28"/>
      <c r="B883" s="28"/>
      <c r="C883" s="28"/>
      <c r="D883" s="28"/>
      <c r="E883" s="52"/>
      <c r="F883" s="52"/>
      <c r="G883" s="52"/>
      <c r="H883" s="53"/>
      <c r="I883" s="54"/>
      <c r="J883" s="49"/>
    </row>
    <row r="884" spans="1:10" ht="18" customHeight="1" x14ac:dyDescent="0.25">
      <c r="A884" s="28"/>
      <c r="B884" s="28"/>
      <c r="C884" s="28"/>
      <c r="D884" s="28"/>
      <c r="E884" s="52"/>
      <c r="F884" s="52"/>
      <c r="G884" s="52"/>
      <c r="H884" s="53"/>
      <c r="I884" s="54"/>
      <c r="J884" s="49"/>
    </row>
    <row r="885" spans="1:10" ht="18" customHeight="1" x14ac:dyDescent="0.25">
      <c r="A885" s="28"/>
      <c r="B885" s="28"/>
      <c r="C885" s="28"/>
      <c r="D885" s="28"/>
      <c r="E885" s="52"/>
      <c r="F885" s="52"/>
      <c r="G885" s="52"/>
      <c r="H885" s="53"/>
      <c r="I885" s="54"/>
      <c r="J885" s="49"/>
    </row>
    <row r="886" spans="1:10" ht="18" customHeight="1" x14ac:dyDescent="0.25">
      <c r="A886" s="28"/>
      <c r="B886" s="28"/>
      <c r="C886" s="28"/>
      <c r="D886" s="28"/>
      <c r="E886" s="52"/>
      <c r="F886" s="52"/>
      <c r="G886" s="52"/>
      <c r="H886" s="53"/>
      <c r="I886" s="54"/>
      <c r="J886" s="49"/>
    </row>
    <row r="887" spans="1:10" ht="18" customHeight="1" x14ac:dyDescent="0.25">
      <c r="A887" s="28"/>
      <c r="B887" s="28"/>
      <c r="C887" s="28"/>
      <c r="D887" s="28"/>
      <c r="E887" s="52"/>
      <c r="F887" s="52"/>
      <c r="G887" s="52"/>
      <c r="H887" s="53"/>
      <c r="I887" s="54"/>
      <c r="J887" s="49"/>
    </row>
    <row r="888" spans="1:10" ht="18" customHeight="1" x14ac:dyDescent="0.25">
      <c r="A888" s="28"/>
      <c r="B888" s="28"/>
      <c r="C888" s="28"/>
      <c r="D888" s="28"/>
      <c r="E888" s="52"/>
      <c r="F888" s="52"/>
      <c r="G888" s="52"/>
      <c r="H888" s="53"/>
      <c r="I888" s="54"/>
      <c r="J888" s="49"/>
    </row>
    <row r="889" spans="1:10" ht="18" customHeight="1" x14ac:dyDescent="0.25">
      <c r="A889" s="28"/>
      <c r="B889" s="28"/>
      <c r="C889" s="28"/>
      <c r="D889" s="28"/>
      <c r="E889" s="52"/>
      <c r="F889" s="52"/>
      <c r="G889" s="52"/>
      <c r="H889" s="53"/>
      <c r="I889" s="54"/>
      <c r="J889" s="49"/>
    </row>
    <row r="890" spans="1:10" ht="18" customHeight="1" x14ac:dyDescent="0.25">
      <c r="A890" s="28"/>
      <c r="B890" s="28"/>
      <c r="C890" s="28"/>
      <c r="D890" s="28"/>
      <c r="E890" s="52"/>
      <c r="F890" s="52"/>
      <c r="G890" s="52"/>
      <c r="H890" s="53"/>
      <c r="I890" s="54"/>
      <c r="J890" s="49"/>
    </row>
    <row r="891" spans="1:10" ht="18" customHeight="1" x14ac:dyDescent="0.25">
      <c r="A891" s="28"/>
      <c r="B891" s="28"/>
      <c r="C891" s="28"/>
      <c r="D891" s="28"/>
      <c r="E891" s="52"/>
      <c r="F891" s="52"/>
      <c r="G891" s="52"/>
      <c r="H891" s="53"/>
      <c r="I891" s="54"/>
      <c r="J891" s="49"/>
    </row>
    <row r="892" spans="1:10" ht="18" customHeight="1" x14ac:dyDescent="0.25">
      <c r="A892" s="28"/>
      <c r="B892" s="28"/>
      <c r="C892" s="28"/>
      <c r="D892" s="28"/>
      <c r="E892" s="52"/>
      <c r="F892" s="52"/>
      <c r="G892" s="52"/>
      <c r="H892" s="53"/>
      <c r="I892" s="54"/>
      <c r="J892" s="49"/>
    </row>
    <row r="893" spans="1:10" ht="18" customHeight="1" x14ac:dyDescent="0.25">
      <c r="A893" s="28"/>
      <c r="B893" s="28"/>
      <c r="C893" s="28"/>
      <c r="D893" s="28"/>
      <c r="E893" s="52"/>
      <c r="F893" s="52"/>
      <c r="G893" s="52"/>
      <c r="H893" s="53"/>
      <c r="I893" s="54"/>
      <c r="J893" s="49"/>
    </row>
    <row r="894" spans="1:10" ht="18" customHeight="1" x14ac:dyDescent="0.25">
      <c r="A894" s="28"/>
      <c r="B894" s="28"/>
      <c r="C894" s="28"/>
      <c r="D894" s="28"/>
      <c r="E894" s="52"/>
      <c r="F894" s="52"/>
      <c r="G894" s="52"/>
      <c r="H894" s="53"/>
      <c r="I894" s="54"/>
      <c r="J894" s="49"/>
    </row>
    <row r="895" spans="1:10" ht="18" customHeight="1" x14ac:dyDescent="0.25">
      <c r="A895" s="28"/>
      <c r="B895" s="28"/>
      <c r="C895" s="28"/>
      <c r="D895" s="28"/>
      <c r="E895" s="52"/>
      <c r="F895" s="52"/>
      <c r="G895" s="52"/>
      <c r="H895" s="53"/>
      <c r="I895" s="54"/>
      <c r="J895" s="49"/>
    </row>
    <row r="896" spans="1:10" ht="18" customHeight="1" x14ac:dyDescent="0.25">
      <c r="A896" s="28"/>
      <c r="B896" s="28"/>
      <c r="C896" s="28"/>
      <c r="D896" s="28"/>
      <c r="E896" s="52"/>
      <c r="F896" s="52"/>
      <c r="G896" s="52"/>
      <c r="H896" s="53"/>
      <c r="I896" s="54"/>
      <c r="J896" s="49"/>
    </row>
    <row r="897" spans="1:10" ht="18" customHeight="1" x14ac:dyDescent="0.25">
      <c r="A897" s="28"/>
      <c r="B897" s="28"/>
      <c r="C897" s="28"/>
      <c r="D897" s="28"/>
      <c r="E897" s="52"/>
      <c r="F897" s="52"/>
      <c r="G897" s="52"/>
      <c r="H897" s="53"/>
      <c r="I897" s="54"/>
      <c r="J897" s="49"/>
    </row>
    <row r="898" spans="1:10" ht="18" customHeight="1" x14ac:dyDescent="0.25">
      <c r="A898" s="28"/>
      <c r="B898" s="28"/>
      <c r="C898" s="28"/>
      <c r="D898" s="28"/>
      <c r="E898" s="52"/>
      <c r="F898" s="52"/>
      <c r="G898" s="52"/>
      <c r="H898" s="53"/>
      <c r="I898" s="54"/>
      <c r="J898" s="49"/>
    </row>
    <row r="899" spans="1:10" ht="18" customHeight="1" x14ac:dyDescent="0.25">
      <c r="A899" s="28"/>
      <c r="B899" s="28"/>
      <c r="C899" s="28"/>
      <c r="D899" s="28"/>
      <c r="E899" s="52"/>
      <c r="F899" s="52"/>
      <c r="G899" s="52"/>
      <c r="H899" s="53"/>
      <c r="I899" s="54"/>
      <c r="J899" s="49"/>
    </row>
    <row r="900" spans="1:10" ht="18" customHeight="1" x14ac:dyDescent="0.25">
      <c r="A900" s="28"/>
      <c r="B900" s="28"/>
      <c r="C900" s="28"/>
      <c r="D900" s="28"/>
      <c r="E900" s="52"/>
      <c r="F900" s="52"/>
      <c r="G900" s="52"/>
      <c r="H900" s="53"/>
      <c r="I900" s="54"/>
      <c r="J900" s="49"/>
    </row>
    <row r="901" spans="1:10" ht="18" customHeight="1" x14ac:dyDescent="0.25">
      <c r="A901" s="28"/>
      <c r="B901" s="28"/>
      <c r="C901" s="28"/>
      <c r="D901" s="28"/>
      <c r="E901" s="52"/>
      <c r="F901" s="52"/>
      <c r="G901" s="52"/>
      <c r="H901" s="53"/>
      <c r="I901" s="54"/>
      <c r="J901" s="49"/>
    </row>
    <row r="902" spans="1:10" ht="18" customHeight="1" x14ac:dyDescent="0.25">
      <c r="A902" s="28"/>
      <c r="B902" s="28"/>
      <c r="C902" s="28"/>
      <c r="D902" s="28"/>
      <c r="E902" s="52"/>
      <c r="F902" s="52"/>
      <c r="G902" s="52"/>
      <c r="H902" s="53"/>
      <c r="I902" s="54"/>
      <c r="J902" s="49"/>
    </row>
    <row r="903" spans="1:10" ht="18" customHeight="1" x14ac:dyDescent="0.25">
      <c r="A903" s="28"/>
      <c r="B903" s="28"/>
      <c r="C903" s="28"/>
      <c r="D903" s="28"/>
      <c r="E903" s="52"/>
      <c r="F903" s="52"/>
      <c r="G903" s="52"/>
      <c r="H903" s="53"/>
      <c r="I903" s="54"/>
      <c r="J903" s="49"/>
    </row>
    <row r="904" spans="1:10" ht="18" customHeight="1" x14ac:dyDescent="0.25">
      <c r="A904" s="28"/>
      <c r="B904" s="28"/>
      <c r="C904" s="28"/>
      <c r="D904" s="28"/>
      <c r="E904" s="52"/>
      <c r="F904" s="52"/>
      <c r="G904" s="52"/>
      <c r="H904" s="53"/>
      <c r="I904" s="54"/>
      <c r="J904" s="49"/>
    </row>
    <row r="905" spans="1:10" ht="18" customHeight="1" x14ac:dyDescent="0.25">
      <c r="A905" s="28"/>
      <c r="B905" s="28"/>
      <c r="C905" s="28"/>
      <c r="D905" s="28"/>
      <c r="E905" s="52"/>
      <c r="F905" s="52"/>
      <c r="G905" s="52"/>
      <c r="H905" s="53"/>
      <c r="I905" s="54"/>
      <c r="J905" s="49"/>
    </row>
    <row r="906" spans="1:10" ht="18" customHeight="1" x14ac:dyDescent="0.25">
      <c r="A906" s="28"/>
      <c r="B906" s="28"/>
      <c r="C906" s="28"/>
      <c r="D906" s="28"/>
      <c r="E906" s="52"/>
      <c r="F906" s="52"/>
      <c r="G906" s="52"/>
      <c r="H906" s="53"/>
      <c r="I906" s="54"/>
      <c r="J906" s="49"/>
    </row>
    <row r="907" spans="1:10" ht="18" customHeight="1" x14ac:dyDescent="0.25">
      <c r="A907" s="28"/>
      <c r="B907" s="28"/>
      <c r="C907" s="28"/>
      <c r="D907" s="28"/>
      <c r="E907" s="52"/>
      <c r="F907" s="52"/>
      <c r="G907" s="52"/>
      <c r="H907" s="53"/>
      <c r="I907" s="54"/>
      <c r="J907" s="49"/>
    </row>
    <row r="908" spans="1:10" ht="18" customHeight="1" x14ac:dyDescent="0.25">
      <c r="A908" s="28"/>
      <c r="B908" s="28"/>
      <c r="C908" s="28"/>
      <c r="D908" s="28"/>
      <c r="E908" s="52"/>
      <c r="F908" s="52"/>
      <c r="G908" s="52"/>
      <c r="H908" s="53"/>
      <c r="I908" s="54"/>
      <c r="J908" s="49"/>
    </row>
    <row r="909" spans="1:10" ht="18" customHeight="1" x14ac:dyDescent="0.25">
      <c r="A909" s="28"/>
      <c r="B909" s="28"/>
      <c r="C909" s="28"/>
      <c r="D909" s="28"/>
      <c r="E909" s="52"/>
      <c r="F909" s="52"/>
      <c r="G909" s="52"/>
      <c r="H909" s="53"/>
      <c r="I909" s="54"/>
      <c r="J909" s="49"/>
    </row>
    <row r="910" spans="1:10" ht="18" customHeight="1" x14ac:dyDescent="0.25">
      <c r="A910" s="28"/>
      <c r="B910" s="28"/>
      <c r="C910" s="28"/>
      <c r="D910" s="28"/>
      <c r="E910" s="52"/>
      <c r="F910" s="52"/>
      <c r="G910" s="52"/>
      <c r="H910" s="53"/>
      <c r="I910" s="54"/>
      <c r="J910" s="49"/>
    </row>
    <row r="911" spans="1:10" ht="18" customHeight="1" x14ac:dyDescent="0.25">
      <c r="A911" s="28"/>
      <c r="B911" s="28"/>
      <c r="C911" s="28"/>
      <c r="D911" s="28"/>
      <c r="E911" s="52"/>
      <c r="F911" s="52"/>
      <c r="G911" s="52"/>
      <c r="H911" s="53"/>
      <c r="I911" s="54"/>
      <c r="J911" s="49"/>
    </row>
    <row r="912" spans="1:10" ht="18" customHeight="1" x14ac:dyDescent="0.25">
      <c r="A912" s="28"/>
      <c r="B912" s="28"/>
      <c r="C912" s="28"/>
      <c r="D912" s="28"/>
      <c r="E912" s="52"/>
      <c r="F912" s="52"/>
      <c r="G912" s="52"/>
      <c r="H912" s="53"/>
      <c r="I912" s="54"/>
      <c r="J912" s="49"/>
    </row>
    <row r="913" spans="1:10" ht="18" customHeight="1" x14ac:dyDescent="0.25">
      <c r="A913" s="28"/>
      <c r="B913" s="28"/>
      <c r="C913" s="28"/>
      <c r="D913" s="28"/>
      <c r="E913" s="52"/>
      <c r="F913" s="52"/>
      <c r="G913" s="52"/>
      <c r="H913" s="53"/>
      <c r="I913" s="54"/>
      <c r="J913" s="49"/>
    </row>
    <row r="914" spans="1:10" ht="18" customHeight="1" x14ac:dyDescent="0.25">
      <c r="A914" s="28"/>
      <c r="B914" s="28"/>
      <c r="C914" s="28"/>
      <c r="D914" s="28"/>
      <c r="E914" s="52"/>
      <c r="F914" s="52"/>
      <c r="G914" s="52"/>
      <c r="H914" s="53"/>
      <c r="I914" s="54"/>
      <c r="J914" s="49"/>
    </row>
    <row r="915" spans="1:10" ht="18" customHeight="1" x14ac:dyDescent="0.25">
      <c r="A915" s="28"/>
      <c r="B915" s="28"/>
      <c r="C915" s="28"/>
      <c r="D915" s="28"/>
      <c r="E915" s="52"/>
      <c r="F915" s="52"/>
      <c r="G915" s="52"/>
      <c r="H915" s="53"/>
      <c r="I915" s="54"/>
      <c r="J915" s="49"/>
    </row>
    <row r="916" spans="1:10" ht="18" customHeight="1" x14ac:dyDescent="0.25">
      <c r="A916" s="28"/>
      <c r="B916" s="28"/>
      <c r="C916" s="28"/>
      <c r="D916" s="28"/>
      <c r="E916" s="52"/>
      <c r="F916" s="52"/>
      <c r="G916" s="52"/>
      <c r="H916" s="53"/>
      <c r="I916" s="54"/>
      <c r="J916" s="49"/>
    </row>
    <row r="917" spans="1:10" ht="18" customHeight="1" x14ac:dyDescent="0.25">
      <c r="A917" s="28"/>
      <c r="B917" s="28"/>
      <c r="C917" s="28"/>
      <c r="D917" s="28"/>
      <c r="E917" s="52"/>
      <c r="F917" s="52"/>
      <c r="G917" s="52"/>
      <c r="H917" s="53"/>
      <c r="I917" s="54"/>
      <c r="J917" s="49"/>
    </row>
    <row r="918" spans="1:10" ht="18" customHeight="1" x14ac:dyDescent="0.25">
      <c r="A918" s="28"/>
      <c r="B918" s="28"/>
      <c r="C918" s="28"/>
      <c r="D918" s="28"/>
      <c r="E918" s="52"/>
      <c r="F918" s="52"/>
      <c r="G918" s="52"/>
      <c r="H918" s="53"/>
      <c r="I918" s="54"/>
      <c r="J918" s="49"/>
    </row>
    <row r="919" spans="1:10" ht="18" customHeight="1" x14ac:dyDescent="0.25">
      <c r="A919" s="28"/>
      <c r="B919" s="28"/>
      <c r="C919" s="28"/>
      <c r="D919" s="28"/>
      <c r="E919" s="52"/>
      <c r="F919" s="52"/>
      <c r="G919" s="52"/>
      <c r="H919" s="53"/>
      <c r="I919" s="54"/>
      <c r="J919" s="49"/>
    </row>
    <row r="920" spans="1:10" ht="18" customHeight="1" x14ac:dyDescent="0.25">
      <c r="A920" s="28"/>
      <c r="B920" s="28"/>
      <c r="C920" s="28"/>
      <c r="D920" s="28"/>
      <c r="E920" s="52"/>
      <c r="F920" s="52"/>
      <c r="G920" s="52"/>
      <c r="H920" s="53"/>
      <c r="I920" s="54"/>
      <c r="J920" s="49"/>
    </row>
    <row r="921" spans="1:10" ht="18" customHeight="1" x14ac:dyDescent="0.25">
      <c r="A921" s="28"/>
      <c r="B921" s="28"/>
      <c r="C921" s="28"/>
      <c r="D921" s="28"/>
      <c r="E921" s="52"/>
      <c r="F921" s="52"/>
      <c r="G921" s="52"/>
      <c r="H921" s="53"/>
      <c r="I921" s="54"/>
      <c r="J921" s="49"/>
    </row>
    <row r="922" spans="1:10" ht="18" customHeight="1" x14ac:dyDescent="0.25">
      <c r="A922" s="28"/>
      <c r="B922" s="28"/>
      <c r="C922" s="28"/>
      <c r="D922" s="28"/>
      <c r="E922" s="52"/>
      <c r="F922" s="52"/>
      <c r="G922" s="52"/>
      <c r="H922" s="53"/>
      <c r="I922" s="54"/>
      <c r="J922" s="49"/>
    </row>
    <row r="923" spans="1:10" ht="18" customHeight="1" x14ac:dyDescent="0.25">
      <c r="A923" s="28"/>
      <c r="B923" s="28"/>
      <c r="C923" s="28"/>
      <c r="D923" s="28"/>
      <c r="E923" s="52"/>
      <c r="F923" s="52"/>
      <c r="G923" s="52"/>
      <c r="H923" s="53"/>
      <c r="I923" s="54"/>
      <c r="J923" s="49"/>
    </row>
    <row r="924" spans="1:10" ht="18" customHeight="1" x14ac:dyDescent="0.25">
      <c r="A924" s="28"/>
      <c r="B924" s="28"/>
      <c r="C924" s="28"/>
      <c r="D924" s="28"/>
      <c r="E924" s="52"/>
      <c r="F924" s="52"/>
      <c r="G924" s="52"/>
      <c r="H924" s="53"/>
      <c r="I924" s="54"/>
      <c r="J924" s="49"/>
    </row>
    <row r="925" spans="1:10" ht="18" customHeight="1" x14ac:dyDescent="0.25">
      <c r="A925" s="28"/>
      <c r="B925" s="28"/>
      <c r="C925" s="28"/>
      <c r="D925" s="28"/>
      <c r="E925" s="52"/>
      <c r="F925" s="52"/>
      <c r="G925" s="52"/>
      <c r="H925" s="53"/>
      <c r="I925" s="54"/>
      <c r="J925" s="49"/>
    </row>
    <row r="926" spans="1:10" ht="18" customHeight="1" x14ac:dyDescent="0.25">
      <c r="A926" s="28"/>
      <c r="B926" s="28"/>
      <c r="C926" s="28"/>
      <c r="D926" s="28"/>
      <c r="E926" s="52"/>
      <c r="F926" s="52"/>
      <c r="G926" s="52"/>
      <c r="H926" s="53"/>
      <c r="I926" s="54"/>
      <c r="J926" s="49"/>
    </row>
    <row r="927" spans="1:10" ht="18" customHeight="1" x14ac:dyDescent="0.25">
      <c r="A927" s="28"/>
      <c r="B927" s="28"/>
      <c r="C927" s="28"/>
      <c r="D927" s="28"/>
      <c r="E927" s="52"/>
      <c r="F927" s="52"/>
      <c r="G927" s="52"/>
      <c r="H927" s="53"/>
      <c r="I927" s="54"/>
      <c r="J927" s="49"/>
    </row>
    <row r="928" spans="1:10" ht="18" customHeight="1" x14ac:dyDescent="0.25">
      <c r="A928" s="28"/>
      <c r="B928" s="28"/>
      <c r="C928" s="28"/>
      <c r="D928" s="28"/>
      <c r="E928" s="52"/>
      <c r="F928" s="52"/>
      <c r="G928" s="52"/>
      <c r="H928" s="53"/>
      <c r="I928" s="54"/>
      <c r="J928" s="49"/>
    </row>
    <row r="929" spans="1:10" ht="18" customHeight="1" x14ac:dyDescent="0.25">
      <c r="A929" s="28"/>
      <c r="B929" s="28"/>
      <c r="C929" s="28"/>
      <c r="D929" s="28"/>
      <c r="E929" s="52"/>
      <c r="F929" s="52"/>
      <c r="G929" s="52"/>
      <c r="H929" s="53"/>
      <c r="I929" s="54"/>
      <c r="J929" s="49"/>
    </row>
    <row r="930" spans="1:10" ht="18" customHeight="1" x14ac:dyDescent="0.25">
      <c r="A930" s="28"/>
      <c r="B930" s="28"/>
      <c r="C930" s="28"/>
      <c r="D930" s="28"/>
      <c r="E930" s="52"/>
      <c r="F930" s="52"/>
      <c r="G930" s="52"/>
      <c r="H930" s="53"/>
      <c r="I930" s="54"/>
      <c r="J930" s="49"/>
    </row>
    <row r="931" spans="1:10" ht="18" customHeight="1" x14ac:dyDescent="0.25">
      <c r="A931" s="28"/>
      <c r="B931" s="28"/>
      <c r="C931" s="28"/>
      <c r="D931" s="28"/>
      <c r="E931" s="52"/>
      <c r="F931" s="52"/>
      <c r="G931" s="52"/>
      <c r="H931" s="53"/>
      <c r="I931" s="54"/>
      <c r="J931" s="49"/>
    </row>
    <row r="932" spans="1:10" ht="18" customHeight="1" x14ac:dyDescent="0.25">
      <c r="A932" s="28"/>
      <c r="B932" s="28"/>
      <c r="C932" s="28"/>
      <c r="D932" s="28"/>
      <c r="E932" s="52"/>
      <c r="F932" s="52"/>
      <c r="G932" s="52"/>
      <c r="H932" s="53"/>
      <c r="I932" s="54"/>
      <c r="J932" s="49"/>
    </row>
    <row r="933" spans="1:10" ht="18" customHeight="1" x14ac:dyDescent="0.25">
      <c r="A933" s="28"/>
      <c r="B933" s="28"/>
      <c r="C933" s="28"/>
      <c r="D933" s="28"/>
      <c r="E933" s="52"/>
      <c r="F933" s="52"/>
      <c r="G933" s="52"/>
      <c r="H933" s="53"/>
      <c r="I933" s="54"/>
      <c r="J933" s="49"/>
    </row>
    <row r="934" spans="1:10" ht="18" customHeight="1" x14ac:dyDescent="0.25">
      <c r="A934" s="28"/>
      <c r="B934" s="28"/>
      <c r="C934" s="28"/>
      <c r="D934" s="28"/>
      <c r="E934" s="52"/>
      <c r="F934" s="52"/>
      <c r="G934" s="52"/>
      <c r="H934" s="53"/>
      <c r="I934" s="54"/>
      <c r="J934" s="49"/>
    </row>
    <row r="935" spans="1:10" ht="18" customHeight="1" x14ac:dyDescent="0.25">
      <c r="A935" s="28"/>
      <c r="B935" s="28"/>
      <c r="C935" s="28"/>
      <c r="D935" s="28"/>
      <c r="E935" s="52"/>
      <c r="F935" s="52"/>
      <c r="G935" s="52"/>
      <c r="H935" s="53"/>
      <c r="I935" s="54"/>
      <c r="J935" s="49"/>
    </row>
    <row r="936" spans="1:10" ht="18" customHeight="1" x14ac:dyDescent="0.25">
      <c r="A936" s="28"/>
      <c r="B936" s="28"/>
      <c r="C936" s="28"/>
      <c r="D936" s="28"/>
      <c r="E936" s="52"/>
      <c r="F936" s="52"/>
      <c r="G936" s="52"/>
      <c r="H936" s="53"/>
      <c r="I936" s="54"/>
      <c r="J936" s="49"/>
    </row>
    <row r="937" spans="1:10" ht="18" customHeight="1" x14ac:dyDescent="0.25">
      <c r="A937" s="28"/>
      <c r="B937" s="28"/>
      <c r="C937" s="28"/>
      <c r="D937" s="28"/>
      <c r="E937" s="52"/>
      <c r="F937" s="52"/>
      <c r="G937" s="52"/>
      <c r="H937" s="53"/>
      <c r="I937" s="54"/>
      <c r="J937" s="49"/>
    </row>
    <row r="938" spans="1:10" ht="18" customHeight="1" x14ac:dyDescent="0.25">
      <c r="A938" s="28"/>
      <c r="B938" s="28"/>
      <c r="C938" s="28"/>
      <c r="D938" s="28"/>
      <c r="E938" s="52"/>
      <c r="F938" s="52"/>
      <c r="G938" s="52"/>
      <c r="H938" s="53"/>
      <c r="I938" s="54"/>
      <c r="J938" s="49"/>
    </row>
    <row r="939" spans="1:10" ht="18" customHeight="1" x14ac:dyDescent="0.25">
      <c r="A939" s="28"/>
      <c r="B939" s="28"/>
      <c r="C939" s="28"/>
      <c r="D939" s="28"/>
      <c r="E939" s="52"/>
      <c r="F939" s="52"/>
      <c r="G939" s="52"/>
      <c r="H939" s="53"/>
      <c r="I939" s="54"/>
      <c r="J939" s="49"/>
    </row>
    <row r="940" spans="1:10" ht="18" customHeight="1" x14ac:dyDescent="0.25">
      <c r="A940" s="28"/>
      <c r="B940" s="28"/>
      <c r="C940" s="28"/>
      <c r="D940" s="28"/>
      <c r="E940" s="52"/>
      <c r="F940" s="52"/>
      <c r="G940" s="52"/>
      <c r="H940" s="53"/>
      <c r="I940" s="54"/>
      <c r="J940" s="49"/>
    </row>
    <row r="941" spans="1:10" ht="18" customHeight="1" x14ac:dyDescent="0.25">
      <c r="A941" s="28"/>
      <c r="B941" s="28"/>
      <c r="C941" s="28"/>
      <c r="D941" s="28"/>
      <c r="E941" s="52"/>
      <c r="F941" s="52"/>
      <c r="G941" s="52"/>
      <c r="H941" s="53"/>
      <c r="I941" s="54"/>
      <c r="J941" s="49"/>
    </row>
    <row r="942" spans="1:10" ht="18" customHeight="1" x14ac:dyDescent="0.25">
      <c r="A942" s="28"/>
      <c r="B942" s="28"/>
      <c r="C942" s="28"/>
      <c r="D942" s="28"/>
      <c r="E942" s="52"/>
      <c r="F942" s="52"/>
      <c r="G942" s="52"/>
      <c r="H942" s="53"/>
      <c r="I942" s="54"/>
      <c r="J942" s="49"/>
    </row>
    <row r="943" spans="1:10" ht="18" customHeight="1" x14ac:dyDescent="0.25">
      <c r="A943" s="28"/>
      <c r="B943" s="28"/>
      <c r="C943" s="28"/>
      <c r="D943" s="28"/>
      <c r="E943" s="52"/>
      <c r="F943" s="52"/>
      <c r="G943" s="52"/>
      <c r="H943" s="53"/>
      <c r="I943" s="54"/>
      <c r="J943" s="49"/>
    </row>
    <row r="944" spans="1:10" ht="18" customHeight="1" x14ac:dyDescent="0.25">
      <c r="A944" s="28"/>
      <c r="B944" s="28"/>
      <c r="C944" s="28"/>
      <c r="D944" s="28"/>
      <c r="E944" s="52"/>
      <c r="F944" s="52"/>
      <c r="G944" s="52"/>
      <c r="H944" s="53"/>
      <c r="I944" s="54"/>
      <c r="J944" s="49"/>
    </row>
    <row r="945" spans="1:10" ht="18" customHeight="1" x14ac:dyDescent="0.25">
      <c r="A945" s="28"/>
      <c r="B945" s="28"/>
      <c r="C945" s="28"/>
      <c r="D945" s="28"/>
      <c r="E945" s="52"/>
      <c r="F945" s="52"/>
      <c r="G945" s="52"/>
      <c r="H945" s="53"/>
      <c r="I945" s="54"/>
      <c r="J945" s="49"/>
    </row>
    <row r="946" spans="1:10" ht="18" customHeight="1" x14ac:dyDescent="0.25">
      <c r="A946" s="28"/>
      <c r="B946" s="28"/>
      <c r="C946" s="28"/>
      <c r="D946" s="28"/>
      <c r="E946" s="52"/>
      <c r="F946" s="52"/>
      <c r="G946" s="52"/>
      <c r="H946" s="53"/>
      <c r="I946" s="54"/>
      <c r="J946" s="49"/>
    </row>
    <row r="947" spans="1:10" ht="18" customHeight="1" x14ac:dyDescent="0.25">
      <c r="A947" s="28"/>
      <c r="B947" s="28"/>
      <c r="C947" s="28"/>
      <c r="D947" s="28"/>
      <c r="E947" s="52"/>
      <c r="F947" s="52"/>
      <c r="G947" s="52"/>
      <c r="H947" s="53"/>
      <c r="I947" s="54"/>
      <c r="J947" s="49"/>
    </row>
    <row r="948" spans="1:10" ht="18" customHeight="1" x14ac:dyDescent="0.25">
      <c r="A948" s="28"/>
      <c r="B948" s="28"/>
      <c r="C948" s="28"/>
      <c r="D948" s="28"/>
      <c r="E948" s="52"/>
      <c r="F948" s="52"/>
      <c r="G948" s="52"/>
      <c r="H948" s="53"/>
      <c r="I948" s="54"/>
      <c r="J948" s="49"/>
    </row>
    <row r="949" spans="1:10" ht="18" customHeight="1" x14ac:dyDescent="0.25">
      <c r="A949" s="28"/>
      <c r="B949" s="28"/>
      <c r="C949" s="28"/>
      <c r="D949" s="28"/>
      <c r="E949" s="52"/>
      <c r="F949" s="52"/>
      <c r="G949" s="52"/>
      <c r="H949" s="53"/>
      <c r="I949" s="54"/>
      <c r="J949" s="49"/>
    </row>
    <row r="950" spans="1:10" ht="18" customHeight="1" x14ac:dyDescent="0.25">
      <c r="A950" s="28"/>
      <c r="B950" s="28"/>
      <c r="C950" s="28"/>
      <c r="D950" s="28"/>
      <c r="E950" s="52"/>
      <c r="F950" s="52"/>
      <c r="G950" s="52"/>
      <c r="H950" s="53"/>
      <c r="I950" s="54"/>
      <c r="J950" s="49"/>
    </row>
    <row r="951" spans="1:10" ht="18" customHeight="1" x14ac:dyDescent="0.25">
      <c r="A951" s="28"/>
      <c r="B951" s="28"/>
      <c r="C951" s="28"/>
      <c r="D951" s="28"/>
      <c r="E951" s="52"/>
      <c r="F951" s="52"/>
      <c r="G951" s="52"/>
      <c r="H951" s="53"/>
      <c r="I951" s="54"/>
      <c r="J951" s="49"/>
    </row>
    <row r="952" spans="1:10" ht="18" customHeight="1" x14ac:dyDescent="0.25">
      <c r="A952" s="28"/>
      <c r="B952" s="28"/>
      <c r="C952" s="28"/>
      <c r="D952" s="28"/>
      <c r="E952" s="52"/>
      <c r="F952" s="52"/>
      <c r="G952" s="52"/>
      <c r="H952" s="53"/>
      <c r="I952" s="54"/>
      <c r="J952" s="49"/>
    </row>
    <row r="953" spans="1:10" ht="18" customHeight="1" x14ac:dyDescent="0.25">
      <c r="A953" s="28"/>
      <c r="B953" s="28"/>
      <c r="C953" s="28"/>
      <c r="D953" s="28"/>
      <c r="E953" s="52"/>
      <c r="F953" s="52"/>
      <c r="G953" s="52"/>
      <c r="H953" s="53"/>
      <c r="I953" s="54"/>
      <c r="J953" s="49"/>
    </row>
    <row r="954" spans="1:10" ht="18" customHeight="1" x14ac:dyDescent="0.25">
      <c r="A954" s="28"/>
      <c r="B954" s="28"/>
      <c r="C954" s="28"/>
      <c r="D954" s="28"/>
      <c r="E954" s="52"/>
      <c r="F954" s="52"/>
      <c r="G954" s="52"/>
      <c r="H954" s="53"/>
      <c r="I954" s="54"/>
      <c r="J954" s="49"/>
    </row>
    <row r="955" spans="1:10" ht="18" customHeight="1" x14ac:dyDescent="0.25">
      <c r="A955" s="28"/>
      <c r="B955" s="28"/>
      <c r="C955" s="28"/>
      <c r="D955" s="28"/>
      <c r="E955" s="52"/>
      <c r="F955" s="52"/>
      <c r="G955" s="52"/>
      <c r="H955" s="53"/>
      <c r="I955" s="54"/>
      <c r="J955" s="49"/>
    </row>
    <row r="956" spans="1:10" ht="18" customHeight="1" x14ac:dyDescent="0.25">
      <c r="A956" s="28"/>
      <c r="B956" s="28"/>
      <c r="C956" s="28"/>
      <c r="D956" s="28"/>
      <c r="E956" s="52"/>
      <c r="F956" s="52"/>
      <c r="G956" s="52"/>
      <c r="H956" s="53"/>
      <c r="I956" s="54"/>
      <c r="J956" s="49"/>
    </row>
    <row r="957" spans="1:10" ht="18" customHeight="1" x14ac:dyDescent="0.25">
      <c r="A957" s="28"/>
      <c r="B957" s="28"/>
      <c r="C957" s="28"/>
      <c r="D957" s="28"/>
      <c r="E957" s="52"/>
      <c r="F957" s="52"/>
      <c r="G957" s="52"/>
      <c r="H957" s="53"/>
      <c r="I957" s="54"/>
      <c r="J957" s="49"/>
    </row>
    <row r="958" spans="1:10" ht="18" customHeight="1" x14ac:dyDescent="0.25">
      <c r="A958" s="28"/>
      <c r="B958" s="28"/>
      <c r="C958" s="28"/>
      <c r="D958" s="28"/>
      <c r="E958" s="52"/>
      <c r="F958" s="52"/>
      <c r="G958" s="52"/>
      <c r="H958" s="53"/>
      <c r="I958" s="54"/>
      <c r="J958" s="49"/>
    </row>
    <row r="959" spans="1:10" ht="18" customHeight="1" x14ac:dyDescent="0.25">
      <c r="A959" s="28"/>
      <c r="B959" s="28"/>
      <c r="C959" s="28"/>
      <c r="D959" s="28"/>
      <c r="E959" s="52"/>
      <c r="F959" s="52"/>
      <c r="G959" s="52"/>
      <c r="H959" s="53"/>
      <c r="I959" s="54"/>
      <c r="J959" s="49"/>
    </row>
    <row r="960" spans="1:10" ht="18" customHeight="1" x14ac:dyDescent="0.25">
      <c r="A960" s="28"/>
      <c r="B960" s="28"/>
      <c r="C960" s="28"/>
      <c r="D960" s="28"/>
      <c r="E960" s="52"/>
      <c r="F960" s="52"/>
      <c r="G960" s="52"/>
      <c r="H960" s="53"/>
      <c r="I960" s="54"/>
      <c r="J960" s="49"/>
    </row>
    <row r="961" spans="1:10" ht="18" customHeight="1" x14ac:dyDescent="0.25">
      <c r="A961" s="28"/>
      <c r="B961" s="28"/>
      <c r="C961" s="28"/>
      <c r="D961" s="28"/>
      <c r="E961" s="52"/>
      <c r="F961" s="52"/>
      <c r="G961" s="52"/>
      <c r="H961" s="53"/>
      <c r="I961" s="54"/>
      <c r="J961" s="49"/>
    </row>
    <row r="962" spans="1:10" ht="18" customHeight="1" x14ac:dyDescent="0.25">
      <c r="A962" s="28"/>
      <c r="B962" s="28"/>
      <c r="C962" s="28"/>
      <c r="D962" s="28"/>
      <c r="E962" s="52"/>
      <c r="F962" s="52"/>
      <c r="G962" s="52"/>
      <c r="H962" s="53"/>
      <c r="I962" s="54"/>
      <c r="J962" s="49"/>
    </row>
    <row r="963" spans="1:10" ht="18" customHeight="1" x14ac:dyDescent="0.25">
      <c r="A963" s="28"/>
      <c r="B963" s="28"/>
      <c r="C963" s="28"/>
      <c r="D963" s="28"/>
      <c r="E963" s="52"/>
      <c r="F963" s="52"/>
      <c r="G963" s="52"/>
      <c r="H963" s="53"/>
      <c r="I963" s="54"/>
      <c r="J963" s="49"/>
    </row>
    <row r="964" spans="1:10" ht="18" customHeight="1" x14ac:dyDescent="0.25">
      <c r="A964" s="28"/>
      <c r="B964" s="28"/>
      <c r="C964" s="28"/>
      <c r="D964" s="28"/>
      <c r="E964" s="52"/>
      <c r="F964" s="52"/>
      <c r="G964" s="52"/>
      <c r="H964" s="53"/>
      <c r="I964" s="54"/>
      <c r="J964" s="49"/>
    </row>
    <row r="965" spans="1:10" ht="18" customHeight="1" x14ac:dyDescent="0.25">
      <c r="A965" s="28"/>
      <c r="B965" s="28"/>
      <c r="C965" s="28"/>
      <c r="D965" s="28"/>
      <c r="E965" s="52"/>
      <c r="F965" s="52"/>
      <c r="G965" s="52"/>
      <c r="H965" s="53"/>
      <c r="I965" s="54"/>
      <c r="J965" s="49"/>
    </row>
    <row r="966" spans="1:10" ht="18" customHeight="1" x14ac:dyDescent="0.25">
      <c r="A966" s="28"/>
      <c r="B966" s="28"/>
      <c r="C966" s="28"/>
      <c r="D966" s="28"/>
      <c r="E966" s="52"/>
      <c r="F966" s="52"/>
      <c r="G966" s="52"/>
      <c r="H966" s="53"/>
      <c r="I966" s="54"/>
      <c r="J966" s="49"/>
    </row>
    <row r="967" spans="1:10" ht="18" customHeight="1" x14ac:dyDescent="0.25">
      <c r="A967" s="28"/>
      <c r="B967" s="28"/>
      <c r="C967" s="28"/>
      <c r="D967" s="28"/>
      <c r="E967" s="52"/>
      <c r="F967" s="52"/>
      <c r="G967" s="52"/>
      <c r="H967" s="53"/>
      <c r="I967" s="54"/>
      <c r="J967" s="49"/>
    </row>
    <row r="968" spans="1:10" ht="18" customHeight="1" x14ac:dyDescent="0.25">
      <c r="A968" s="28"/>
      <c r="B968" s="28"/>
      <c r="C968" s="28"/>
      <c r="D968" s="28"/>
      <c r="E968" s="52"/>
      <c r="F968" s="52"/>
      <c r="G968" s="52"/>
      <c r="H968" s="53"/>
      <c r="I968" s="54"/>
      <c r="J968" s="49"/>
    </row>
    <row r="969" spans="1:10" ht="18" customHeight="1" x14ac:dyDescent="0.25">
      <c r="A969" s="28"/>
      <c r="B969" s="28"/>
      <c r="C969" s="28"/>
      <c r="D969" s="28"/>
      <c r="E969" s="52"/>
      <c r="F969" s="52"/>
      <c r="G969" s="52"/>
      <c r="H969" s="53"/>
      <c r="I969" s="54"/>
      <c r="J969" s="49"/>
    </row>
    <row r="970" spans="1:10" ht="18" customHeight="1" x14ac:dyDescent="0.25">
      <c r="A970" s="28"/>
      <c r="B970" s="28"/>
      <c r="C970" s="28"/>
      <c r="D970" s="28"/>
      <c r="E970" s="52"/>
      <c r="F970" s="52"/>
      <c r="G970" s="52"/>
      <c r="H970" s="53"/>
      <c r="I970" s="54"/>
      <c r="J970" s="49"/>
    </row>
    <row r="971" spans="1:10" ht="18" customHeight="1" x14ac:dyDescent="0.25">
      <c r="A971" s="28"/>
      <c r="B971" s="28"/>
      <c r="C971" s="28"/>
      <c r="D971" s="28"/>
      <c r="E971" s="52"/>
      <c r="F971" s="52"/>
      <c r="G971" s="52"/>
      <c r="H971" s="53"/>
      <c r="I971" s="54"/>
      <c r="J971" s="49"/>
    </row>
    <row r="972" spans="1:10" ht="18" customHeight="1" x14ac:dyDescent="0.25">
      <c r="A972" s="28"/>
      <c r="B972" s="28"/>
      <c r="C972" s="28"/>
      <c r="D972" s="28"/>
      <c r="E972" s="52"/>
      <c r="F972" s="52"/>
      <c r="G972" s="52"/>
      <c r="H972" s="53"/>
      <c r="I972" s="54"/>
      <c r="J972" s="49"/>
    </row>
    <row r="973" spans="1:10" ht="18" customHeight="1" x14ac:dyDescent="0.25">
      <c r="A973" s="28"/>
      <c r="B973" s="28"/>
      <c r="C973" s="28"/>
      <c r="D973" s="28"/>
      <c r="E973" s="52"/>
      <c r="F973" s="52"/>
      <c r="G973" s="52"/>
      <c r="H973" s="53"/>
      <c r="I973" s="54"/>
      <c r="J973" s="49"/>
    </row>
    <row r="974" spans="1:10" ht="18" customHeight="1" x14ac:dyDescent="0.25">
      <c r="A974" s="28"/>
      <c r="B974" s="28"/>
      <c r="C974" s="28"/>
      <c r="D974" s="28"/>
      <c r="E974" s="52"/>
      <c r="F974" s="52"/>
      <c r="G974" s="52"/>
      <c r="H974" s="53"/>
      <c r="I974" s="54"/>
      <c r="J974" s="49"/>
    </row>
    <row r="975" spans="1:10" ht="18" customHeight="1" x14ac:dyDescent="0.25">
      <c r="A975" s="28"/>
      <c r="B975" s="28"/>
      <c r="C975" s="28"/>
      <c r="D975" s="28"/>
      <c r="E975" s="52"/>
      <c r="F975" s="52"/>
      <c r="G975" s="52"/>
      <c r="H975" s="53"/>
      <c r="I975" s="54"/>
      <c r="J975" s="49"/>
    </row>
    <row r="976" spans="1:10" ht="18" customHeight="1" x14ac:dyDescent="0.25">
      <c r="A976" s="28"/>
      <c r="B976" s="28"/>
      <c r="C976" s="28"/>
      <c r="D976" s="28"/>
      <c r="E976" s="52"/>
      <c r="F976" s="52"/>
      <c r="G976" s="52"/>
      <c r="H976" s="53"/>
      <c r="I976" s="54"/>
      <c r="J976" s="49"/>
    </row>
    <row r="977" spans="1:10" ht="18" customHeight="1" x14ac:dyDescent="0.25">
      <c r="A977" s="28"/>
      <c r="B977" s="28"/>
      <c r="C977" s="28"/>
      <c r="D977" s="28"/>
      <c r="E977" s="52"/>
      <c r="F977" s="52"/>
      <c r="G977" s="52"/>
      <c r="H977" s="53"/>
      <c r="I977" s="54"/>
      <c r="J977" s="49"/>
    </row>
    <row r="978" spans="1:10" ht="18" customHeight="1" x14ac:dyDescent="0.25">
      <c r="A978" s="28"/>
      <c r="B978" s="28"/>
      <c r="C978" s="28"/>
      <c r="D978" s="28"/>
      <c r="E978" s="52"/>
      <c r="F978" s="52"/>
      <c r="G978" s="52"/>
      <c r="H978" s="53"/>
      <c r="I978" s="54"/>
      <c r="J978" s="49"/>
    </row>
    <row r="979" spans="1:10" ht="18" customHeight="1" x14ac:dyDescent="0.25">
      <c r="A979" s="28"/>
      <c r="B979" s="28"/>
      <c r="C979" s="28"/>
      <c r="D979" s="28"/>
      <c r="E979" s="52"/>
      <c r="F979" s="52"/>
      <c r="G979" s="52"/>
      <c r="H979" s="53"/>
      <c r="I979" s="54"/>
      <c r="J979" s="49"/>
    </row>
    <row r="980" spans="1:10" ht="18" customHeight="1" x14ac:dyDescent="0.25">
      <c r="A980" s="28"/>
      <c r="B980" s="28"/>
      <c r="C980" s="28"/>
      <c r="D980" s="28"/>
      <c r="E980" s="52"/>
      <c r="F980" s="52"/>
      <c r="G980" s="52"/>
      <c r="H980" s="53"/>
      <c r="I980" s="54"/>
      <c r="J980" s="49"/>
    </row>
    <row r="981" spans="1:10" ht="18" customHeight="1" x14ac:dyDescent="0.25">
      <c r="A981" s="28"/>
      <c r="B981" s="28"/>
      <c r="C981" s="28"/>
      <c r="D981" s="28"/>
      <c r="E981" s="52"/>
      <c r="F981" s="52"/>
      <c r="G981" s="52"/>
      <c r="H981" s="53"/>
      <c r="I981" s="54"/>
      <c r="J981" s="49"/>
    </row>
    <row r="982" spans="1:10" ht="18" customHeight="1" x14ac:dyDescent="0.25">
      <c r="A982" s="28"/>
      <c r="B982" s="28"/>
      <c r="C982" s="28"/>
      <c r="D982" s="28"/>
      <c r="E982" s="52"/>
      <c r="F982" s="52"/>
      <c r="G982" s="52"/>
      <c r="H982" s="53"/>
      <c r="I982" s="54"/>
      <c r="J982" s="49"/>
    </row>
    <row r="983" spans="1:10" ht="18" customHeight="1" x14ac:dyDescent="0.25">
      <c r="A983" s="28"/>
      <c r="B983" s="28"/>
      <c r="C983" s="28"/>
      <c r="D983" s="28"/>
      <c r="E983" s="52"/>
      <c r="F983" s="52"/>
      <c r="G983" s="52"/>
      <c r="H983" s="53"/>
      <c r="I983" s="54"/>
      <c r="J983" s="49"/>
    </row>
    <row r="984" spans="1:10" ht="18" customHeight="1" x14ac:dyDescent="0.25">
      <c r="A984" s="28"/>
      <c r="B984" s="28"/>
      <c r="C984" s="28"/>
      <c r="D984" s="28"/>
      <c r="E984" s="52"/>
      <c r="F984" s="52"/>
      <c r="G984" s="52"/>
      <c r="H984" s="53"/>
      <c r="I984" s="54"/>
      <c r="J984" s="49"/>
    </row>
    <row r="985" spans="1:10" ht="18" customHeight="1" x14ac:dyDescent="0.25">
      <c r="A985" s="28"/>
      <c r="B985" s="28"/>
      <c r="C985" s="28"/>
      <c r="D985" s="28"/>
      <c r="E985" s="52"/>
      <c r="F985" s="52"/>
      <c r="G985" s="52"/>
      <c r="H985" s="53"/>
      <c r="I985" s="54"/>
      <c r="J985" s="49"/>
    </row>
    <row r="986" spans="1:10" ht="18" customHeight="1" x14ac:dyDescent="0.25">
      <c r="A986" s="28"/>
      <c r="B986" s="28"/>
      <c r="C986" s="28"/>
      <c r="D986" s="28"/>
      <c r="E986" s="52"/>
      <c r="F986" s="52"/>
      <c r="G986" s="52"/>
      <c r="H986" s="53"/>
      <c r="I986" s="54"/>
      <c r="J986" s="49"/>
    </row>
    <row r="987" spans="1:10" ht="18" customHeight="1" x14ac:dyDescent="0.25">
      <c r="A987" s="28"/>
      <c r="B987" s="28"/>
      <c r="C987" s="28"/>
      <c r="D987" s="28"/>
      <c r="E987" s="52"/>
      <c r="F987" s="52"/>
      <c r="G987" s="52"/>
      <c r="H987" s="53"/>
      <c r="I987" s="54"/>
      <c r="J987" s="49"/>
    </row>
    <row r="988" spans="1:10" ht="18" customHeight="1" x14ac:dyDescent="0.25">
      <c r="A988" s="28"/>
      <c r="B988" s="28"/>
      <c r="C988" s="28"/>
      <c r="D988" s="28"/>
      <c r="E988" s="52"/>
      <c r="F988" s="52"/>
      <c r="G988" s="52"/>
      <c r="H988" s="53"/>
      <c r="I988" s="54"/>
      <c r="J988" s="49"/>
    </row>
    <row r="989" spans="1:10" ht="18" customHeight="1" x14ac:dyDescent="0.25">
      <c r="A989" s="28"/>
      <c r="B989" s="28"/>
      <c r="C989" s="28"/>
      <c r="D989" s="28"/>
      <c r="E989" s="52"/>
      <c r="F989" s="52"/>
      <c r="G989" s="52"/>
      <c r="H989" s="53"/>
      <c r="I989" s="54"/>
      <c r="J989" s="49"/>
    </row>
    <row r="990" spans="1:10" ht="18" customHeight="1" x14ac:dyDescent="0.25">
      <c r="A990" s="28"/>
      <c r="B990" s="28"/>
      <c r="C990" s="28"/>
      <c r="D990" s="28"/>
      <c r="E990" s="52"/>
      <c r="F990" s="52"/>
      <c r="G990" s="52"/>
      <c r="H990" s="53"/>
      <c r="I990" s="54"/>
      <c r="J990" s="49"/>
    </row>
    <row r="991" spans="1:10" ht="18" customHeight="1" x14ac:dyDescent="0.25">
      <c r="A991" s="28"/>
      <c r="B991" s="28"/>
      <c r="C991" s="28"/>
      <c r="D991" s="28"/>
      <c r="E991" s="52"/>
      <c r="F991" s="52"/>
      <c r="G991" s="52"/>
      <c r="H991" s="53"/>
      <c r="I991" s="54"/>
      <c r="J991" s="49"/>
    </row>
    <row r="992" spans="1:10" ht="18" customHeight="1" x14ac:dyDescent="0.25">
      <c r="A992" s="28"/>
      <c r="B992" s="28"/>
      <c r="C992" s="28"/>
      <c r="D992" s="28"/>
      <c r="E992" s="52"/>
      <c r="F992" s="52"/>
      <c r="G992" s="52"/>
      <c r="H992" s="53"/>
      <c r="I992" s="54"/>
      <c r="J992" s="49"/>
    </row>
    <row r="993" spans="1:10" ht="18" customHeight="1" x14ac:dyDescent="0.25">
      <c r="A993" s="28"/>
      <c r="B993" s="28"/>
      <c r="C993" s="28"/>
      <c r="D993" s="28"/>
      <c r="E993" s="52"/>
      <c r="F993" s="52"/>
      <c r="G993" s="52"/>
      <c r="H993" s="53"/>
      <c r="I993" s="54"/>
      <c r="J993" s="49"/>
    </row>
    <row r="994" spans="1:10" ht="18" customHeight="1" x14ac:dyDescent="0.25">
      <c r="A994" s="28"/>
      <c r="B994" s="28"/>
      <c r="C994" s="28"/>
      <c r="D994" s="28"/>
      <c r="E994" s="52"/>
      <c r="F994" s="52"/>
      <c r="G994" s="52"/>
      <c r="H994" s="53"/>
      <c r="I994" s="54"/>
      <c r="J994" s="49"/>
    </row>
    <row r="995" spans="1:10" ht="18" customHeight="1" x14ac:dyDescent="0.25">
      <c r="A995" s="28"/>
      <c r="B995" s="28"/>
      <c r="C995" s="28"/>
      <c r="D995" s="28"/>
      <c r="E995" s="52"/>
      <c r="F995" s="52"/>
      <c r="G995" s="52"/>
      <c r="H995" s="53"/>
      <c r="I995" s="54"/>
      <c r="J995" s="49"/>
    </row>
    <row r="996" spans="1:10" ht="18" customHeight="1" x14ac:dyDescent="0.25">
      <c r="A996" s="28"/>
      <c r="B996" s="28"/>
      <c r="C996" s="28"/>
      <c r="D996" s="28"/>
      <c r="E996" s="52"/>
      <c r="F996" s="52"/>
      <c r="G996" s="52"/>
      <c r="H996" s="53"/>
      <c r="I996" s="54"/>
      <c r="J996" s="49"/>
    </row>
    <row r="997" spans="1:10" ht="18" customHeight="1" x14ac:dyDescent="0.25">
      <c r="A997" s="28"/>
      <c r="B997" s="28"/>
      <c r="C997" s="28"/>
      <c r="D997" s="28"/>
      <c r="E997" s="52"/>
      <c r="F997" s="52"/>
      <c r="G997" s="52"/>
      <c r="H997" s="53"/>
      <c r="I997" s="54"/>
      <c r="J997" s="49"/>
    </row>
    <row r="998" spans="1:10" ht="18" customHeight="1" x14ac:dyDescent="0.25">
      <c r="A998" s="28"/>
      <c r="B998" s="28"/>
      <c r="C998" s="28"/>
      <c r="D998" s="28"/>
      <c r="E998" s="52"/>
      <c r="F998" s="52"/>
      <c r="G998" s="52"/>
      <c r="H998" s="53"/>
      <c r="I998" s="54"/>
      <c r="J998" s="49"/>
    </row>
    <row r="999" spans="1:10" ht="18" customHeight="1" x14ac:dyDescent="0.25">
      <c r="A999" s="28"/>
      <c r="B999" s="28"/>
      <c r="C999" s="28"/>
      <c r="D999" s="28"/>
      <c r="E999" s="52"/>
      <c r="F999" s="52"/>
      <c r="G999" s="52"/>
      <c r="H999" s="53"/>
      <c r="I999" s="54"/>
      <c r="J999" s="49"/>
    </row>
    <row r="1000" spans="1:10" ht="18" customHeight="1" x14ac:dyDescent="0.25">
      <c r="A1000" s="28"/>
      <c r="B1000" s="28"/>
      <c r="C1000" s="28"/>
      <c r="D1000" s="28"/>
      <c r="E1000" s="52"/>
      <c r="F1000" s="52"/>
      <c r="G1000" s="52"/>
      <c r="H1000" s="53"/>
      <c r="I1000" s="54"/>
      <c r="J1000" s="49"/>
    </row>
  </sheetData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Data_Validation!$G$2:$G$25</xm:f>
          </x14:formula1>
          <xm:sqref>A20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2"/>
  <sheetViews>
    <sheetView topLeftCell="A17" zoomScale="114" workbookViewId="0">
      <selection activeCell="F28" sqref="F28"/>
    </sheetView>
  </sheetViews>
  <sheetFormatPr defaultColWidth="14.42578125" defaultRowHeight="15" customHeight="1" x14ac:dyDescent="0.25"/>
  <cols>
    <col min="1" max="1" width="12.7109375" customWidth="1"/>
    <col min="2" max="2" width="21.85546875" customWidth="1"/>
    <col min="3" max="3" width="14.28515625" customWidth="1"/>
    <col min="4" max="4" width="12.7109375" customWidth="1"/>
    <col min="5" max="26" width="8.7109375" customWidth="1"/>
  </cols>
  <sheetData>
    <row r="1" spans="1:4" ht="14.25" customHeight="1" x14ac:dyDescent="0.25">
      <c r="A1" s="55" t="s">
        <v>0</v>
      </c>
      <c r="B1" s="16" t="s">
        <v>193</v>
      </c>
      <c r="C1" s="16" t="s">
        <v>3</v>
      </c>
      <c r="D1" s="16" t="s">
        <v>194</v>
      </c>
    </row>
    <row r="2" spans="1:4" ht="14.25" customHeight="1" x14ac:dyDescent="0.25">
      <c r="A2" s="55">
        <v>45732</v>
      </c>
      <c r="B2" s="16" t="s">
        <v>195</v>
      </c>
      <c r="C2" s="16" t="s">
        <v>14</v>
      </c>
      <c r="D2" s="56">
        <v>7112.44</v>
      </c>
    </row>
    <row r="3" spans="1:4" ht="14.25" customHeight="1" x14ac:dyDescent="0.25">
      <c r="A3" s="55">
        <v>45739</v>
      </c>
      <c r="B3" s="16" t="s">
        <v>195</v>
      </c>
      <c r="C3" s="16" t="s">
        <v>14</v>
      </c>
      <c r="D3" s="56">
        <v>10964.16</v>
      </c>
    </row>
    <row r="4" spans="1:4" ht="14.25" customHeight="1" x14ac:dyDescent="0.25">
      <c r="A4" s="55">
        <v>45714</v>
      </c>
      <c r="B4" s="16" t="s">
        <v>196</v>
      </c>
      <c r="C4" s="16" t="s">
        <v>14</v>
      </c>
      <c r="D4" s="56">
        <v>1922.53</v>
      </c>
    </row>
    <row r="5" spans="1:4" ht="14.25" customHeight="1" x14ac:dyDescent="0.25">
      <c r="A5" s="55">
        <v>45721</v>
      </c>
      <c r="B5" s="16" t="s">
        <v>196</v>
      </c>
      <c r="C5" s="16" t="s">
        <v>14</v>
      </c>
      <c r="D5" s="56">
        <v>1678.61</v>
      </c>
    </row>
    <row r="6" spans="1:4" ht="14.25" customHeight="1" x14ac:dyDescent="0.25">
      <c r="A6" s="55">
        <v>45728</v>
      </c>
      <c r="B6" s="16" t="s">
        <v>196</v>
      </c>
      <c r="C6" s="16" t="s">
        <v>14</v>
      </c>
      <c r="D6" s="56">
        <v>5365.62</v>
      </c>
    </row>
    <row r="7" spans="1:4" ht="14.25" customHeight="1" x14ac:dyDescent="0.25">
      <c r="A7" s="55">
        <v>45735</v>
      </c>
      <c r="B7" s="16" t="s">
        <v>196</v>
      </c>
      <c r="C7" s="16" t="s">
        <v>14</v>
      </c>
      <c r="D7" s="56">
        <v>7432.46</v>
      </c>
    </row>
    <row r="8" spans="1:4" ht="14.25" customHeight="1" x14ac:dyDescent="0.25">
      <c r="A8" s="55">
        <v>45742</v>
      </c>
      <c r="B8" s="16" t="s">
        <v>196</v>
      </c>
      <c r="C8" s="16" t="s">
        <v>14</v>
      </c>
      <c r="D8" s="56">
        <v>6011.15</v>
      </c>
    </row>
    <row r="9" spans="1:4" ht="14.25" customHeight="1" x14ac:dyDescent="0.25">
      <c r="A9" s="55">
        <v>45745</v>
      </c>
      <c r="B9" s="16" t="s">
        <v>195</v>
      </c>
      <c r="C9" s="16" t="s">
        <v>14</v>
      </c>
      <c r="D9" s="56">
        <v>14893.61</v>
      </c>
    </row>
    <row r="10" spans="1:4" ht="14.25" customHeight="1" x14ac:dyDescent="0.25">
      <c r="A10" s="55">
        <v>45701</v>
      </c>
      <c r="B10" s="16" t="s">
        <v>13</v>
      </c>
      <c r="C10" s="16" t="s">
        <v>30</v>
      </c>
      <c r="D10" s="16">
        <v>169.3</v>
      </c>
    </row>
    <row r="11" spans="1:4" ht="14.25" customHeight="1" x14ac:dyDescent="0.25">
      <c r="A11" s="55">
        <v>45701</v>
      </c>
      <c r="B11" s="16" t="s">
        <v>13</v>
      </c>
      <c r="C11" s="16" t="s">
        <v>30</v>
      </c>
      <c r="D11" s="16">
        <v>0</v>
      </c>
    </row>
    <row r="12" spans="1:4" ht="14.25" customHeight="1" x14ac:dyDescent="0.25">
      <c r="A12" s="55">
        <v>45701</v>
      </c>
      <c r="B12" s="16" t="s">
        <v>13</v>
      </c>
      <c r="C12" s="16" t="s">
        <v>30</v>
      </c>
      <c r="D12" s="16">
        <v>1409.05</v>
      </c>
    </row>
    <row r="13" spans="1:4" ht="14.25" customHeight="1" x14ac:dyDescent="0.25">
      <c r="A13" s="55">
        <v>45702</v>
      </c>
      <c r="B13" s="16" t="s">
        <v>13</v>
      </c>
      <c r="C13" s="16" t="s">
        <v>30</v>
      </c>
      <c r="D13" s="16">
        <v>134.26</v>
      </c>
    </row>
    <row r="14" spans="1:4" ht="14.25" customHeight="1" x14ac:dyDescent="0.25">
      <c r="A14" s="55">
        <v>45706</v>
      </c>
      <c r="B14" s="16" t="s">
        <v>13</v>
      </c>
      <c r="C14" s="16" t="s">
        <v>30</v>
      </c>
      <c r="D14" s="16">
        <v>171.37</v>
      </c>
    </row>
    <row r="15" spans="1:4" ht="14.25" customHeight="1" x14ac:dyDescent="0.25">
      <c r="A15" s="55">
        <v>45706</v>
      </c>
      <c r="B15" s="16" t="s">
        <v>13</v>
      </c>
      <c r="C15" s="16" t="s">
        <v>30</v>
      </c>
      <c r="D15" s="16">
        <v>151.49</v>
      </c>
    </row>
    <row r="16" spans="1:4" ht="14.25" customHeight="1" x14ac:dyDescent="0.25">
      <c r="A16" s="55">
        <v>45709</v>
      </c>
      <c r="B16" s="16" t="s">
        <v>13</v>
      </c>
      <c r="C16" s="16" t="s">
        <v>30</v>
      </c>
      <c r="D16" s="16">
        <v>170.34</v>
      </c>
    </row>
    <row r="17" spans="1:4" ht="14.25" customHeight="1" x14ac:dyDescent="0.25">
      <c r="A17" s="55">
        <v>45726</v>
      </c>
      <c r="B17" s="16" t="s">
        <v>13</v>
      </c>
      <c r="C17" s="16" t="s">
        <v>30</v>
      </c>
      <c r="D17" s="16">
        <v>171.5</v>
      </c>
    </row>
    <row r="18" spans="1:4" ht="14.25" customHeight="1" x14ac:dyDescent="0.25">
      <c r="A18" s="55">
        <v>45726</v>
      </c>
      <c r="B18" s="16" t="s">
        <v>13</v>
      </c>
      <c r="C18" s="16" t="s">
        <v>30</v>
      </c>
      <c r="D18" s="16">
        <v>-153</v>
      </c>
    </row>
    <row r="19" spans="1:4" ht="14.25" customHeight="1" x14ac:dyDescent="0.25">
      <c r="A19" s="55">
        <v>45740</v>
      </c>
      <c r="B19" s="16" t="s">
        <v>13</v>
      </c>
      <c r="C19" s="16" t="s">
        <v>30</v>
      </c>
      <c r="D19" s="16">
        <v>1405.67</v>
      </c>
    </row>
    <row r="20" spans="1:4" ht="14.25" customHeight="1" x14ac:dyDescent="0.25">
      <c r="A20" s="55">
        <v>45742</v>
      </c>
      <c r="B20" s="16" t="s">
        <v>196</v>
      </c>
      <c r="C20" s="16" t="s">
        <v>14</v>
      </c>
      <c r="D20" s="56">
        <v>9066.76</v>
      </c>
    </row>
    <row r="21" spans="1:4" ht="14.25" customHeight="1" x14ac:dyDescent="0.25">
      <c r="A21" s="55">
        <v>45752</v>
      </c>
      <c r="B21" s="16" t="s">
        <v>195</v>
      </c>
      <c r="C21" s="16" t="s">
        <v>14</v>
      </c>
      <c r="D21" s="56">
        <v>12961.29</v>
      </c>
    </row>
    <row r="22" spans="1:4" ht="14.25" customHeight="1" x14ac:dyDescent="0.25">
      <c r="A22" s="55">
        <v>45756</v>
      </c>
      <c r="B22" s="16" t="s">
        <v>196</v>
      </c>
      <c r="C22" s="16" t="s">
        <v>14</v>
      </c>
      <c r="D22" s="56">
        <v>6609.81</v>
      </c>
    </row>
    <row r="23" spans="1:4" ht="14.25" customHeight="1" x14ac:dyDescent="0.25">
      <c r="A23" s="55">
        <v>45759</v>
      </c>
      <c r="B23" s="16" t="s">
        <v>195</v>
      </c>
      <c r="C23" s="16" t="s">
        <v>14</v>
      </c>
      <c r="D23" s="56">
        <v>9198.31</v>
      </c>
    </row>
    <row r="24" spans="1:4" ht="14.25" customHeight="1" x14ac:dyDescent="0.25">
      <c r="A24" s="55">
        <v>45763</v>
      </c>
      <c r="B24" s="16" t="s">
        <v>196</v>
      </c>
      <c r="C24" s="16" t="s">
        <v>14</v>
      </c>
      <c r="D24" s="56">
        <v>4427.21</v>
      </c>
    </row>
    <row r="25" spans="1:4" ht="14.25" customHeight="1" x14ac:dyDescent="0.25">
      <c r="A25" s="55">
        <v>45766</v>
      </c>
      <c r="B25" s="16" t="s">
        <v>195</v>
      </c>
      <c r="C25" s="16" t="s">
        <v>14</v>
      </c>
      <c r="D25" s="56">
        <v>9984.33</v>
      </c>
    </row>
    <row r="26" spans="1:4" ht="14.25" customHeight="1" x14ac:dyDescent="0.25">
      <c r="A26" s="55">
        <v>45766</v>
      </c>
      <c r="B26" s="16" t="s">
        <v>196</v>
      </c>
      <c r="C26" s="16" t="s">
        <v>14</v>
      </c>
      <c r="D26" s="56">
        <v>5071.79</v>
      </c>
    </row>
    <row r="27" spans="1:4" ht="14.25" customHeight="1" x14ac:dyDescent="0.25">
      <c r="A27" s="55">
        <v>45773</v>
      </c>
      <c r="B27" s="16" t="s">
        <v>195</v>
      </c>
      <c r="C27" s="16" t="s">
        <v>14</v>
      </c>
      <c r="D27" s="56">
        <v>7689.38</v>
      </c>
    </row>
    <row r="28" spans="1:4" ht="14.25" customHeight="1" x14ac:dyDescent="0.25">
      <c r="A28" s="55">
        <v>45777</v>
      </c>
      <c r="B28" s="16" t="s">
        <v>196</v>
      </c>
      <c r="C28" s="16" t="s">
        <v>14</v>
      </c>
      <c r="D28" s="56">
        <v>6802.76</v>
      </c>
    </row>
    <row r="29" spans="1:4" ht="14.25" customHeight="1" x14ac:dyDescent="0.25">
      <c r="A29" s="55">
        <v>45784</v>
      </c>
      <c r="B29" s="16" t="s">
        <v>196</v>
      </c>
      <c r="C29" s="16" t="s">
        <v>14</v>
      </c>
      <c r="D29" s="56">
        <v>6374.13</v>
      </c>
    </row>
    <row r="30" spans="1:4" ht="14.25" customHeight="1" x14ac:dyDescent="0.25">
      <c r="A30" s="55">
        <v>45791</v>
      </c>
      <c r="B30" s="16" t="s">
        <v>196</v>
      </c>
      <c r="C30" s="16" t="s">
        <v>14</v>
      </c>
      <c r="D30" s="56">
        <v>6917.6</v>
      </c>
    </row>
    <row r="31" spans="1:4" ht="14.25" customHeight="1" x14ac:dyDescent="0.25">
      <c r="A31" s="55">
        <v>45798</v>
      </c>
      <c r="B31" s="16" t="s">
        <v>196</v>
      </c>
      <c r="C31" s="16" t="s">
        <v>14</v>
      </c>
      <c r="D31" s="56">
        <v>4467.34</v>
      </c>
    </row>
    <row r="32" spans="1:4" ht="14.25" customHeight="1" x14ac:dyDescent="0.25">
      <c r="A32" s="55">
        <v>45780</v>
      </c>
      <c r="B32" s="16" t="s">
        <v>195</v>
      </c>
      <c r="C32" s="16" t="s">
        <v>14</v>
      </c>
      <c r="D32" s="56">
        <v>4658.4399999999996</v>
      </c>
    </row>
    <row r="33" spans="1:4" ht="14.25" customHeight="1" x14ac:dyDescent="0.25">
      <c r="A33" s="55">
        <v>45788</v>
      </c>
      <c r="B33" s="16" t="s">
        <v>195</v>
      </c>
      <c r="C33" s="16" t="s">
        <v>14</v>
      </c>
      <c r="D33" s="56">
        <v>13800.97</v>
      </c>
    </row>
    <row r="34" spans="1:4" ht="14.25" customHeight="1" x14ac:dyDescent="0.25">
      <c r="A34" s="55">
        <v>45794</v>
      </c>
      <c r="B34" s="16" t="s">
        <v>195</v>
      </c>
      <c r="C34" s="16" t="s">
        <v>14</v>
      </c>
      <c r="D34" s="56">
        <v>6924.61</v>
      </c>
    </row>
    <row r="35" spans="1:4" ht="14.25" customHeight="1" x14ac:dyDescent="0.25">
      <c r="A35" s="55">
        <v>45801</v>
      </c>
      <c r="B35" s="16" t="s">
        <v>195</v>
      </c>
      <c r="C35" s="16" t="s">
        <v>14</v>
      </c>
      <c r="D35" s="56">
        <v>9249.02</v>
      </c>
    </row>
    <row r="36" spans="1:4" ht="14.25" customHeight="1" x14ac:dyDescent="0.25">
      <c r="A36" s="55"/>
      <c r="B36" s="16"/>
      <c r="C36" s="16"/>
      <c r="D36" s="16"/>
    </row>
    <row r="37" spans="1:4" ht="14.25" customHeight="1" x14ac:dyDescent="0.25">
      <c r="A37" s="55"/>
      <c r="B37" s="16"/>
      <c r="C37" s="16"/>
      <c r="D37" s="16"/>
    </row>
    <row r="38" spans="1:4" ht="14.25" customHeight="1" x14ac:dyDescent="0.25">
      <c r="A38" s="55"/>
      <c r="B38" s="16"/>
      <c r="C38" s="16"/>
      <c r="D38" s="16"/>
    </row>
    <row r="39" spans="1:4" ht="14.25" customHeight="1" x14ac:dyDescent="0.25">
      <c r="A39" s="55"/>
      <c r="B39" s="16"/>
      <c r="C39" s="16"/>
      <c r="D39" s="16"/>
    </row>
    <row r="40" spans="1:4" ht="14.25" customHeight="1" x14ac:dyDescent="0.25">
      <c r="A40" s="55"/>
      <c r="B40" s="16"/>
      <c r="C40" s="16"/>
      <c r="D40" s="16"/>
    </row>
    <row r="41" spans="1:4" ht="14.25" customHeight="1" x14ac:dyDescent="0.25">
      <c r="A41" s="55"/>
      <c r="B41" s="16"/>
      <c r="C41" s="16"/>
      <c r="D41" s="16"/>
    </row>
    <row r="42" spans="1:4" ht="14.25" customHeight="1" x14ac:dyDescent="0.25">
      <c r="A42" s="55"/>
      <c r="B42" s="16"/>
      <c r="C42" s="16"/>
      <c r="D42" s="16"/>
    </row>
    <row r="43" spans="1:4" ht="14.25" customHeight="1" x14ac:dyDescent="0.25">
      <c r="A43" s="55"/>
      <c r="B43" s="16"/>
      <c r="C43" s="16"/>
      <c r="D43" s="16"/>
    </row>
    <row r="44" spans="1:4" ht="14.25" customHeight="1" x14ac:dyDescent="0.25">
      <c r="A44" s="55"/>
      <c r="B44" s="16"/>
      <c r="C44" s="16"/>
      <c r="D44" s="16"/>
    </row>
    <row r="45" spans="1:4" ht="14.25" customHeight="1" x14ac:dyDescent="0.25">
      <c r="A45" s="55"/>
      <c r="B45" s="16"/>
      <c r="C45" s="16"/>
      <c r="D45" s="16"/>
    </row>
    <row r="46" spans="1:4" ht="14.25" customHeight="1" x14ac:dyDescent="0.25">
      <c r="A46" s="55"/>
      <c r="B46" s="16"/>
      <c r="C46" s="16"/>
      <c r="D46" s="16"/>
    </row>
    <row r="47" spans="1:4" ht="14.25" customHeight="1" x14ac:dyDescent="0.25">
      <c r="A47" s="55"/>
      <c r="B47" s="16"/>
      <c r="C47" s="16"/>
      <c r="D47" s="16"/>
    </row>
    <row r="48" spans="1:4" ht="14.25" customHeight="1" x14ac:dyDescent="0.25">
      <c r="A48" s="55"/>
      <c r="B48" s="16"/>
      <c r="C48" s="16"/>
      <c r="D48" s="16"/>
    </row>
    <row r="49" spans="1:4" ht="14.25" customHeight="1" x14ac:dyDescent="0.25">
      <c r="A49" s="55"/>
      <c r="B49" s="16"/>
      <c r="C49" s="16"/>
      <c r="D49" s="16"/>
    </row>
    <row r="50" spans="1:4" ht="14.25" customHeight="1" x14ac:dyDescent="0.25">
      <c r="A50" s="55"/>
      <c r="B50" s="16"/>
      <c r="C50" s="16"/>
      <c r="D50" s="16"/>
    </row>
    <row r="51" spans="1:4" ht="14.25" customHeight="1" x14ac:dyDescent="0.25">
      <c r="A51" s="55"/>
      <c r="B51" s="16"/>
      <c r="C51" s="16"/>
      <c r="D51" s="16"/>
    </row>
    <row r="52" spans="1:4" ht="14.25" customHeight="1" x14ac:dyDescent="0.25">
      <c r="A52" s="55"/>
      <c r="B52" s="16"/>
      <c r="C52" s="16"/>
      <c r="D52" s="16"/>
    </row>
    <row r="53" spans="1:4" ht="14.25" customHeight="1" x14ac:dyDescent="0.25">
      <c r="A53" s="55"/>
      <c r="B53" s="16"/>
      <c r="C53" s="16"/>
      <c r="D53" s="16"/>
    </row>
    <row r="54" spans="1:4" ht="14.25" customHeight="1" x14ac:dyDescent="0.25">
      <c r="A54" s="55"/>
      <c r="B54" s="16"/>
      <c r="C54" s="16"/>
      <c r="D54" s="16"/>
    </row>
    <row r="55" spans="1:4" ht="14.25" customHeight="1" x14ac:dyDescent="0.25">
      <c r="A55" s="55"/>
      <c r="B55" s="16"/>
      <c r="C55" s="16"/>
      <c r="D55" s="16"/>
    </row>
    <row r="56" spans="1:4" ht="14.25" customHeight="1" x14ac:dyDescent="0.25">
      <c r="A56" s="55"/>
      <c r="B56" s="16"/>
      <c r="C56" s="16"/>
      <c r="D56" s="16"/>
    </row>
    <row r="57" spans="1:4" ht="14.25" customHeight="1" x14ac:dyDescent="0.25">
      <c r="A57" s="55"/>
      <c r="B57" s="16"/>
      <c r="C57" s="16"/>
      <c r="D57" s="16"/>
    </row>
    <row r="58" spans="1:4" ht="14.25" customHeight="1" x14ac:dyDescent="0.25">
      <c r="A58" s="55"/>
      <c r="B58" s="16"/>
      <c r="C58" s="16"/>
      <c r="D58" s="16"/>
    </row>
    <row r="59" spans="1:4" ht="14.25" customHeight="1" x14ac:dyDescent="0.25">
      <c r="A59" s="55"/>
      <c r="B59" s="16"/>
      <c r="C59" s="16"/>
      <c r="D59" s="16"/>
    </row>
    <row r="60" spans="1:4" ht="14.25" customHeight="1" x14ac:dyDescent="0.25">
      <c r="A60" s="55"/>
      <c r="B60" s="16"/>
      <c r="C60" s="16"/>
      <c r="D60" s="16"/>
    </row>
    <row r="61" spans="1:4" ht="14.25" customHeight="1" x14ac:dyDescent="0.25">
      <c r="A61" s="55"/>
      <c r="B61" s="16"/>
      <c r="C61" s="16"/>
      <c r="D61" s="16"/>
    </row>
    <row r="62" spans="1:4" ht="14.25" customHeight="1" x14ac:dyDescent="0.25">
      <c r="A62" s="55"/>
      <c r="B62" s="16"/>
      <c r="C62" s="16"/>
      <c r="D62" s="16"/>
    </row>
    <row r="63" spans="1:4" ht="14.25" customHeight="1" x14ac:dyDescent="0.25">
      <c r="A63" s="55"/>
      <c r="B63" s="16"/>
      <c r="C63" s="16"/>
      <c r="D63" s="16"/>
    </row>
    <row r="64" spans="1:4" ht="14.25" customHeight="1" x14ac:dyDescent="0.25">
      <c r="A64" s="55"/>
      <c r="B64" s="16"/>
      <c r="C64" s="16"/>
      <c r="D64" s="16"/>
    </row>
    <row r="65" spans="1:4" ht="14.25" customHeight="1" x14ac:dyDescent="0.25">
      <c r="A65" s="55"/>
      <c r="B65" s="16"/>
      <c r="C65" s="16"/>
      <c r="D65" s="16"/>
    </row>
    <row r="66" spans="1:4" ht="14.25" customHeight="1" x14ac:dyDescent="0.25">
      <c r="A66" s="55"/>
      <c r="B66" s="16"/>
      <c r="C66" s="16"/>
      <c r="D66" s="16"/>
    </row>
    <row r="67" spans="1:4" ht="14.25" customHeight="1" x14ac:dyDescent="0.25">
      <c r="A67" s="55"/>
      <c r="B67" s="16"/>
      <c r="C67" s="16"/>
      <c r="D67" s="16"/>
    </row>
    <row r="68" spans="1:4" ht="14.25" customHeight="1" x14ac:dyDescent="0.25">
      <c r="A68" s="55"/>
      <c r="B68" s="16"/>
      <c r="C68" s="16"/>
      <c r="D68" s="16"/>
    </row>
    <row r="69" spans="1:4" ht="14.25" customHeight="1" x14ac:dyDescent="0.25">
      <c r="A69" s="55"/>
      <c r="B69" s="16"/>
      <c r="C69" s="16"/>
      <c r="D69" s="16"/>
    </row>
    <row r="70" spans="1:4" ht="14.25" customHeight="1" x14ac:dyDescent="0.25">
      <c r="A70" s="55"/>
      <c r="B70" s="16"/>
      <c r="C70" s="16"/>
      <c r="D70" s="16"/>
    </row>
    <row r="71" spans="1:4" ht="14.25" customHeight="1" x14ac:dyDescent="0.25">
      <c r="A71" s="55"/>
      <c r="B71" s="16"/>
      <c r="C71" s="16"/>
      <c r="D71" s="16"/>
    </row>
    <row r="72" spans="1:4" ht="14.25" customHeight="1" x14ac:dyDescent="0.25">
      <c r="A72" s="55"/>
      <c r="B72" s="16"/>
      <c r="C72" s="16"/>
      <c r="D72" s="16"/>
    </row>
    <row r="73" spans="1:4" ht="14.25" customHeight="1" x14ac:dyDescent="0.25">
      <c r="A73" s="55"/>
      <c r="B73" s="16"/>
      <c r="C73" s="16"/>
      <c r="D73" s="16"/>
    </row>
    <row r="74" spans="1:4" ht="14.25" customHeight="1" x14ac:dyDescent="0.25">
      <c r="A74" s="55"/>
      <c r="B74" s="16"/>
      <c r="C74" s="16"/>
      <c r="D74" s="16"/>
    </row>
    <row r="75" spans="1:4" ht="14.25" customHeight="1" x14ac:dyDescent="0.25">
      <c r="A75" s="55"/>
      <c r="B75" s="16"/>
      <c r="C75" s="16"/>
      <c r="D75" s="16"/>
    </row>
    <row r="76" spans="1:4" ht="14.25" customHeight="1" x14ac:dyDescent="0.25">
      <c r="A76" s="55"/>
      <c r="B76" s="16"/>
      <c r="C76" s="16"/>
      <c r="D76" s="16"/>
    </row>
    <row r="77" spans="1:4" ht="14.25" customHeight="1" x14ac:dyDescent="0.25">
      <c r="A77" s="55"/>
      <c r="B77" s="16"/>
      <c r="C77" s="16"/>
      <c r="D77" s="16"/>
    </row>
    <row r="78" spans="1:4" ht="14.25" customHeight="1" x14ac:dyDescent="0.25">
      <c r="A78" s="55"/>
      <c r="B78" s="16"/>
      <c r="C78" s="16"/>
      <c r="D78" s="16"/>
    </row>
    <row r="79" spans="1:4" ht="14.25" customHeight="1" x14ac:dyDescent="0.25">
      <c r="A79" s="55"/>
      <c r="B79" s="16"/>
      <c r="C79" s="16"/>
      <c r="D79" s="16"/>
    </row>
    <row r="80" spans="1:4" ht="14.25" customHeight="1" x14ac:dyDescent="0.25">
      <c r="A80" s="55"/>
      <c r="B80" s="16"/>
      <c r="C80" s="16"/>
      <c r="D80" s="16"/>
    </row>
    <row r="81" spans="1:4" ht="14.25" customHeight="1" x14ac:dyDescent="0.25">
      <c r="A81" s="55"/>
      <c r="B81" s="16"/>
      <c r="C81" s="16"/>
      <c r="D81" s="16"/>
    </row>
    <row r="82" spans="1:4" ht="14.25" customHeight="1" x14ac:dyDescent="0.25">
      <c r="A82" s="55"/>
      <c r="B82" s="16"/>
      <c r="C82" s="16"/>
      <c r="D82" s="16"/>
    </row>
    <row r="83" spans="1:4" ht="14.25" customHeight="1" x14ac:dyDescent="0.25">
      <c r="A83" s="55"/>
      <c r="B83" s="16"/>
      <c r="C83" s="16"/>
      <c r="D83" s="16"/>
    </row>
    <row r="84" spans="1:4" ht="14.25" customHeight="1" x14ac:dyDescent="0.25">
      <c r="A84" s="55"/>
      <c r="B84" s="16"/>
      <c r="C84" s="16"/>
      <c r="D84" s="16"/>
    </row>
    <row r="85" spans="1:4" ht="14.25" customHeight="1" x14ac:dyDescent="0.25">
      <c r="A85" s="55"/>
      <c r="B85" s="16"/>
      <c r="C85" s="16"/>
      <c r="D85" s="16"/>
    </row>
    <row r="86" spans="1:4" ht="14.25" customHeight="1" x14ac:dyDescent="0.25">
      <c r="A86" s="55"/>
      <c r="B86" s="16"/>
      <c r="C86" s="16"/>
      <c r="D86" s="16"/>
    </row>
    <row r="87" spans="1:4" ht="14.25" customHeight="1" x14ac:dyDescent="0.25">
      <c r="A87" s="55"/>
      <c r="B87" s="16"/>
      <c r="C87" s="16"/>
      <c r="D87" s="16"/>
    </row>
    <row r="88" spans="1:4" ht="14.25" customHeight="1" x14ac:dyDescent="0.25">
      <c r="A88" s="55"/>
      <c r="B88" s="16"/>
      <c r="C88" s="16"/>
      <c r="D88" s="16"/>
    </row>
    <row r="89" spans="1:4" ht="14.25" customHeight="1" x14ac:dyDescent="0.25">
      <c r="A89" s="55"/>
      <c r="B89" s="16"/>
      <c r="C89" s="16"/>
      <c r="D89" s="16"/>
    </row>
    <row r="90" spans="1:4" ht="14.25" customHeight="1" x14ac:dyDescent="0.25">
      <c r="A90" s="55"/>
      <c r="B90" s="16"/>
      <c r="C90" s="16"/>
      <c r="D90" s="16"/>
    </row>
    <row r="91" spans="1:4" ht="14.25" customHeight="1" x14ac:dyDescent="0.25">
      <c r="A91" s="55"/>
      <c r="B91" s="16"/>
      <c r="C91" s="16"/>
      <c r="D91" s="16"/>
    </row>
    <row r="92" spans="1:4" ht="14.25" customHeight="1" x14ac:dyDescent="0.25">
      <c r="A92" s="55"/>
      <c r="B92" s="16"/>
      <c r="C92" s="16"/>
      <c r="D92" s="16"/>
    </row>
    <row r="93" spans="1:4" ht="14.25" customHeight="1" x14ac:dyDescent="0.25">
      <c r="A93" s="55"/>
      <c r="B93" s="16"/>
      <c r="C93" s="16"/>
      <c r="D93" s="16"/>
    </row>
    <row r="94" spans="1:4" ht="14.25" customHeight="1" x14ac:dyDescent="0.25">
      <c r="A94" s="55"/>
      <c r="B94" s="16"/>
      <c r="C94" s="16"/>
      <c r="D94" s="16"/>
    </row>
    <row r="95" spans="1:4" ht="14.25" customHeight="1" x14ac:dyDescent="0.25">
      <c r="A95" s="55"/>
      <c r="B95" s="16"/>
      <c r="C95" s="16"/>
      <c r="D95" s="16"/>
    </row>
    <row r="96" spans="1:4" ht="14.25" customHeight="1" x14ac:dyDescent="0.25">
      <c r="A96" s="55"/>
      <c r="B96" s="16"/>
      <c r="C96" s="16"/>
      <c r="D96" s="16"/>
    </row>
    <row r="97" spans="1:4" ht="14.25" customHeight="1" x14ac:dyDescent="0.25">
      <c r="A97" s="55"/>
      <c r="B97" s="16"/>
      <c r="C97" s="16"/>
      <c r="D97" s="16"/>
    </row>
    <row r="98" spans="1:4" ht="14.25" customHeight="1" x14ac:dyDescent="0.25">
      <c r="A98" s="55"/>
      <c r="B98" s="16"/>
      <c r="C98" s="16"/>
      <c r="D98" s="16"/>
    </row>
    <row r="99" spans="1:4" ht="14.25" customHeight="1" x14ac:dyDescent="0.25">
      <c r="A99" s="55"/>
      <c r="B99" s="16"/>
      <c r="C99" s="16"/>
      <c r="D99" s="16"/>
    </row>
    <row r="100" spans="1:4" ht="14.25" customHeight="1" x14ac:dyDescent="0.25">
      <c r="A100" s="55"/>
      <c r="B100" s="16"/>
      <c r="C100" s="16"/>
      <c r="D100" s="16"/>
    </row>
    <row r="101" spans="1:4" ht="14.25" customHeight="1" x14ac:dyDescent="0.25">
      <c r="A101" s="55"/>
      <c r="B101" s="16"/>
      <c r="C101" s="16"/>
      <c r="D101" s="16"/>
    </row>
    <row r="102" spans="1:4" ht="14.25" customHeight="1" x14ac:dyDescent="0.25">
      <c r="A102" s="55"/>
      <c r="B102" s="16"/>
      <c r="C102" s="16"/>
      <c r="D102" s="16"/>
    </row>
    <row r="103" spans="1:4" ht="14.25" customHeight="1" x14ac:dyDescent="0.25">
      <c r="A103" s="55"/>
      <c r="B103" s="16"/>
      <c r="C103" s="16"/>
      <c r="D103" s="16"/>
    </row>
    <row r="104" spans="1:4" ht="14.25" customHeight="1" x14ac:dyDescent="0.25">
      <c r="A104" s="55"/>
      <c r="B104" s="16"/>
      <c r="C104" s="16"/>
      <c r="D104" s="16"/>
    </row>
    <row r="105" spans="1:4" ht="14.25" customHeight="1" x14ac:dyDescent="0.25">
      <c r="A105" s="55"/>
      <c r="B105" s="16"/>
      <c r="C105" s="16"/>
      <c r="D105" s="16"/>
    </row>
    <row r="106" spans="1:4" ht="14.25" customHeight="1" x14ac:dyDescent="0.25">
      <c r="A106" s="55"/>
      <c r="B106" s="16"/>
      <c r="C106" s="16"/>
      <c r="D106" s="16"/>
    </row>
    <row r="107" spans="1:4" ht="14.25" customHeight="1" x14ac:dyDescent="0.25">
      <c r="A107" s="55"/>
      <c r="B107" s="16"/>
      <c r="C107" s="16"/>
      <c r="D107" s="16"/>
    </row>
    <row r="108" spans="1:4" ht="14.25" customHeight="1" x14ac:dyDescent="0.25">
      <c r="A108" s="55"/>
      <c r="B108" s="16"/>
      <c r="C108" s="16"/>
      <c r="D108" s="16"/>
    </row>
    <row r="109" spans="1:4" ht="14.25" customHeight="1" x14ac:dyDescent="0.25">
      <c r="A109" s="55"/>
      <c r="B109" s="16"/>
      <c r="C109" s="16"/>
      <c r="D109" s="16"/>
    </row>
    <row r="110" spans="1:4" ht="14.25" customHeight="1" x14ac:dyDescent="0.25">
      <c r="A110" s="55"/>
      <c r="B110" s="16"/>
      <c r="C110" s="16"/>
      <c r="D110" s="16"/>
    </row>
    <row r="111" spans="1:4" ht="14.25" customHeight="1" x14ac:dyDescent="0.25">
      <c r="A111" s="55"/>
      <c r="B111" s="16"/>
      <c r="C111" s="16"/>
      <c r="D111" s="16"/>
    </row>
    <row r="112" spans="1:4" ht="14.25" customHeight="1" x14ac:dyDescent="0.25">
      <c r="A112" s="55"/>
      <c r="B112" s="16"/>
      <c r="C112" s="16"/>
      <c r="D112" s="16"/>
    </row>
    <row r="113" spans="1:4" ht="14.25" customHeight="1" x14ac:dyDescent="0.25">
      <c r="A113" s="55"/>
      <c r="B113" s="16"/>
      <c r="C113" s="16"/>
      <c r="D113" s="16"/>
    </row>
    <row r="114" spans="1:4" ht="14.25" customHeight="1" x14ac:dyDescent="0.25">
      <c r="A114" s="55"/>
      <c r="B114" s="16"/>
      <c r="C114" s="16"/>
      <c r="D114" s="16"/>
    </row>
    <row r="115" spans="1:4" ht="14.25" customHeight="1" x14ac:dyDescent="0.25">
      <c r="A115" s="55"/>
      <c r="B115" s="16"/>
      <c r="C115" s="16"/>
      <c r="D115" s="16"/>
    </row>
    <row r="116" spans="1:4" ht="14.25" customHeight="1" x14ac:dyDescent="0.25">
      <c r="A116" s="55"/>
      <c r="B116" s="16"/>
      <c r="C116" s="16"/>
      <c r="D116" s="16"/>
    </row>
    <row r="117" spans="1:4" ht="14.25" customHeight="1" x14ac:dyDescent="0.25">
      <c r="A117" s="55"/>
      <c r="B117" s="16"/>
      <c r="C117" s="16"/>
      <c r="D117" s="16"/>
    </row>
    <row r="118" spans="1:4" ht="14.25" customHeight="1" x14ac:dyDescent="0.25">
      <c r="A118" s="55"/>
      <c r="B118" s="16"/>
      <c r="C118" s="16"/>
      <c r="D118" s="16"/>
    </row>
    <row r="119" spans="1:4" ht="14.25" customHeight="1" x14ac:dyDescent="0.25">
      <c r="A119" s="55"/>
      <c r="B119" s="16"/>
      <c r="C119" s="16"/>
      <c r="D119" s="16"/>
    </row>
    <row r="120" spans="1:4" ht="14.25" customHeight="1" x14ac:dyDescent="0.25">
      <c r="A120" s="55"/>
      <c r="B120" s="16"/>
      <c r="C120" s="16"/>
      <c r="D120" s="16"/>
    </row>
    <row r="121" spans="1:4" ht="14.25" customHeight="1" x14ac:dyDescent="0.25">
      <c r="A121" s="55"/>
      <c r="B121" s="16"/>
      <c r="C121" s="16"/>
      <c r="D121" s="16"/>
    </row>
    <row r="122" spans="1:4" ht="14.25" customHeight="1" x14ac:dyDescent="0.25">
      <c r="A122" s="55"/>
      <c r="B122" s="16"/>
      <c r="C122" s="16"/>
      <c r="D122" s="16"/>
    </row>
    <row r="123" spans="1:4" ht="14.25" customHeight="1" x14ac:dyDescent="0.25">
      <c r="A123" s="55"/>
      <c r="B123" s="16"/>
      <c r="C123" s="16"/>
      <c r="D123" s="16"/>
    </row>
    <row r="124" spans="1:4" ht="14.25" customHeight="1" x14ac:dyDescent="0.25">
      <c r="A124" s="55"/>
      <c r="B124" s="16"/>
      <c r="C124" s="16"/>
      <c r="D124" s="16"/>
    </row>
    <row r="125" spans="1:4" ht="14.25" customHeight="1" x14ac:dyDescent="0.25">
      <c r="A125" s="55"/>
      <c r="B125" s="16"/>
      <c r="C125" s="16"/>
      <c r="D125" s="16"/>
    </row>
    <row r="126" spans="1:4" ht="14.25" customHeight="1" x14ac:dyDescent="0.25">
      <c r="A126" s="55"/>
      <c r="B126" s="16"/>
      <c r="C126" s="16"/>
      <c r="D126" s="16"/>
    </row>
    <row r="127" spans="1:4" ht="14.25" customHeight="1" x14ac:dyDescent="0.25">
      <c r="A127" s="55"/>
      <c r="B127" s="16"/>
      <c r="C127" s="16"/>
      <c r="D127" s="16"/>
    </row>
    <row r="128" spans="1:4" ht="14.25" customHeight="1" x14ac:dyDescent="0.25">
      <c r="A128" s="55"/>
      <c r="B128" s="16"/>
      <c r="C128" s="16"/>
      <c r="D128" s="16"/>
    </row>
    <row r="129" spans="1:4" ht="14.25" customHeight="1" x14ac:dyDescent="0.25">
      <c r="A129" s="55"/>
      <c r="B129" s="16"/>
      <c r="C129" s="16"/>
      <c r="D129" s="16"/>
    </row>
    <row r="130" spans="1:4" ht="14.25" customHeight="1" x14ac:dyDescent="0.25">
      <c r="A130" s="55"/>
      <c r="B130" s="16"/>
      <c r="C130" s="16"/>
      <c r="D130" s="16"/>
    </row>
    <row r="131" spans="1:4" ht="14.25" customHeight="1" x14ac:dyDescent="0.25">
      <c r="A131" s="55"/>
      <c r="B131" s="16"/>
      <c r="C131" s="16"/>
      <c r="D131" s="16"/>
    </row>
    <row r="132" spans="1:4" ht="14.25" customHeight="1" x14ac:dyDescent="0.25">
      <c r="A132" s="55"/>
      <c r="B132" s="16"/>
      <c r="C132" s="16"/>
      <c r="D132" s="16"/>
    </row>
    <row r="133" spans="1:4" ht="14.25" customHeight="1" x14ac:dyDescent="0.25">
      <c r="A133" s="55"/>
      <c r="B133" s="16"/>
      <c r="C133" s="16"/>
      <c r="D133" s="16"/>
    </row>
    <row r="134" spans="1:4" ht="14.25" customHeight="1" x14ac:dyDescent="0.25">
      <c r="A134" s="55"/>
      <c r="B134" s="16"/>
      <c r="C134" s="16"/>
      <c r="D134" s="16"/>
    </row>
    <row r="135" spans="1:4" ht="14.25" customHeight="1" x14ac:dyDescent="0.25">
      <c r="A135" s="55"/>
      <c r="B135" s="16"/>
      <c r="C135" s="16"/>
      <c r="D135" s="16"/>
    </row>
    <row r="136" spans="1:4" ht="14.25" customHeight="1" x14ac:dyDescent="0.25">
      <c r="A136" s="55"/>
      <c r="B136" s="16"/>
      <c r="C136" s="16"/>
      <c r="D136" s="16"/>
    </row>
    <row r="137" spans="1:4" ht="14.25" customHeight="1" x14ac:dyDescent="0.25">
      <c r="A137" s="55"/>
      <c r="B137" s="16"/>
      <c r="C137" s="16"/>
      <c r="D137" s="16"/>
    </row>
    <row r="138" spans="1:4" ht="14.25" customHeight="1" x14ac:dyDescent="0.25">
      <c r="A138" s="55"/>
      <c r="B138" s="16"/>
      <c r="C138" s="16"/>
      <c r="D138" s="16"/>
    </row>
    <row r="139" spans="1:4" ht="14.25" customHeight="1" x14ac:dyDescent="0.25">
      <c r="A139" s="55"/>
      <c r="B139" s="16"/>
      <c r="C139" s="16"/>
      <c r="D139" s="16"/>
    </row>
    <row r="140" spans="1:4" ht="14.25" customHeight="1" x14ac:dyDescent="0.25">
      <c r="A140" s="55"/>
      <c r="B140" s="16"/>
      <c r="C140" s="16"/>
      <c r="D140" s="16"/>
    </row>
    <row r="141" spans="1:4" ht="14.25" customHeight="1" x14ac:dyDescent="0.25">
      <c r="A141" s="55"/>
      <c r="B141" s="16"/>
      <c r="C141" s="16"/>
      <c r="D141" s="16"/>
    </row>
    <row r="142" spans="1:4" ht="14.25" customHeight="1" x14ac:dyDescent="0.25">
      <c r="A142" s="55"/>
      <c r="B142" s="16"/>
      <c r="C142" s="16"/>
      <c r="D142" s="16"/>
    </row>
    <row r="143" spans="1:4" ht="14.25" customHeight="1" x14ac:dyDescent="0.25">
      <c r="A143" s="55"/>
      <c r="B143" s="16"/>
      <c r="C143" s="16"/>
      <c r="D143" s="16"/>
    </row>
    <row r="144" spans="1:4" ht="14.25" customHeight="1" x14ac:dyDescent="0.25">
      <c r="A144" s="55"/>
      <c r="B144" s="16"/>
      <c r="C144" s="16"/>
      <c r="D144" s="16"/>
    </row>
    <row r="145" spans="1:4" ht="14.25" customHeight="1" x14ac:dyDescent="0.25">
      <c r="A145" s="55"/>
      <c r="B145" s="16"/>
      <c r="C145" s="16"/>
      <c r="D145" s="16"/>
    </row>
    <row r="146" spans="1:4" ht="14.25" customHeight="1" x14ac:dyDescent="0.25">
      <c r="A146" s="55"/>
      <c r="B146" s="16"/>
      <c r="C146" s="16"/>
      <c r="D146" s="16"/>
    </row>
    <row r="147" spans="1:4" ht="14.25" customHeight="1" x14ac:dyDescent="0.25">
      <c r="A147" s="55"/>
      <c r="B147" s="16"/>
      <c r="C147" s="16"/>
      <c r="D147" s="16"/>
    </row>
    <row r="148" spans="1:4" ht="14.25" customHeight="1" x14ac:dyDescent="0.25">
      <c r="A148" s="55"/>
      <c r="B148" s="16"/>
      <c r="C148" s="16"/>
      <c r="D148" s="16"/>
    </row>
    <row r="149" spans="1:4" ht="14.25" customHeight="1" x14ac:dyDescent="0.25">
      <c r="A149" s="55"/>
      <c r="B149" s="16"/>
      <c r="C149" s="16"/>
      <c r="D149" s="16"/>
    </row>
    <row r="150" spans="1:4" ht="14.25" customHeight="1" x14ac:dyDescent="0.25">
      <c r="A150" s="55"/>
      <c r="B150" s="16"/>
      <c r="C150" s="16"/>
      <c r="D150" s="16"/>
    </row>
    <row r="151" spans="1:4" ht="14.25" customHeight="1" x14ac:dyDescent="0.25">
      <c r="A151" s="55"/>
      <c r="B151" s="16"/>
      <c r="C151" s="16"/>
      <c r="D151" s="16"/>
    </row>
    <row r="152" spans="1:4" ht="14.25" customHeight="1" x14ac:dyDescent="0.25">
      <c r="A152" s="55"/>
      <c r="B152" s="16"/>
      <c r="C152" s="16"/>
      <c r="D152" s="16"/>
    </row>
    <row r="153" spans="1:4" ht="14.25" customHeight="1" x14ac:dyDescent="0.25">
      <c r="A153" s="55"/>
      <c r="B153" s="16"/>
      <c r="C153" s="16"/>
      <c r="D153" s="16"/>
    </row>
    <row r="154" spans="1:4" ht="14.25" customHeight="1" x14ac:dyDescent="0.25">
      <c r="A154" s="55"/>
      <c r="B154" s="16"/>
      <c r="C154" s="16"/>
      <c r="D154" s="16"/>
    </row>
    <row r="155" spans="1:4" ht="14.25" customHeight="1" x14ac:dyDescent="0.25">
      <c r="A155" s="55"/>
      <c r="B155" s="16"/>
      <c r="C155" s="16"/>
      <c r="D155" s="16"/>
    </row>
    <row r="156" spans="1:4" ht="14.25" customHeight="1" x14ac:dyDescent="0.25">
      <c r="A156" s="55"/>
      <c r="B156" s="16"/>
      <c r="C156" s="16"/>
      <c r="D156" s="16"/>
    </row>
    <row r="157" spans="1:4" ht="14.25" customHeight="1" x14ac:dyDescent="0.25">
      <c r="A157" s="55"/>
      <c r="B157" s="16"/>
      <c r="C157" s="16"/>
      <c r="D157" s="16"/>
    </row>
    <row r="158" spans="1:4" ht="14.25" customHeight="1" x14ac:dyDescent="0.25">
      <c r="A158" s="55"/>
      <c r="B158" s="16"/>
      <c r="C158" s="16"/>
      <c r="D158" s="16"/>
    </row>
    <row r="159" spans="1:4" ht="14.25" customHeight="1" x14ac:dyDescent="0.25">
      <c r="A159" s="55"/>
      <c r="B159" s="16"/>
      <c r="C159" s="16"/>
      <c r="D159" s="16"/>
    </row>
    <row r="160" spans="1:4" ht="14.25" customHeight="1" x14ac:dyDescent="0.25">
      <c r="A160" s="55"/>
      <c r="B160" s="16"/>
      <c r="C160" s="16"/>
      <c r="D160" s="16"/>
    </row>
    <row r="161" spans="1:4" ht="14.25" customHeight="1" x14ac:dyDescent="0.25">
      <c r="A161" s="55"/>
      <c r="B161" s="16"/>
      <c r="C161" s="16"/>
      <c r="D161" s="16"/>
    </row>
    <row r="162" spans="1:4" ht="14.25" customHeight="1" x14ac:dyDescent="0.25">
      <c r="A162" s="55"/>
      <c r="B162" s="16"/>
      <c r="C162" s="16"/>
      <c r="D162" s="16"/>
    </row>
    <row r="163" spans="1:4" ht="14.25" customHeight="1" x14ac:dyDescent="0.25">
      <c r="A163" s="55"/>
      <c r="B163" s="16"/>
      <c r="C163" s="16"/>
      <c r="D163" s="16"/>
    </row>
    <row r="164" spans="1:4" ht="14.25" customHeight="1" x14ac:dyDescent="0.25">
      <c r="A164" s="55"/>
      <c r="B164" s="16"/>
      <c r="C164" s="16"/>
      <c r="D164" s="16"/>
    </row>
    <row r="165" spans="1:4" ht="14.25" customHeight="1" x14ac:dyDescent="0.25">
      <c r="A165" s="55"/>
      <c r="B165" s="16"/>
      <c r="C165" s="16"/>
      <c r="D165" s="16"/>
    </row>
    <row r="166" spans="1:4" ht="14.25" customHeight="1" x14ac:dyDescent="0.25">
      <c r="A166" s="55"/>
      <c r="B166" s="16"/>
      <c r="C166" s="16"/>
      <c r="D166" s="16"/>
    </row>
    <row r="167" spans="1:4" ht="14.25" customHeight="1" x14ac:dyDescent="0.25">
      <c r="A167" s="55"/>
      <c r="B167" s="16"/>
      <c r="C167" s="16"/>
      <c r="D167" s="16"/>
    </row>
    <row r="168" spans="1:4" ht="14.25" customHeight="1" x14ac:dyDescent="0.25">
      <c r="A168" s="55"/>
      <c r="B168" s="16"/>
      <c r="C168" s="16"/>
      <c r="D168" s="16"/>
    </row>
    <row r="169" spans="1:4" ht="14.25" customHeight="1" x14ac:dyDescent="0.25">
      <c r="A169" s="55"/>
      <c r="B169" s="16"/>
      <c r="C169" s="16"/>
      <c r="D169" s="16"/>
    </row>
    <row r="170" spans="1:4" ht="14.25" customHeight="1" x14ac:dyDescent="0.25">
      <c r="A170" s="55"/>
      <c r="B170" s="16"/>
      <c r="C170" s="16"/>
      <c r="D170" s="16"/>
    </row>
    <row r="171" spans="1:4" ht="14.25" customHeight="1" x14ac:dyDescent="0.25">
      <c r="A171" s="55"/>
      <c r="B171" s="16"/>
      <c r="C171" s="16"/>
      <c r="D171" s="16"/>
    </row>
    <row r="172" spans="1:4" ht="14.25" customHeight="1" x14ac:dyDescent="0.25">
      <c r="A172" s="55"/>
      <c r="B172" s="16"/>
      <c r="C172" s="16"/>
      <c r="D172" s="16"/>
    </row>
    <row r="173" spans="1:4" ht="14.25" customHeight="1" x14ac:dyDescent="0.25">
      <c r="A173" s="55"/>
      <c r="B173" s="16"/>
      <c r="C173" s="16"/>
      <c r="D173" s="16"/>
    </row>
    <row r="174" spans="1:4" ht="14.25" customHeight="1" x14ac:dyDescent="0.25">
      <c r="A174" s="55"/>
      <c r="B174" s="16"/>
      <c r="C174" s="16"/>
      <c r="D174" s="16"/>
    </row>
    <row r="175" spans="1:4" ht="14.25" customHeight="1" x14ac:dyDescent="0.25">
      <c r="A175" s="55"/>
      <c r="B175" s="16"/>
      <c r="C175" s="16"/>
      <c r="D175" s="16"/>
    </row>
    <row r="176" spans="1:4" ht="14.25" customHeight="1" x14ac:dyDescent="0.25">
      <c r="A176" s="55"/>
      <c r="B176" s="16"/>
      <c r="C176" s="16"/>
      <c r="D176" s="16"/>
    </row>
    <row r="177" spans="1:4" ht="14.25" customHeight="1" x14ac:dyDescent="0.25">
      <c r="A177" s="55"/>
      <c r="B177" s="16"/>
      <c r="C177" s="16"/>
      <c r="D177" s="16"/>
    </row>
    <row r="178" spans="1:4" ht="14.25" customHeight="1" x14ac:dyDescent="0.25">
      <c r="A178" s="55"/>
      <c r="B178" s="16"/>
      <c r="C178" s="16"/>
      <c r="D178" s="16"/>
    </row>
    <row r="179" spans="1:4" ht="14.25" customHeight="1" x14ac:dyDescent="0.25">
      <c r="A179" s="55"/>
      <c r="B179" s="16"/>
      <c r="C179" s="16"/>
      <c r="D179" s="16"/>
    </row>
    <row r="180" spans="1:4" ht="14.25" customHeight="1" x14ac:dyDescent="0.25">
      <c r="A180" s="55"/>
      <c r="B180" s="16"/>
      <c r="C180" s="16"/>
      <c r="D180" s="16"/>
    </row>
    <row r="181" spans="1:4" ht="14.25" customHeight="1" x14ac:dyDescent="0.25">
      <c r="A181" s="55"/>
      <c r="B181" s="16"/>
      <c r="C181" s="16"/>
      <c r="D181" s="16"/>
    </row>
    <row r="182" spans="1:4" ht="14.25" customHeight="1" x14ac:dyDescent="0.25">
      <c r="A182" s="55"/>
      <c r="B182" s="16"/>
      <c r="C182" s="16"/>
      <c r="D182" s="16"/>
    </row>
    <row r="183" spans="1:4" ht="14.25" customHeight="1" x14ac:dyDescent="0.25">
      <c r="A183" s="55"/>
      <c r="B183" s="16"/>
      <c r="C183" s="16"/>
      <c r="D183" s="16"/>
    </row>
    <row r="184" spans="1:4" ht="14.25" customHeight="1" x14ac:dyDescent="0.25">
      <c r="A184" s="55"/>
      <c r="B184" s="16"/>
      <c r="C184" s="16"/>
      <c r="D184" s="16"/>
    </row>
    <row r="185" spans="1:4" ht="14.25" customHeight="1" x14ac:dyDescent="0.25">
      <c r="A185" s="55"/>
      <c r="B185" s="16"/>
      <c r="C185" s="16"/>
      <c r="D185" s="16"/>
    </row>
    <row r="186" spans="1:4" ht="14.25" customHeight="1" x14ac:dyDescent="0.25">
      <c r="A186" s="55"/>
      <c r="B186" s="16"/>
      <c r="C186" s="16"/>
      <c r="D186" s="16"/>
    </row>
    <row r="187" spans="1:4" ht="14.25" customHeight="1" x14ac:dyDescent="0.25">
      <c r="A187" s="55"/>
      <c r="B187" s="16"/>
      <c r="C187" s="16"/>
      <c r="D187" s="16"/>
    </row>
    <row r="188" spans="1:4" ht="14.25" customHeight="1" x14ac:dyDescent="0.25">
      <c r="A188" s="55"/>
      <c r="B188" s="16"/>
      <c r="C188" s="16"/>
      <c r="D188" s="16"/>
    </row>
    <row r="189" spans="1:4" ht="14.25" customHeight="1" x14ac:dyDescent="0.25">
      <c r="A189" s="55"/>
      <c r="B189" s="16"/>
      <c r="C189" s="16"/>
      <c r="D189" s="16"/>
    </row>
    <row r="190" spans="1:4" ht="14.25" customHeight="1" x14ac:dyDescent="0.25">
      <c r="A190" s="55"/>
      <c r="B190" s="16"/>
      <c r="C190" s="16"/>
      <c r="D190" s="16"/>
    </row>
    <row r="191" spans="1:4" ht="14.25" customHeight="1" x14ac:dyDescent="0.25">
      <c r="A191" s="55"/>
      <c r="B191" s="16"/>
      <c r="C191" s="16"/>
      <c r="D191" s="16"/>
    </row>
    <row r="192" spans="1:4" ht="14.25" customHeight="1" x14ac:dyDescent="0.25">
      <c r="A192" s="55"/>
      <c r="B192" s="16"/>
      <c r="C192" s="16"/>
      <c r="D192" s="16"/>
    </row>
    <row r="193" spans="1:4" ht="14.25" customHeight="1" x14ac:dyDescent="0.25">
      <c r="A193" s="55"/>
      <c r="B193" s="16"/>
      <c r="C193" s="16"/>
      <c r="D193" s="16"/>
    </row>
    <row r="194" spans="1:4" ht="14.25" customHeight="1" x14ac:dyDescent="0.25">
      <c r="A194" s="55"/>
      <c r="B194" s="16"/>
      <c r="C194" s="16"/>
      <c r="D194" s="16"/>
    </row>
    <row r="195" spans="1:4" ht="14.25" customHeight="1" x14ac:dyDescent="0.25">
      <c r="A195" s="55"/>
      <c r="B195" s="16"/>
      <c r="C195" s="16"/>
      <c r="D195" s="16"/>
    </row>
    <row r="196" spans="1:4" ht="14.25" customHeight="1" x14ac:dyDescent="0.25">
      <c r="A196" s="55"/>
      <c r="B196" s="16"/>
      <c r="C196" s="16"/>
      <c r="D196" s="16"/>
    </row>
    <row r="197" spans="1:4" ht="14.25" customHeight="1" x14ac:dyDescent="0.25">
      <c r="A197" s="55"/>
      <c r="B197" s="16"/>
      <c r="C197" s="16"/>
      <c r="D197" s="16"/>
    </row>
    <row r="198" spans="1:4" ht="14.25" customHeight="1" x14ac:dyDescent="0.25">
      <c r="A198" s="55"/>
      <c r="B198" s="16"/>
      <c r="C198" s="16"/>
      <c r="D198" s="16"/>
    </row>
    <row r="199" spans="1:4" ht="14.25" customHeight="1" x14ac:dyDescent="0.25">
      <c r="A199" s="55"/>
      <c r="B199" s="16"/>
      <c r="C199" s="16"/>
      <c r="D199" s="16"/>
    </row>
    <row r="200" spans="1:4" ht="14.25" customHeight="1" x14ac:dyDescent="0.25">
      <c r="A200" s="55"/>
      <c r="B200" s="16"/>
      <c r="C200" s="16"/>
      <c r="D200" s="16"/>
    </row>
    <row r="201" spans="1:4" ht="14.25" customHeight="1" x14ac:dyDescent="0.25">
      <c r="A201" s="55"/>
      <c r="B201" s="16"/>
      <c r="C201" s="16"/>
      <c r="D201" s="16"/>
    </row>
    <row r="202" spans="1:4" ht="14.25" customHeight="1" x14ac:dyDescent="0.25">
      <c r="A202" s="55"/>
      <c r="B202" s="16"/>
      <c r="C202" s="16"/>
      <c r="D202" s="16"/>
    </row>
    <row r="203" spans="1:4" ht="14.25" customHeight="1" x14ac:dyDescent="0.25">
      <c r="A203" s="55"/>
      <c r="B203" s="16"/>
      <c r="C203" s="16"/>
      <c r="D203" s="16"/>
    </row>
    <row r="204" spans="1:4" ht="14.25" customHeight="1" x14ac:dyDescent="0.25">
      <c r="A204" s="55"/>
      <c r="B204" s="16"/>
      <c r="C204" s="16"/>
      <c r="D204" s="16"/>
    </row>
    <row r="205" spans="1:4" ht="14.25" customHeight="1" x14ac:dyDescent="0.25">
      <c r="A205" s="55"/>
      <c r="B205" s="16"/>
      <c r="C205" s="16"/>
      <c r="D205" s="16"/>
    </row>
    <row r="206" spans="1:4" ht="14.25" customHeight="1" x14ac:dyDescent="0.25">
      <c r="A206" s="55"/>
      <c r="B206" s="16"/>
      <c r="C206" s="16"/>
      <c r="D206" s="16"/>
    </row>
    <row r="207" spans="1:4" ht="14.25" customHeight="1" x14ac:dyDescent="0.25">
      <c r="A207" s="55"/>
      <c r="B207" s="16"/>
      <c r="C207" s="16"/>
      <c r="D207" s="16"/>
    </row>
    <row r="208" spans="1:4" ht="14.25" customHeight="1" x14ac:dyDescent="0.25">
      <c r="A208" s="55"/>
      <c r="B208" s="16"/>
      <c r="C208" s="16"/>
      <c r="D208" s="16"/>
    </row>
    <row r="209" spans="1:4" ht="14.25" customHeight="1" x14ac:dyDescent="0.25">
      <c r="A209" s="55"/>
      <c r="B209" s="16"/>
      <c r="C209" s="16"/>
      <c r="D209" s="16"/>
    </row>
    <row r="210" spans="1:4" ht="14.25" customHeight="1" x14ac:dyDescent="0.25">
      <c r="A210" s="55"/>
      <c r="B210" s="16"/>
      <c r="C210" s="16"/>
      <c r="D210" s="16"/>
    </row>
    <row r="211" spans="1:4" ht="14.25" customHeight="1" x14ac:dyDescent="0.25">
      <c r="A211" s="55"/>
      <c r="B211" s="16"/>
      <c r="C211" s="16"/>
      <c r="D211" s="16"/>
    </row>
    <row r="212" spans="1:4" ht="14.25" customHeight="1" x14ac:dyDescent="0.25">
      <c r="A212" s="55"/>
      <c r="B212" s="16"/>
      <c r="C212" s="16"/>
      <c r="D212" s="16"/>
    </row>
    <row r="213" spans="1:4" ht="14.25" customHeight="1" x14ac:dyDescent="0.25">
      <c r="A213" s="55"/>
      <c r="B213" s="16"/>
      <c r="C213" s="16"/>
      <c r="D213" s="16"/>
    </row>
    <row r="214" spans="1:4" ht="14.25" customHeight="1" x14ac:dyDescent="0.25">
      <c r="A214" s="55"/>
      <c r="B214" s="16"/>
      <c r="C214" s="16"/>
      <c r="D214" s="16"/>
    </row>
    <row r="215" spans="1:4" ht="14.25" customHeight="1" x14ac:dyDescent="0.25">
      <c r="A215" s="55"/>
      <c r="B215" s="16"/>
      <c r="C215" s="16"/>
      <c r="D215" s="16"/>
    </row>
    <row r="216" spans="1:4" ht="14.25" customHeight="1" x14ac:dyDescent="0.25">
      <c r="A216" s="55"/>
      <c r="B216" s="16"/>
      <c r="C216" s="16"/>
      <c r="D216" s="16"/>
    </row>
    <row r="217" spans="1:4" ht="14.25" customHeight="1" x14ac:dyDescent="0.25">
      <c r="A217" s="55"/>
      <c r="B217" s="16"/>
      <c r="C217" s="16"/>
      <c r="D217" s="16"/>
    </row>
    <row r="218" spans="1:4" ht="14.25" customHeight="1" x14ac:dyDescent="0.25">
      <c r="A218" s="55"/>
      <c r="B218" s="16"/>
      <c r="C218" s="16"/>
      <c r="D218" s="16"/>
    </row>
    <row r="219" spans="1:4" ht="14.25" customHeight="1" x14ac:dyDescent="0.25">
      <c r="A219" s="55"/>
      <c r="B219" s="16"/>
      <c r="C219" s="16"/>
      <c r="D219" s="16"/>
    </row>
    <row r="220" spans="1:4" ht="14.25" customHeight="1" x14ac:dyDescent="0.25">
      <c r="A220" s="55"/>
      <c r="B220" s="16"/>
      <c r="C220" s="16"/>
      <c r="D220" s="16"/>
    </row>
    <row r="221" spans="1:4" ht="14.25" customHeight="1" x14ac:dyDescent="0.25">
      <c r="A221" s="55"/>
      <c r="B221" s="16"/>
      <c r="C221" s="16"/>
      <c r="D221" s="16"/>
    </row>
    <row r="222" spans="1:4" ht="14.25" customHeight="1" x14ac:dyDescent="0.25">
      <c r="A222" s="55"/>
      <c r="B222" s="16"/>
      <c r="C222" s="16"/>
      <c r="D222" s="16"/>
    </row>
    <row r="223" spans="1:4" ht="14.25" customHeight="1" x14ac:dyDescent="0.25">
      <c r="A223" s="55"/>
      <c r="B223" s="16"/>
      <c r="C223" s="16"/>
      <c r="D223" s="16"/>
    </row>
    <row r="224" spans="1:4" ht="14.25" customHeight="1" x14ac:dyDescent="0.25">
      <c r="A224" s="55"/>
      <c r="B224" s="16"/>
      <c r="C224" s="16"/>
      <c r="D224" s="16"/>
    </row>
    <row r="225" spans="1:4" ht="14.25" customHeight="1" x14ac:dyDescent="0.25">
      <c r="A225" s="55"/>
      <c r="B225" s="16"/>
      <c r="C225" s="16"/>
      <c r="D225" s="16"/>
    </row>
    <row r="226" spans="1:4" ht="14.25" customHeight="1" x14ac:dyDescent="0.25">
      <c r="A226" s="55"/>
      <c r="B226" s="16"/>
      <c r="C226" s="16"/>
      <c r="D226" s="16"/>
    </row>
    <row r="227" spans="1:4" ht="14.25" customHeight="1" x14ac:dyDescent="0.25">
      <c r="A227" s="55"/>
      <c r="B227" s="16"/>
      <c r="C227" s="16"/>
      <c r="D227" s="16"/>
    </row>
    <row r="228" spans="1:4" ht="14.25" customHeight="1" x14ac:dyDescent="0.25">
      <c r="A228" s="55"/>
      <c r="B228" s="16"/>
      <c r="C228" s="16"/>
      <c r="D228" s="16"/>
    </row>
    <row r="229" spans="1:4" ht="14.25" customHeight="1" x14ac:dyDescent="0.25">
      <c r="A229" s="55"/>
      <c r="B229" s="16"/>
      <c r="C229" s="16"/>
      <c r="D229" s="16"/>
    </row>
    <row r="230" spans="1:4" ht="14.25" customHeight="1" x14ac:dyDescent="0.25">
      <c r="A230" s="55"/>
      <c r="B230" s="16"/>
      <c r="C230" s="16"/>
      <c r="D230" s="16"/>
    </row>
    <row r="231" spans="1:4" ht="14.25" customHeight="1" x14ac:dyDescent="0.25">
      <c r="A231" s="55"/>
      <c r="B231" s="16"/>
      <c r="C231" s="16"/>
      <c r="D231" s="16"/>
    </row>
    <row r="232" spans="1:4" ht="14.25" customHeight="1" x14ac:dyDescent="0.25">
      <c r="A232" s="55"/>
      <c r="B232" s="16"/>
      <c r="C232" s="16"/>
      <c r="D232" s="16"/>
    </row>
    <row r="233" spans="1:4" ht="14.25" customHeight="1" x14ac:dyDescent="0.25">
      <c r="A233" s="55"/>
      <c r="B233" s="16"/>
      <c r="C233" s="16"/>
      <c r="D233" s="16"/>
    </row>
    <row r="234" spans="1:4" ht="14.25" customHeight="1" x14ac:dyDescent="0.25">
      <c r="A234" s="55"/>
      <c r="B234" s="16"/>
      <c r="C234" s="16"/>
      <c r="D234" s="16"/>
    </row>
    <row r="235" spans="1:4" ht="14.25" customHeight="1" x14ac:dyDescent="0.25">
      <c r="A235" s="55"/>
      <c r="B235" s="16"/>
      <c r="C235" s="16"/>
      <c r="D235" s="16"/>
    </row>
    <row r="236" spans="1:4" ht="14.25" customHeight="1" x14ac:dyDescent="0.25">
      <c r="A236" s="55"/>
      <c r="B236" s="16"/>
      <c r="C236" s="16"/>
      <c r="D236" s="16"/>
    </row>
    <row r="237" spans="1:4" ht="14.25" customHeight="1" x14ac:dyDescent="0.25">
      <c r="A237" s="55"/>
      <c r="B237" s="16"/>
      <c r="C237" s="16"/>
      <c r="D237" s="16"/>
    </row>
    <row r="238" spans="1:4" ht="14.25" customHeight="1" x14ac:dyDescent="0.25">
      <c r="A238" s="55"/>
      <c r="B238" s="16"/>
      <c r="C238" s="16"/>
      <c r="D238" s="16"/>
    </row>
    <row r="239" spans="1:4" ht="14.25" customHeight="1" x14ac:dyDescent="0.25">
      <c r="A239" s="55"/>
      <c r="B239" s="16"/>
      <c r="C239" s="16"/>
      <c r="D239" s="16"/>
    </row>
    <row r="240" spans="1:4" ht="14.25" customHeight="1" x14ac:dyDescent="0.25">
      <c r="A240" s="55"/>
      <c r="B240" s="16"/>
      <c r="C240" s="16"/>
      <c r="D240" s="16"/>
    </row>
    <row r="241" spans="1:4" ht="14.25" customHeight="1" x14ac:dyDescent="0.25">
      <c r="A241" s="55"/>
      <c r="B241" s="16"/>
      <c r="C241" s="16"/>
      <c r="D241" s="16"/>
    </row>
    <row r="242" spans="1:4" ht="14.25" customHeight="1" x14ac:dyDescent="0.25">
      <c r="A242" s="55"/>
      <c r="B242" s="16"/>
      <c r="C242" s="16"/>
      <c r="D242" s="16"/>
    </row>
    <row r="243" spans="1:4" ht="14.25" customHeight="1" x14ac:dyDescent="0.25">
      <c r="A243" s="55"/>
      <c r="B243" s="16"/>
      <c r="C243" s="16"/>
      <c r="D243" s="16"/>
    </row>
    <row r="244" spans="1:4" ht="14.25" customHeight="1" x14ac:dyDescent="0.25">
      <c r="A244" s="55"/>
      <c r="B244" s="16"/>
      <c r="C244" s="16"/>
      <c r="D244" s="16"/>
    </row>
    <row r="245" spans="1:4" ht="14.25" customHeight="1" x14ac:dyDescent="0.25">
      <c r="A245" s="55"/>
      <c r="B245" s="16"/>
      <c r="C245" s="16"/>
      <c r="D245" s="16"/>
    </row>
    <row r="246" spans="1:4" ht="14.25" customHeight="1" x14ac:dyDescent="0.25">
      <c r="A246" s="55"/>
      <c r="B246" s="16"/>
      <c r="C246" s="16"/>
      <c r="D246" s="16"/>
    </row>
    <row r="247" spans="1:4" ht="14.25" customHeight="1" x14ac:dyDescent="0.25">
      <c r="A247" s="55"/>
      <c r="B247" s="16"/>
      <c r="C247" s="16"/>
      <c r="D247" s="16"/>
    </row>
    <row r="248" spans="1:4" ht="14.25" customHeight="1" x14ac:dyDescent="0.25">
      <c r="A248" s="55"/>
      <c r="B248" s="16"/>
      <c r="C248" s="16"/>
      <c r="D248" s="16"/>
    </row>
    <row r="249" spans="1:4" ht="14.25" customHeight="1" x14ac:dyDescent="0.25">
      <c r="A249" s="55"/>
      <c r="B249" s="16"/>
      <c r="C249" s="16"/>
      <c r="D249" s="16"/>
    </row>
    <row r="250" spans="1:4" ht="14.25" customHeight="1" x14ac:dyDescent="0.25">
      <c r="A250" s="55"/>
      <c r="B250" s="16"/>
      <c r="C250" s="16"/>
      <c r="D250" s="16"/>
    </row>
    <row r="251" spans="1:4" ht="14.25" customHeight="1" x14ac:dyDescent="0.25">
      <c r="A251" s="55"/>
      <c r="B251" s="16"/>
      <c r="C251" s="16"/>
      <c r="D251" s="16"/>
    </row>
    <row r="252" spans="1:4" ht="14.25" customHeight="1" x14ac:dyDescent="0.25">
      <c r="A252" s="55"/>
      <c r="B252" s="16"/>
      <c r="C252" s="16"/>
      <c r="D252" s="16"/>
    </row>
    <row r="253" spans="1:4" ht="14.25" customHeight="1" x14ac:dyDescent="0.25">
      <c r="A253" s="55"/>
      <c r="B253" s="16"/>
      <c r="C253" s="16"/>
      <c r="D253" s="16"/>
    </row>
    <row r="254" spans="1:4" ht="14.25" customHeight="1" x14ac:dyDescent="0.25">
      <c r="A254" s="55"/>
      <c r="B254" s="16"/>
      <c r="C254" s="16"/>
      <c r="D254" s="16"/>
    </row>
    <row r="255" spans="1:4" ht="14.25" customHeight="1" x14ac:dyDescent="0.25">
      <c r="A255" s="55"/>
      <c r="B255" s="16"/>
      <c r="C255" s="16"/>
      <c r="D255" s="16"/>
    </row>
    <row r="256" spans="1:4" ht="14.25" customHeight="1" x14ac:dyDescent="0.25">
      <c r="A256" s="55"/>
      <c r="B256" s="16"/>
      <c r="C256" s="16"/>
      <c r="D256" s="16"/>
    </row>
    <row r="257" spans="1:4" ht="14.25" customHeight="1" x14ac:dyDescent="0.25">
      <c r="A257" s="55"/>
      <c r="B257" s="16"/>
      <c r="C257" s="16"/>
      <c r="D257" s="16"/>
    </row>
    <row r="258" spans="1:4" ht="14.25" customHeight="1" x14ac:dyDescent="0.25">
      <c r="A258" s="55"/>
      <c r="B258" s="16"/>
      <c r="C258" s="16"/>
      <c r="D258" s="16"/>
    </row>
    <row r="259" spans="1:4" ht="14.25" customHeight="1" x14ac:dyDescent="0.25">
      <c r="A259" s="55"/>
      <c r="B259" s="16"/>
      <c r="C259" s="16"/>
      <c r="D259" s="16"/>
    </row>
    <row r="260" spans="1:4" ht="14.25" customHeight="1" x14ac:dyDescent="0.25">
      <c r="A260" s="55"/>
      <c r="B260" s="16"/>
      <c r="C260" s="16"/>
      <c r="D260" s="16"/>
    </row>
    <row r="261" spans="1:4" ht="14.25" customHeight="1" x14ac:dyDescent="0.25">
      <c r="A261" s="55"/>
      <c r="B261" s="16"/>
      <c r="C261" s="16"/>
      <c r="D261" s="16"/>
    </row>
    <row r="262" spans="1:4" ht="14.25" customHeight="1" x14ac:dyDescent="0.25">
      <c r="A262" s="55"/>
      <c r="B262" s="16"/>
      <c r="C262" s="16"/>
      <c r="D262" s="16"/>
    </row>
    <row r="263" spans="1:4" ht="14.25" customHeight="1" x14ac:dyDescent="0.25">
      <c r="A263" s="55"/>
      <c r="B263" s="16"/>
      <c r="C263" s="16"/>
      <c r="D263" s="16"/>
    </row>
    <row r="264" spans="1:4" ht="14.25" customHeight="1" x14ac:dyDescent="0.25">
      <c r="A264" s="55"/>
      <c r="B264" s="16"/>
      <c r="C264" s="16"/>
      <c r="D264" s="16"/>
    </row>
    <row r="265" spans="1:4" ht="14.25" customHeight="1" x14ac:dyDescent="0.25">
      <c r="A265" s="55"/>
      <c r="B265" s="16"/>
      <c r="C265" s="16"/>
      <c r="D265" s="16"/>
    </row>
    <row r="266" spans="1:4" ht="14.25" customHeight="1" x14ac:dyDescent="0.25">
      <c r="A266" s="55"/>
      <c r="B266" s="16"/>
      <c r="C266" s="16"/>
      <c r="D266" s="16"/>
    </row>
    <row r="267" spans="1:4" ht="14.25" customHeight="1" x14ac:dyDescent="0.25">
      <c r="A267" s="55"/>
      <c r="B267" s="16"/>
      <c r="C267" s="16"/>
      <c r="D267" s="16"/>
    </row>
    <row r="268" spans="1:4" ht="14.25" customHeight="1" x14ac:dyDescent="0.25">
      <c r="A268" s="55"/>
      <c r="B268" s="16"/>
      <c r="C268" s="16"/>
      <c r="D268" s="16"/>
    </row>
    <row r="269" spans="1:4" ht="14.25" customHeight="1" x14ac:dyDescent="0.25">
      <c r="A269" s="55"/>
      <c r="B269" s="16"/>
      <c r="C269" s="16"/>
      <c r="D269" s="16"/>
    </row>
    <row r="270" spans="1:4" ht="14.25" customHeight="1" x14ac:dyDescent="0.25">
      <c r="A270" s="55"/>
      <c r="B270" s="16"/>
      <c r="C270" s="16"/>
      <c r="D270" s="16"/>
    </row>
    <row r="271" spans="1:4" ht="14.25" customHeight="1" x14ac:dyDescent="0.25">
      <c r="A271" s="55"/>
      <c r="B271" s="16"/>
      <c r="C271" s="16"/>
      <c r="D271" s="16"/>
    </row>
    <row r="272" spans="1:4" ht="14.25" customHeight="1" x14ac:dyDescent="0.25">
      <c r="A272" s="55"/>
      <c r="B272" s="16"/>
      <c r="C272" s="16"/>
      <c r="D272" s="16"/>
    </row>
    <row r="273" spans="1:4" ht="14.25" customHeight="1" x14ac:dyDescent="0.25">
      <c r="A273" s="55"/>
      <c r="B273" s="16"/>
      <c r="C273" s="16"/>
      <c r="D273" s="16"/>
    </row>
    <row r="274" spans="1:4" ht="14.25" customHeight="1" x14ac:dyDescent="0.25">
      <c r="A274" s="55"/>
      <c r="B274" s="16"/>
      <c r="C274" s="16"/>
      <c r="D274" s="16"/>
    </row>
    <row r="275" spans="1:4" ht="14.25" customHeight="1" x14ac:dyDescent="0.25">
      <c r="A275" s="55"/>
      <c r="B275" s="16"/>
      <c r="C275" s="16"/>
      <c r="D275" s="16"/>
    </row>
    <row r="276" spans="1:4" ht="14.25" customHeight="1" x14ac:dyDescent="0.25">
      <c r="A276" s="55"/>
      <c r="B276" s="16"/>
      <c r="C276" s="16"/>
      <c r="D276" s="16"/>
    </row>
    <row r="277" spans="1:4" ht="14.25" customHeight="1" x14ac:dyDescent="0.25">
      <c r="A277" s="55"/>
      <c r="B277" s="16"/>
      <c r="C277" s="16"/>
      <c r="D277" s="16"/>
    </row>
    <row r="278" spans="1:4" ht="14.25" customHeight="1" x14ac:dyDescent="0.25">
      <c r="A278" s="55"/>
      <c r="B278" s="16"/>
      <c r="C278" s="16"/>
      <c r="D278" s="16"/>
    </row>
    <row r="279" spans="1:4" ht="14.25" customHeight="1" x14ac:dyDescent="0.25">
      <c r="A279" s="55"/>
      <c r="B279" s="16"/>
      <c r="C279" s="16"/>
      <c r="D279" s="16"/>
    </row>
    <row r="280" spans="1:4" ht="14.25" customHeight="1" x14ac:dyDescent="0.25">
      <c r="A280" s="55"/>
      <c r="B280" s="16"/>
      <c r="C280" s="16"/>
      <c r="D280" s="16"/>
    </row>
    <row r="281" spans="1:4" ht="14.25" customHeight="1" x14ac:dyDescent="0.25">
      <c r="A281" s="55"/>
      <c r="B281" s="16"/>
      <c r="C281" s="16"/>
      <c r="D281" s="16"/>
    </row>
    <row r="282" spans="1:4" ht="14.25" customHeight="1" x14ac:dyDescent="0.25">
      <c r="A282" s="55"/>
      <c r="B282" s="16"/>
      <c r="C282" s="16"/>
      <c r="D282" s="16"/>
    </row>
    <row r="283" spans="1:4" ht="14.25" customHeight="1" x14ac:dyDescent="0.25">
      <c r="A283" s="55"/>
      <c r="B283" s="16"/>
      <c r="C283" s="16"/>
      <c r="D283" s="16"/>
    </row>
    <row r="284" spans="1:4" ht="14.25" customHeight="1" x14ac:dyDescent="0.25">
      <c r="A284" s="55"/>
      <c r="B284" s="16"/>
      <c r="C284" s="16"/>
      <c r="D284" s="16"/>
    </row>
    <row r="285" spans="1:4" ht="14.25" customHeight="1" x14ac:dyDescent="0.25">
      <c r="A285" s="55"/>
      <c r="B285" s="16"/>
      <c r="C285" s="16"/>
      <c r="D285" s="16"/>
    </row>
    <row r="286" spans="1:4" ht="14.25" customHeight="1" x14ac:dyDescent="0.25">
      <c r="A286" s="55"/>
      <c r="B286" s="16"/>
      <c r="C286" s="16"/>
      <c r="D286" s="16"/>
    </row>
    <row r="287" spans="1:4" ht="14.25" customHeight="1" x14ac:dyDescent="0.25">
      <c r="A287" s="55"/>
      <c r="B287" s="16"/>
      <c r="C287" s="16"/>
      <c r="D287" s="16"/>
    </row>
    <row r="288" spans="1:4" ht="14.25" customHeight="1" x14ac:dyDescent="0.25">
      <c r="A288" s="55"/>
      <c r="B288" s="16"/>
      <c r="C288" s="16"/>
      <c r="D288" s="16"/>
    </row>
    <row r="289" spans="1:4" ht="14.25" customHeight="1" x14ac:dyDescent="0.25">
      <c r="A289" s="55"/>
      <c r="B289" s="16"/>
      <c r="C289" s="16"/>
      <c r="D289" s="16"/>
    </row>
    <row r="290" spans="1:4" ht="14.25" customHeight="1" x14ac:dyDescent="0.25">
      <c r="A290" s="55"/>
      <c r="B290" s="16"/>
      <c r="C290" s="16"/>
      <c r="D290" s="16"/>
    </row>
    <row r="291" spans="1:4" ht="14.25" customHeight="1" x14ac:dyDescent="0.25">
      <c r="A291" s="55"/>
      <c r="B291" s="16"/>
      <c r="C291" s="16"/>
      <c r="D291" s="16"/>
    </row>
    <row r="292" spans="1:4" ht="14.25" customHeight="1" x14ac:dyDescent="0.25">
      <c r="A292" s="55"/>
      <c r="B292" s="16"/>
      <c r="C292" s="16"/>
      <c r="D292" s="16"/>
    </row>
    <row r="293" spans="1:4" ht="14.25" customHeight="1" x14ac:dyDescent="0.25">
      <c r="A293" s="55"/>
      <c r="B293" s="16"/>
      <c r="C293" s="16"/>
      <c r="D293" s="16"/>
    </row>
    <row r="294" spans="1:4" ht="14.25" customHeight="1" x14ac:dyDescent="0.25">
      <c r="A294" s="55"/>
      <c r="B294" s="16"/>
      <c r="C294" s="16"/>
      <c r="D294" s="16"/>
    </row>
    <row r="295" spans="1:4" ht="14.25" customHeight="1" x14ac:dyDescent="0.25">
      <c r="A295" s="55"/>
      <c r="B295" s="16"/>
      <c r="C295" s="16"/>
      <c r="D295" s="16"/>
    </row>
    <row r="296" spans="1:4" ht="14.25" customHeight="1" x14ac:dyDescent="0.25">
      <c r="A296" s="55"/>
      <c r="B296" s="16"/>
      <c r="C296" s="16"/>
      <c r="D296" s="16"/>
    </row>
    <row r="297" spans="1:4" ht="14.25" customHeight="1" x14ac:dyDescent="0.25">
      <c r="A297" s="55"/>
      <c r="B297" s="16"/>
      <c r="C297" s="16"/>
      <c r="D297" s="16"/>
    </row>
    <row r="298" spans="1:4" ht="14.25" customHeight="1" x14ac:dyDescent="0.25">
      <c r="A298" s="55"/>
      <c r="B298" s="16"/>
      <c r="C298" s="16"/>
      <c r="D298" s="16"/>
    </row>
    <row r="299" spans="1:4" ht="14.25" customHeight="1" x14ac:dyDescent="0.25">
      <c r="A299" s="55"/>
      <c r="B299" s="16"/>
      <c r="C299" s="16"/>
      <c r="D299" s="16"/>
    </row>
    <row r="300" spans="1:4" ht="14.25" customHeight="1" x14ac:dyDescent="0.25">
      <c r="A300" s="55"/>
      <c r="B300" s="16"/>
      <c r="C300" s="16"/>
      <c r="D300" s="16"/>
    </row>
    <row r="301" spans="1:4" ht="14.25" customHeight="1" x14ac:dyDescent="0.25">
      <c r="A301" s="55"/>
      <c r="B301" s="16"/>
      <c r="C301" s="16"/>
      <c r="D301" s="16"/>
    </row>
    <row r="302" spans="1:4" ht="14.25" customHeight="1" x14ac:dyDescent="0.25">
      <c r="A302" s="55"/>
      <c r="B302" s="16"/>
      <c r="C302" s="16"/>
      <c r="D302" s="16"/>
    </row>
    <row r="303" spans="1:4" ht="14.25" customHeight="1" x14ac:dyDescent="0.25">
      <c r="A303" s="55"/>
      <c r="B303" s="16"/>
      <c r="C303" s="16"/>
      <c r="D303" s="16"/>
    </row>
    <row r="304" spans="1:4" ht="14.25" customHeight="1" x14ac:dyDescent="0.25">
      <c r="A304" s="55"/>
      <c r="B304" s="16"/>
      <c r="C304" s="16"/>
      <c r="D304" s="16"/>
    </row>
    <row r="305" spans="1:4" ht="14.25" customHeight="1" x14ac:dyDescent="0.25">
      <c r="A305" s="55"/>
      <c r="B305" s="16"/>
      <c r="C305" s="16"/>
      <c r="D305" s="16"/>
    </row>
    <row r="306" spans="1:4" ht="14.25" customHeight="1" x14ac:dyDescent="0.25">
      <c r="A306" s="55"/>
      <c r="B306" s="16"/>
      <c r="C306" s="16"/>
      <c r="D306" s="16"/>
    </row>
    <row r="307" spans="1:4" ht="14.25" customHeight="1" x14ac:dyDescent="0.25">
      <c r="A307" s="55"/>
      <c r="B307" s="16"/>
      <c r="C307" s="16"/>
      <c r="D307" s="16"/>
    </row>
    <row r="308" spans="1:4" ht="14.25" customHeight="1" x14ac:dyDescent="0.25">
      <c r="A308" s="55"/>
      <c r="B308" s="16"/>
      <c r="C308" s="16"/>
      <c r="D308" s="16"/>
    </row>
    <row r="309" spans="1:4" ht="14.25" customHeight="1" x14ac:dyDescent="0.25">
      <c r="A309" s="55"/>
      <c r="B309" s="16"/>
      <c r="C309" s="16"/>
      <c r="D309" s="16"/>
    </row>
    <row r="310" spans="1:4" ht="14.25" customHeight="1" x14ac:dyDescent="0.25">
      <c r="A310" s="55"/>
      <c r="B310" s="16"/>
      <c r="C310" s="16"/>
      <c r="D310" s="16"/>
    </row>
    <row r="311" spans="1:4" ht="14.25" customHeight="1" x14ac:dyDescent="0.25">
      <c r="A311" s="55"/>
      <c r="B311" s="16"/>
      <c r="C311" s="16"/>
      <c r="D311" s="16"/>
    </row>
    <row r="312" spans="1:4" ht="14.25" customHeight="1" x14ac:dyDescent="0.25">
      <c r="A312" s="55"/>
      <c r="B312" s="16"/>
      <c r="C312" s="16"/>
      <c r="D312" s="16"/>
    </row>
    <row r="313" spans="1:4" ht="14.25" customHeight="1" x14ac:dyDescent="0.25">
      <c r="A313" s="55"/>
      <c r="B313" s="16"/>
      <c r="C313" s="16"/>
      <c r="D313" s="16"/>
    </row>
    <row r="314" spans="1:4" ht="14.25" customHeight="1" x14ac:dyDescent="0.25">
      <c r="A314" s="55"/>
      <c r="B314" s="16"/>
      <c r="C314" s="16"/>
      <c r="D314" s="16"/>
    </row>
    <row r="315" spans="1:4" ht="14.25" customHeight="1" x14ac:dyDescent="0.25">
      <c r="A315" s="55"/>
      <c r="B315" s="16"/>
      <c r="C315" s="16"/>
      <c r="D315" s="16"/>
    </row>
    <row r="316" spans="1:4" ht="14.25" customHeight="1" x14ac:dyDescent="0.25">
      <c r="A316" s="55"/>
      <c r="B316" s="16"/>
      <c r="C316" s="16"/>
      <c r="D316" s="16"/>
    </row>
    <row r="317" spans="1:4" ht="14.25" customHeight="1" x14ac:dyDescent="0.25">
      <c r="A317" s="55"/>
      <c r="B317" s="16"/>
      <c r="C317" s="16"/>
      <c r="D317" s="16"/>
    </row>
    <row r="318" spans="1:4" ht="14.25" customHeight="1" x14ac:dyDescent="0.25">
      <c r="A318" s="55"/>
      <c r="B318" s="16"/>
      <c r="C318" s="16"/>
      <c r="D318" s="16"/>
    </row>
    <row r="319" spans="1:4" ht="14.25" customHeight="1" x14ac:dyDescent="0.25">
      <c r="A319" s="55"/>
      <c r="B319" s="16"/>
      <c r="C319" s="16"/>
      <c r="D319" s="16"/>
    </row>
    <row r="320" spans="1:4" ht="14.25" customHeight="1" x14ac:dyDescent="0.25">
      <c r="A320" s="55"/>
      <c r="B320" s="16"/>
      <c r="C320" s="16"/>
      <c r="D320" s="16"/>
    </row>
    <row r="321" spans="1:4" ht="14.25" customHeight="1" x14ac:dyDescent="0.25">
      <c r="A321" s="55"/>
      <c r="B321" s="16"/>
      <c r="C321" s="16"/>
      <c r="D321" s="16"/>
    </row>
    <row r="322" spans="1:4" ht="14.25" customHeight="1" x14ac:dyDescent="0.25">
      <c r="A322" s="55"/>
      <c r="B322" s="16"/>
      <c r="C322" s="16"/>
      <c r="D322" s="16"/>
    </row>
    <row r="323" spans="1:4" ht="14.25" customHeight="1" x14ac:dyDescent="0.25">
      <c r="A323" s="55"/>
      <c r="B323" s="16"/>
      <c r="C323" s="16"/>
      <c r="D323" s="16"/>
    </row>
    <row r="324" spans="1:4" ht="14.25" customHeight="1" x14ac:dyDescent="0.25">
      <c r="A324" s="55"/>
      <c r="B324" s="16"/>
      <c r="C324" s="16"/>
      <c r="D324" s="16"/>
    </row>
    <row r="325" spans="1:4" ht="14.25" customHeight="1" x14ac:dyDescent="0.25">
      <c r="A325" s="55"/>
      <c r="B325" s="16"/>
      <c r="C325" s="16"/>
      <c r="D325" s="16"/>
    </row>
    <row r="326" spans="1:4" ht="14.25" customHeight="1" x14ac:dyDescent="0.25">
      <c r="A326" s="55"/>
      <c r="B326" s="16"/>
      <c r="C326" s="16"/>
      <c r="D326" s="16"/>
    </row>
    <row r="327" spans="1:4" ht="14.25" customHeight="1" x14ac:dyDescent="0.25">
      <c r="A327" s="55"/>
      <c r="B327" s="16"/>
      <c r="C327" s="16"/>
      <c r="D327" s="16"/>
    </row>
    <row r="328" spans="1:4" ht="14.25" customHeight="1" x14ac:dyDescent="0.25">
      <c r="A328" s="55"/>
      <c r="B328" s="16"/>
      <c r="C328" s="16"/>
      <c r="D328" s="16"/>
    </row>
    <row r="329" spans="1:4" ht="14.25" customHeight="1" x14ac:dyDescent="0.25">
      <c r="A329" s="55"/>
      <c r="B329" s="16"/>
      <c r="C329" s="16"/>
      <c r="D329" s="16"/>
    </row>
    <row r="330" spans="1:4" ht="14.25" customHeight="1" x14ac:dyDescent="0.25">
      <c r="A330" s="55"/>
      <c r="B330" s="16"/>
      <c r="C330" s="16"/>
      <c r="D330" s="16"/>
    </row>
    <row r="331" spans="1:4" ht="14.25" customHeight="1" x14ac:dyDescent="0.25">
      <c r="A331" s="55"/>
      <c r="B331" s="16"/>
      <c r="C331" s="16"/>
      <c r="D331" s="16"/>
    </row>
    <row r="332" spans="1:4" ht="14.25" customHeight="1" x14ac:dyDescent="0.25">
      <c r="A332" s="55"/>
      <c r="B332" s="16"/>
      <c r="C332" s="16"/>
      <c r="D332" s="16"/>
    </row>
    <row r="333" spans="1:4" ht="14.25" customHeight="1" x14ac:dyDescent="0.25">
      <c r="A333" s="55"/>
      <c r="B333" s="16"/>
      <c r="C333" s="16"/>
      <c r="D333" s="16"/>
    </row>
    <row r="334" spans="1:4" ht="14.25" customHeight="1" x14ac:dyDescent="0.25">
      <c r="A334" s="55"/>
      <c r="B334" s="16"/>
      <c r="C334" s="16"/>
      <c r="D334" s="16"/>
    </row>
    <row r="335" spans="1:4" ht="14.25" customHeight="1" x14ac:dyDescent="0.25">
      <c r="A335" s="55"/>
      <c r="B335" s="16"/>
      <c r="C335" s="16"/>
      <c r="D335" s="16"/>
    </row>
    <row r="336" spans="1:4" ht="14.25" customHeight="1" x14ac:dyDescent="0.25">
      <c r="A336" s="55"/>
      <c r="B336" s="16"/>
      <c r="C336" s="16"/>
      <c r="D336" s="16"/>
    </row>
    <row r="337" spans="1:4" ht="14.25" customHeight="1" x14ac:dyDescent="0.25">
      <c r="A337" s="55"/>
      <c r="B337" s="16"/>
      <c r="C337" s="16"/>
      <c r="D337" s="16"/>
    </row>
    <row r="338" spans="1:4" ht="14.25" customHeight="1" x14ac:dyDescent="0.25">
      <c r="A338" s="55"/>
      <c r="B338" s="16"/>
      <c r="C338" s="16"/>
      <c r="D338" s="16"/>
    </row>
    <row r="339" spans="1:4" ht="14.25" customHeight="1" x14ac:dyDescent="0.25">
      <c r="A339" s="55"/>
      <c r="B339" s="16"/>
      <c r="C339" s="16"/>
      <c r="D339" s="16"/>
    </row>
    <row r="340" spans="1:4" ht="14.25" customHeight="1" x14ac:dyDescent="0.25">
      <c r="A340" s="55"/>
      <c r="B340" s="16"/>
      <c r="C340" s="16"/>
      <c r="D340" s="16"/>
    </row>
    <row r="341" spans="1:4" ht="14.25" customHeight="1" x14ac:dyDescent="0.25">
      <c r="A341" s="55"/>
      <c r="B341" s="16"/>
      <c r="C341" s="16"/>
      <c r="D341" s="16"/>
    </row>
    <row r="342" spans="1:4" ht="14.25" customHeight="1" x14ac:dyDescent="0.25">
      <c r="A342" s="55"/>
      <c r="B342" s="16"/>
      <c r="C342" s="16"/>
      <c r="D342" s="16"/>
    </row>
    <row r="343" spans="1:4" ht="14.25" customHeight="1" x14ac:dyDescent="0.25">
      <c r="A343" s="55"/>
      <c r="B343" s="16"/>
      <c r="C343" s="16"/>
      <c r="D343" s="16"/>
    </row>
    <row r="344" spans="1:4" ht="14.25" customHeight="1" x14ac:dyDescent="0.25">
      <c r="A344" s="55"/>
      <c r="B344" s="16"/>
      <c r="C344" s="16"/>
      <c r="D344" s="16"/>
    </row>
    <row r="345" spans="1:4" ht="14.25" customHeight="1" x14ac:dyDescent="0.25">
      <c r="A345" s="55"/>
      <c r="B345" s="16"/>
      <c r="C345" s="16"/>
      <c r="D345" s="16"/>
    </row>
    <row r="346" spans="1:4" ht="14.25" customHeight="1" x14ac:dyDescent="0.25">
      <c r="A346" s="55"/>
      <c r="B346" s="16"/>
      <c r="C346" s="16"/>
      <c r="D346" s="16"/>
    </row>
    <row r="347" spans="1:4" ht="14.25" customHeight="1" x14ac:dyDescent="0.25">
      <c r="A347" s="55"/>
      <c r="B347" s="16"/>
      <c r="C347" s="16"/>
      <c r="D347" s="16"/>
    </row>
    <row r="348" spans="1:4" ht="14.25" customHeight="1" x14ac:dyDescent="0.25">
      <c r="A348" s="55"/>
      <c r="B348" s="16"/>
      <c r="C348" s="16"/>
      <c r="D348" s="16"/>
    </row>
    <row r="349" spans="1:4" ht="14.25" customHeight="1" x14ac:dyDescent="0.25">
      <c r="A349" s="55"/>
      <c r="B349" s="16"/>
      <c r="C349" s="16"/>
      <c r="D349" s="16"/>
    </row>
    <row r="350" spans="1:4" ht="14.25" customHeight="1" x14ac:dyDescent="0.25">
      <c r="A350" s="55"/>
      <c r="B350" s="16"/>
      <c r="C350" s="16"/>
      <c r="D350" s="16"/>
    </row>
    <row r="351" spans="1:4" ht="14.25" customHeight="1" x14ac:dyDescent="0.25">
      <c r="A351" s="55"/>
      <c r="B351" s="16"/>
      <c r="C351" s="16"/>
      <c r="D351" s="16"/>
    </row>
    <row r="352" spans="1:4" ht="14.25" customHeight="1" x14ac:dyDescent="0.25">
      <c r="A352" s="55"/>
      <c r="B352" s="16"/>
      <c r="C352" s="16"/>
      <c r="D352" s="16"/>
    </row>
    <row r="353" spans="1:4" ht="14.25" customHeight="1" x14ac:dyDescent="0.25">
      <c r="A353" s="55"/>
      <c r="B353" s="16"/>
      <c r="C353" s="16"/>
      <c r="D353" s="16"/>
    </row>
    <row r="354" spans="1:4" ht="14.25" customHeight="1" x14ac:dyDescent="0.25">
      <c r="A354" s="55"/>
      <c r="B354" s="16"/>
      <c r="C354" s="16"/>
      <c r="D354" s="16"/>
    </row>
    <row r="355" spans="1:4" ht="14.25" customHeight="1" x14ac:dyDescent="0.25">
      <c r="A355" s="55"/>
      <c r="B355" s="16"/>
      <c r="C355" s="16"/>
      <c r="D355" s="16"/>
    </row>
    <row r="356" spans="1:4" ht="14.25" customHeight="1" x14ac:dyDescent="0.25">
      <c r="A356" s="55"/>
      <c r="B356" s="16"/>
      <c r="C356" s="16"/>
      <c r="D356" s="16"/>
    </row>
    <row r="357" spans="1:4" ht="14.25" customHeight="1" x14ac:dyDescent="0.25">
      <c r="A357" s="55"/>
      <c r="B357" s="16"/>
      <c r="C357" s="16"/>
      <c r="D357" s="16"/>
    </row>
    <row r="358" spans="1:4" ht="14.25" customHeight="1" x14ac:dyDescent="0.25">
      <c r="A358" s="55"/>
      <c r="B358" s="16"/>
      <c r="C358" s="16"/>
      <c r="D358" s="16"/>
    </row>
    <row r="359" spans="1:4" ht="14.25" customHeight="1" x14ac:dyDescent="0.25">
      <c r="A359" s="55"/>
      <c r="B359" s="16"/>
      <c r="C359" s="16"/>
      <c r="D359" s="16"/>
    </row>
    <row r="360" spans="1:4" ht="14.25" customHeight="1" x14ac:dyDescent="0.25">
      <c r="A360" s="55"/>
      <c r="B360" s="16"/>
      <c r="C360" s="16"/>
      <c r="D360" s="16"/>
    </row>
    <row r="361" spans="1:4" ht="14.25" customHeight="1" x14ac:dyDescent="0.25">
      <c r="A361" s="55"/>
      <c r="B361" s="16"/>
      <c r="C361" s="16"/>
      <c r="D361" s="16"/>
    </row>
    <row r="362" spans="1:4" ht="14.25" customHeight="1" x14ac:dyDescent="0.25">
      <c r="A362" s="55"/>
      <c r="B362" s="16"/>
      <c r="C362" s="16"/>
      <c r="D362" s="16"/>
    </row>
    <row r="363" spans="1:4" ht="14.25" customHeight="1" x14ac:dyDescent="0.25">
      <c r="A363" s="55"/>
      <c r="B363" s="16"/>
      <c r="C363" s="16"/>
      <c r="D363" s="16"/>
    </row>
    <row r="364" spans="1:4" ht="14.25" customHeight="1" x14ac:dyDescent="0.25">
      <c r="A364" s="55"/>
      <c r="B364" s="16"/>
      <c r="C364" s="16"/>
      <c r="D364" s="16"/>
    </row>
    <row r="365" spans="1:4" ht="14.25" customHeight="1" x14ac:dyDescent="0.25">
      <c r="A365" s="55"/>
      <c r="B365" s="16"/>
      <c r="C365" s="16"/>
      <c r="D365" s="16"/>
    </row>
    <row r="366" spans="1:4" ht="14.25" customHeight="1" x14ac:dyDescent="0.25">
      <c r="A366" s="55"/>
      <c r="B366" s="16"/>
      <c r="C366" s="16"/>
      <c r="D366" s="16"/>
    </row>
    <row r="367" spans="1:4" ht="14.25" customHeight="1" x14ac:dyDescent="0.25">
      <c r="A367" s="55"/>
      <c r="B367" s="16"/>
      <c r="C367" s="16"/>
      <c r="D367" s="16"/>
    </row>
    <row r="368" spans="1:4" ht="14.25" customHeight="1" x14ac:dyDescent="0.25">
      <c r="A368" s="55"/>
      <c r="B368" s="16"/>
      <c r="C368" s="16"/>
      <c r="D368" s="16"/>
    </row>
    <row r="369" spans="1:4" ht="14.25" customHeight="1" x14ac:dyDescent="0.25">
      <c r="A369" s="55"/>
      <c r="B369" s="16"/>
      <c r="C369" s="16"/>
      <c r="D369" s="16"/>
    </row>
    <row r="370" spans="1:4" ht="14.25" customHeight="1" x14ac:dyDescent="0.25">
      <c r="A370" s="55"/>
      <c r="B370" s="16"/>
      <c r="C370" s="16"/>
      <c r="D370" s="16"/>
    </row>
    <row r="371" spans="1:4" ht="14.25" customHeight="1" x14ac:dyDescent="0.25">
      <c r="A371" s="55"/>
      <c r="B371" s="16"/>
      <c r="C371" s="16"/>
      <c r="D371" s="16"/>
    </row>
    <row r="372" spans="1:4" ht="14.25" customHeight="1" x14ac:dyDescent="0.25">
      <c r="A372" s="55"/>
      <c r="B372" s="16"/>
      <c r="C372" s="16"/>
      <c r="D372" s="16"/>
    </row>
    <row r="373" spans="1:4" ht="14.25" customHeight="1" x14ac:dyDescent="0.25">
      <c r="A373" s="55"/>
      <c r="B373" s="16"/>
      <c r="C373" s="16"/>
      <c r="D373" s="16"/>
    </row>
    <row r="374" spans="1:4" ht="14.25" customHeight="1" x14ac:dyDescent="0.25">
      <c r="A374" s="55"/>
      <c r="B374" s="16"/>
      <c r="C374" s="16"/>
      <c r="D374" s="16"/>
    </row>
    <row r="375" spans="1:4" ht="14.25" customHeight="1" x14ac:dyDescent="0.25">
      <c r="A375" s="55"/>
      <c r="B375" s="16"/>
      <c r="C375" s="16"/>
      <c r="D375" s="16"/>
    </row>
    <row r="376" spans="1:4" ht="14.25" customHeight="1" x14ac:dyDescent="0.25">
      <c r="A376" s="55"/>
      <c r="B376" s="16"/>
      <c r="C376" s="16"/>
      <c r="D376" s="16"/>
    </row>
    <row r="377" spans="1:4" ht="14.25" customHeight="1" x14ac:dyDescent="0.25">
      <c r="A377" s="55"/>
      <c r="B377" s="16"/>
      <c r="C377" s="16"/>
      <c r="D377" s="16"/>
    </row>
    <row r="378" spans="1:4" ht="14.25" customHeight="1" x14ac:dyDescent="0.25">
      <c r="A378" s="55"/>
      <c r="B378" s="16"/>
      <c r="C378" s="16"/>
      <c r="D378" s="16"/>
    </row>
    <row r="379" spans="1:4" ht="14.25" customHeight="1" x14ac:dyDescent="0.25">
      <c r="A379" s="55"/>
      <c r="B379" s="16"/>
      <c r="C379" s="16"/>
      <c r="D379" s="16"/>
    </row>
    <row r="380" spans="1:4" ht="14.25" customHeight="1" x14ac:dyDescent="0.25">
      <c r="A380" s="55"/>
      <c r="B380" s="16"/>
      <c r="C380" s="16"/>
      <c r="D380" s="16"/>
    </row>
    <row r="381" spans="1:4" ht="14.25" customHeight="1" x14ac:dyDescent="0.25">
      <c r="A381" s="55"/>
      <c r="B381" s="16"/>
      <c r="C381" s="16"/>
      <c r="D381" s="16"/>
    </row>
    <row r="382" spans="1:4" ht="14.25" customHeight="1" x14ac:dyDescent="0.25">
      <c r="A382" s="55"/>
      <c r="B382" s="16"/>
      <c r="C382" s="16"/>
      <c r="D382" s="16"/>
    </row>
    <row r="383" spans="1:4" ht="14.25" customHeight="1" x14ac:dyDescent="0.25">
      <c r="A383" s="55"/>
      <c r="B383" s="16"/>
      <c r="C383" s="16"/>
      <c r="D383" s="16"/>
    </row>
    <row r="384" spans="1:4" ht="14.25" customHeight="1" x14ac:dyDescent="0.25">
      <c r="A384" s="55"/>
      <c r="B384" s="16"/>
      <c r="C384" s="16"/>
      <c r="D384" s="16"/>
    </row>
    <row r="385" spans="1:4" ht="14.25" customHeight="1" x14ac:dyDescent="0.25">
      <c r="A385" s="55"/>
      <c r="B385" s="16"/>
      <c r="C385" s="16"/>
      <c r="D385" s="16"/>
    </row>
    <row r="386" spans="1:4" ht="14.25" customHeight="1" x14ac:dyDescent="0.25">
      <c r="A386" s="55"/>
      <c r="B386" s="16"/>
      <c r="C386" s="16"/>
      <c r="D386" s="16"/>
    </row>
    <row r="387" spans="1:4" ht="14.25" customHeight="1" x14ac:dyDescent="0.25">
      <c r="A387" s="55"/>
      <c r="B387" s="16"/>
      <c r="C387" s="16"/>
      <c r="D387" s="16"/>
    </row>
    <row r="388" spans="1:4" ht="14.25" customHeight="1" x14ac:dyDescent="0.25">
      <c r="A388" s="55"/>
      <c r="B388" s="16"/>
      <c r="C388" s="16"/>
      <c r="D388" s="16"/>
    </row>
    <row r="389" spans="1:4" ht="14.25" customHeight="1" x14ac:dyDescent="0.25">
      <c r="A389" s="55"/>
      <c r="B389" s="16"/>
      <c r="C389" s="16"/>
      <c r="D389" s="16"/>
    </row>
    <row r="390" spans="1:4" ht="14.25" customHeight="1" x14ac:dyDescent="0.25">
      <c r="A390" s="55"/>
      <c r="B390" s="16"/>
      <c r="C390" s="16"/>
      <c r="D390" s="16"/>
    </row>
    <row r="391" spans="1:4" ht="14.25" customHeight="1" x14ac:dyDescent="0.25">
      <c r="A391" s="55"/>
      <c r="B391" s="16"/>
      <c r="C391" s="16"/>
      <c r="D391" s="16"/>
    </row>
    <row r="392" spans="1:4" ht="14.25" customHeight="1" x14ac:dyDescent="0.25">
      <c r="A392" s="55"/>
      <c r="B392" s="16"/>
      <c r="C392" s="16"/>
      <c r="D392" s="16"/>
    </row>
    <row r="393" spans="1:4" ht="14.25" customHeight="1" x14ac:dyDescent="0.25">
      <c r="A393" s="55"/>
      <c r="B393" s="16"/>
      <c r="C393" s="16"/>
      <c r="D393" s="16"/>
    </row>
    <row r="394" spans="1:4" ht="14.25" customHeight="1" x14ac:dyDescent="0.25">
      <c r="A394" s="55"/>
      <c r="B394" s="16"/>
      <c r="C394" s="16"/>
      <c r="D394" s="16"/>
    </row>
    <row r="395" spans="1:4" ht="14.25" customHeight="1" x14ac:dyDescent="0.25">
      <c r="A395" s="55"/>
      <c r="B395" s="16"/>
      <c r="C395" s="16"/>
      <c r="D395" s="16"/>
    </row>
    <row r="396" spans="1:4" ht="14.25" customHeight="1" x14ac:dyDescent="0.25">
      <c r="A396" s="55"/>
      <c r="B396" s="16"/>
      <c r="C396" s="16"/>
      <c r="D396" s="16"/>
    </row>
    <row r="397" spans="1:4" ht="14.25" customHeight="1" x14ac:dyDescent="0.25">
      <c r="A397" s="55"/>
      <c r="B397" s="16"/>
      <c r="C397" s="16"/>
      <c r="D397" s="16"/>
    </row>
    <row r="398" spans="1:4" ht="14.25" customHeight="1" x14ac:dyDescent="0.25">
      <c r="A398" s="55"/>
      <c r="B398" s="16"/>
      <c r="C398" s="16"/>
      <c r="D398" s="16"/>
    </row>
    <row r="399" spans="1:4" ht="14.25" customHeight="1" x14ac:dyDescent="0.25">
      <c r="A399" s="55"/>
      <c r="B399" s="16"/>
      <c r="C399" s="16"/>
      <c r="D399" s="16"/>
    </row>
    <row r="400" spans="1:4" ht="14.25" customHeight="1" x14ac:dyDescent="0.25">
      <c r="A400" s="55"/>
      <c r="B400" s="16"/>
      <c r="C400" s="16"/>
      <c r="D400" s="16"/>
    </row>
    <row r="401" spans="1:4" ht="14.25" customHeight="1" x14ac:dyDescent="0.25">
      <c r="A401" s="55"/>
      <c r="B401" s="16"/>
      <c r="C401" s="16"/>
      <c r="D401" s="16"/>
    </row>
    <row r="402" spans="1:4" ht="14.25" customHeight="1" x14ac:dyDescent="0.25">
      <c r="A402" s="55"/>
      <c r="B402" s="16"/>
      <c r="C402" s="16"/>
      <c r="D402" s="16"/>
    </row>
    <row r="403" spans="1:4" ht="14.25" customHeight="1" x14ac:dyDescent="0.25">
      <c r="A403" s="55"/>
      <c r="B403" s="16"/>
      <c r="C403" s="16"/>
      <c r="D403" s="16"/>
    </row>
    <row r="404" spans="1:4" ht="14.25" customHeight="1" x14ac:dyDescent="0.25">
      <c r="A404" s="55"/>
      <c r="B404" s="16"/>
      <c r="C404" s="16"/>
      <c r="D404" s="16"/>
    </row>
    <row r="405" spans="1:4" ht="14.25" customHeight="1" x14ac:dyDescent="0.25">
      <c r="A405" s="55"/>
      <c r="B405" s="16"/>
      <c r="C405" s="16"/>
      <c r="D405" s="16"/>
    </row>
    <row r="406" spans="1:4" ht="14.25" customHeight="1" x14ac:dyDescent="0.25">
      <c r="A406" s="55"/>
      <c r="B406" s="16"/>
      <c r="C406" s="16"/>
      <c r="D406" s="16"/>
    </row>
    <row r="407" spans="1:4" ht="14.25" customHeight="1" x14ac:dyDescent="0.25">
      <c r="A407" s="55"/>
      <c r="B407" s="16"/>
      <c r="C407" s="16"/>
      <c r="D407" s="16"/>
    </row>
    <row r="408" spans="1:4" ht="14.25" customHeight="1" x14ac:dyDescent="0.25">
      <c r="A408" s="55"/>
      <c r="B408" s="16"/>
      <c r="C408" s="16"/>
      <c r="D408" s="16"/>
    </row>
    <row r="409" spans="1:4" ht="14.25" customHeight="1" x14ac:dyDescent="0.25">
      <c r="A409" s="55"/>
      <c r="B409" s="16"/>
      <c r="C409" s="16"/>
      <c r="D409" s="16"/>
    </row>
    <row r="410" spans="1:4" ht="14.25" customHeight="1" x14ac:dyDescent="0.25">
      <c r="A410" s="55"/>
      <c r="B410" s="16"/>
      <c r="C410" s="16"/>
      <c r="D410" s="16"/>
    </row>
    <row r="411" spans="1:4" ht="14.25" customHeight="1" x14ac:dyDescent="0.25">
      <c r="A411" s="55"/>
      <c r="B411" s="16"/>
      <c r="C411" s="16"/>
      <c r="D411" s="16"/>
    </row>
    <row r="412" spans="1:4" ht="14.25" customHeight="1" x14ac:dyDescent="0.25">
      <c r="A412" s="55"/>
      <c r="B412" s="16"/>
      <c r="C412" s="16"/>
      <c r="D412" s="16"/>
    </row>
    <row r="413" spans="1:4" ht="14.25" customHeight="1" x14ac:dyDescent="0.25">
      <c r="A413" s="55"/>
      <c r="B413" s="16"/>
      <c r="C413" s="16"/>
      <c r="D413" s="16"/>
    </row>
    <row r="414" spans="1:4" ht="14.25" customHeight="1" x14ac:dyDescent="0.25">
      <c r="A414" s="55"/>
      <c r="B414" s="16"/>
      <c r="C414" s="16"/>
      <c r="D414" s="16"/>
    </row>
    <row r="415" spans="1:4" ht="14.25" customHeight="1" x14ac:dyDescent="0.25">
      <c r="A415" s="55"/>
      <c r="B415" s="16"/>
      <c r="C415" s="16"/>
      <c r="D415" s="16"/>
    </row>
    <row r="416" spans="1:4" ht="14.25" customHeight="1" x14ac:dyDescent="0.25">
      <c r="A416" s="55"/>
      <c r="B416" s="16"/>
      <c r="C416" s="16"/>
      <c r="D416" s="16"/>
    </row>
    <row r="417" spans="1:4" ht="14.25" customHeight="1" x14ac:dyDescent="0.25">
      <c r="A417" s="55"/>
      <c r="B417" s="16"/>
      <c r="C417" s="16"/>
      <c r="D417" s="16"/>
    </row>
    <row r="418" spans="1:4" ht="14.25" customHeight="1" x14ac:dyDescent="0.25">
      <c r="A418" s="55"/>
      <c r="B418" s="16"/>
      <c r="C418" s="16"/>
      <c r="D418" s="16"/>
    </row>
    <row r="419" spans="1:4" ht="14.25" customHeight="1" x14ac:dyDescent="0.25">
      <c r="A419" s="55"/>
      <c r="B419" s="16"/>
      <c r="C419" s="16"/>
      <c r="D419" s="16"/>
    </row>
    <row r="420" spans="1:4" ht="14.25" customHeight="1" x14ac:dyDescent="0.25">
      <c r="A420" s="55"/>
      <c r="B420" s="16"/>
      <c r="C420" s="16"/>
      <c r="D420" s="16"/>
    </row>
    <row r="421" spans="1:4" ht="14.25" customHeight="1" x14ac:dyDescent="0.25">
      <c r="A421" s="55"/>
      <c r="B421" s="16"/>
      <c r="C421" s="16"/>
      <c r="D421" s="16"/>
    </row>
    <row r="422" spans="1:4" ht="14.25" customHeight="1" x14ac:dyDescent="0.25">
      <c r="A422" s="55"/>
      <c r="B422" s="16"/>
      <c r="C422" s="16"/>
      <c r="D422" s="16"/>
    </row>
    <row r="423" spans="1:4" ht="14.25" customHeight="1" x14ac:dyDescent="0.25">
      <c r="A423" s="55"/>
      <c r="B423" s="16"/>
      <c r="C423" s="16"/>
      <c r="D423" s="16"/>
    </row>
    <row r="424" spans="1:4" ht="14.25" customHeight="1" x14ac:dyDescent="0.25">
      <c r="A424" s="55"/>
      <c r="B424" s="16"/>
      <c r="C424" s="16"/>
      <c r="D424" s="16"/>
    </row>
    <row r="425" spans="1:4" ht="14.25" customHeight="1" x14ac:dyDescent="0.25">
      <c r="A425" s="55"/>
      <c r="B425" s="16"/>
      <c r="C425" s="16"/>
      <c r="D425" s="16"/>
    </row>
    <row r="426" spans="1:4" ht="14.25" customHeight="1" x14ac:dyDescent="0.25">
      <c r="A426" s="55"/>
      <c r="B426" s="16"/>
      <c r="C426" s="16"/>
      <c r="D426" s="16"/>
    </row>
    <row r="427" spans="1:4" ht="14.25" customHeight="1" x14ac:dyDescent="0.25">
      <c r="A427" s="55"/>
      <c r="B427" s="16"/>
      <c r="C427" s="16"/>
      <c r="D427" s="16"/>
    </row>
    <row r="428" spans="1:4" ht="14.25" customHeight="1" x14ac:dyDescent="0.25">
      <c r="A428" s="55"/>
      <c r="B428" s="16"/>
      <c r="C428" s="16"/>
      <c r="D428" s="16"/>
    </row>
    <row r="429" spans="1:4" ht="14.25" customHeight="1" x14ac:dyDescent="0.25">
      <c r="A429" s="55"/>
      <c r="B429" s="16"/>
      <c r="C429" s="16"/>
      <c r="D429" s="16"/>
    </row>
    <row r="430" spans="1:4" ht="14.25" customHeight="1" x14ac:dyDescent="0.25">
      <c r="A430" s="55"/>
      <c r="B430" s="16"/>
      <c r="C430" s="16"/>
      <c r="D430" s="16"/>
    </row>
    <row r="431" spans="1:4" ht="14.25" customHeight="1" x14ac:dyDescent="0.25">
      <c r="A431" s="55"/>
      <c r="B431" s="16"/>
      <c r="C431" s="16"/>
      <c r="D431" s="16"/>
    </row>
    <row r="432" spans="1:4" ht="14.25" customHeight="1" x14ac:dyDescent="0.25">
      <c r="A432" s="55"/>
      <c r="B432" s="16"/>
      <c r="C432" s="16"/>
      <c r="D432" s="16"/>
    </row>
    <row r="433" spans="1:4" ht="14.25" customHeight="1" x14ac:dyDescent="0.25">
      <c r="A433" s="55"/>
      <c r="B433" s="16"/>
      <c r="C433" s="16"/>
      <c r="D433" s="16"/>
    </row>
    <row r="434" spans="1:4" ht="14.25" customHeight="1" x14ac:dyDescent="0.25">
      <c r="A434" s="55"/>
      <c r="B434" s="16"/>
      <c r="C434" s="16"/>
      <c r="D434" s="16"/>
    </row>
    <row r="435" spans="1:4" ht="14.25" customHeight="1" x14ac:dyDescent="0.25">
      <c r="A435" s="55"/>
      <c r="B435" s="16"/>
      <c r="C435" s="16"/>
      <c r="D435" s="16"/>
    </row>
    <row r="436" spans="1:4" ht="14.25" customHeight="1" x14ac:dyDescent="0.25">
      <c r="A436" s="55"/>
      <c r="B436" s="16"/>
      <c r="C436" s="16"/>
      <c r="D436" s="16"/>
    </row>
    <row r="437" spans="1:4" ht="14.25" customHeight="1" x14ac:dyDescent="0.25">
      <c r="A437" s="55"/>
      <c r="B437" s="16"/>
      <c r="C437" s="16"/>
      <c r="D437" s="16"/>
    </row>
    <row r="438" spans="1:4" ht="14.25" customHeight="1" x14ac:dyDescent="0.25">
      <c r="A438" s="55"/>
      <c r="B438" s="16"/>
      <c r="C438" s="16"/>
      <c r="D438" s="16"/>
    </row>
    <row r="439" spans="1:4" ht="14.25" customHeight="1" x14ac:dyDescent="0.25">
      <c r="A439" s="55"/>
      <c r="B439" s="16"/>
      <c r="C439" s="16"/>
      <c r="D439" s="16"/>
    </row>
    <row r="440" spans="1:4" ht="14.25" customHeight="1" x14ac:dyDescent="0.25">
      <c r="A440" s="55"/>
      <c r="B440" s="16"/>
      <c r="C440" s="16"/>
      <c r="D440" s="16"/>
    </row>
    <row r="441" spans="1:4" ht="14.25" customHeight="1" x14ac:dyDescent="0.25">
      <c r="A441" s="55"/>
      <c r="B441" s="16"/>
      <c r="C441" s="16"/>
      <c r="D441" s="16"/>
    </row>
    <row r="442" spans="1:4" ht="14.25" customHeight="1" x14ac:dyDescent="0.25">
      <c r="A442" s="55"/>
      <c r="B442" s="16"/>
      <c r="C442" s="16"/>
      <c r="D442" s="16"/>
    </row>
    <row r="443" spans="1:4" ht="14.25" customHeight="1" x14ac:dyDescent="0.25">
      <c r="A443" s="55"/>
      <c r="B443" s="16"/>
      <c r="C443" s="16"/>
      <c r="D443" s="16"/>
    </row>
    <row r="444" spans="1:4" ht="14.25" customHeight="1" x14ac:dyDescent="0.25">
      <c r="A444" s="55"/>
      <c r="B444" s="16"/>
      <c r="C444" s="16"/>
      <c r="D444" s="16"/>
    </row>
    <row r="445" spans="1:4" ht="14.25" customHeight="1" x14ac:dyDescent="0.25">
      <c r="A445" s="55"/>
      <c r="B445" s="16"/>
      <c r="C445" s="16"/>
      <c r="D445" s="16"/>
    </row>
    <row r="446" spans="1:4" ht="14.25" customHeight="1" x14ac:dyDescent="0.25">
      <c r="A446" s="55"/>
      <c r="B446" s="16"/>
      <c r="C446" s="16"/>
      <c r="D446" s="16"/>
    </row>
    <row r="447" spans="1:4" ht="14.25" customHeight="1" x14ac:dyDescent="0.25">
      <c r="A447" s="55"/>
      <c r="B447" s="16"/>
      <c r="C447" s="16"/>
      <c r="D447" s="16"/>
    </row>
    <row r="448" spans="1:4" ht="14.25" customHeight="1" x14ac:dyDescent="0.25">
      <c r="A448" s="55"/>
      <c r="B448" s="16"/>
      <c r="C448" s="16"/>
      <c r="D448" s="16"/>
    </row>
    <row r="449" spans="1:4" ht="14.25" customHeight="1" x14ac:dyDescent="0.25">
      <c r="A449" s="55"/>
      <c r="B449" s="16"/>
      <c r="C449" s="16"/>
      <c r="D449" s="16"/>
    </row>
    <row r="450" spans="1:4" ht="14.25" customHeight="1" x14ac:dyDescent="0.25">
      <c r="A450" s="55"/>
      <c r="B450" s="16"/>
      <c r="C450" s="16"/>
      <c r="D450" s="16"/>
    </row>
    <row r="451" spans="1:4" ht="14.25" customHeight="1" x14ac:dyDescent="0.25">
      <c r="A451" s="55"/>
      <c r="B451" s="16"/>
      <c r="C451" s="16"/>
      <c r="D451" s="16"/>
    </row>
    <row r="452" spans="1:4" ht="14.25" customHeight="1" x14ac:dyDescent="0.25">
      <c r="A452" s="55"/>
      <c r="B452" s="16"/>
      <c r="C452" s="16"/>
      <c r="D452" s="16"/>
    </row>
    <row r="453" spans="1:4" ht="14.25" customHeight="1" x14ac:dyDescent="0.25">
      <c r="A453" s="55"/>
      <c r="B453" s="16"/>
      <c r="C453" s="16"/>
      <c r="D453" s="16"/>
    </row>
    <row r="454" spans="1:4" ht="14.25" customHeight="1" x14ac:dyDescent="0.25">
      <c r="A454" s="55"/>
      <c r="B454" s="16"/>
      <c r="C454" s="16"/>
      <c r="D454" s="16"/>
    </row>
    <row r="455" spans="1:4" ht="14.25" customHeight="1" x14ac:dyDescent="0.25">
      <c r="A455" s="55"/>
      <c r="B455" s="16"/>
      <c r="C455" s="16"/>
      <c r="D455" s="16"/>
    </row>
    <row r="456" spans="1:4" ht="14.25" customHeight="1" x14ac:dyDescent="0.25">
      <c r="A456" s="55"/>
      <c r="B456" s="16"/>
      <c r="C456" s="16"/>
      <c r="D456" s="16"/>
    </row>
    <row r="457" spans="1:4" ht="14.25" customHeight="1" x14ac:dyDescent="0.25">
      <c r="A457" s="55"/>
      <c r="B457" s="16"/>
      <c r="C457" s="16"/>
      <c r="D457" s="16"/>
    </row>
    <row r="458" spans="1:4" ht="14.25" customHeight="1" x14ac:dyDescent="0.25">
      <c r="A458" s="55"/>
      <c r="B458" s="16"/>
      <c r="C458" s="16"/>
      <c r="D458" s="16"/>
    </row>
    <row r="459" spans="1:4" ht="14.25" customHeight="1" x14ac:dyDescent="0.25">
      <c r="A459" s="55"/>
      <c r="B459" s="16"/>
      <c r="C459" s="16"/>
      <c r="D459" s="16"/>
    </row>
    <row r="460" spans="1:4" ht="14.25" customHeight="1" x14ac:dyDescent="0.25">
      <c r="A460" s="55"/>
      <c r="B460" s="16"/>
      <c r="C460" s="16"/>
      <c r="D460" s="16"/>
    </row>
    <row r="461" spans="1:4" ht="14.25" customHeight="1" x14ac:dyDescent="0.25">
      <c r="A461" s="55"/>
      <c r="B461" s="16"/>
      <c r="C461" s="16"/>
      <c r="D461" s="16"/>
    </row>
    <row r="462" spans="1:4" ht="14.25" customHeight="1" x14ac:dyDescent="0.25">
      <c r="A462" s="55"/>
      <c r="B462" s="16"/>
      <c r="C462" s="16"/>
      <c r="D462" s="16"/>
    </row>
    <row r="463" spans="1:4" ht="14.25" customHeight="1" x14ac:dyDescent="0.25">
      <c r="A463" s="55"/>
      <c r="B463" s="16"/>
      <c r="C463" s="16"/>
      <c r="D463" s="16"/>
    </row>
    <row r="464" spans="1:4" ht="14.25" customHeight="1" x14ac:dyDescent="0.25">
      <c r="A464" s="55"/>
      <c r="B464" s="16"/>
      <c r="C464" s="16"/>
      <c r="D464" s="16"/>
    </row>
    <row r="465" spans="1:4" ht="14.25" customHeight="1" x14ac:dyDescent="0.25">
      <c r="A465" s="55"/>
      <c r="B465" s="16"/>
      <c r="C465" s="16"/>
      <c r="D465" s="16"/>
    </row>
    <row r="466" spans="1:4" ht="14.25" customHeight="1" x14ac:dyDescent="0.25">
      <c r="A466" s="55"/>
      <c r="B466" s="16"/>
      <c r="C466" s="16"/>
      <c r="D466" s="16"/>
    </row>
    <row r="467" spans="1:4" ht="14.25" customHeight="1" x14ac:dyDescent="0.25">
      <c r="A467" s="55"/>
      <c r="B467" s="16"/>
      <c r="C467" s="16"/>
      <c r="D467" s="16"/>
    </row>
    <row r="468" spans="1:4" ht="14.25" customHeight="1" x14ac:dyDescent="0.25">
      <c r="A468" s="55"/>
      <c r="B468" s="16"/>
      <c r="C468" s="16"/>
      <c r="D468" s="16"/>
    </row>
    <row r="469" spans="1:4" ht="14.25" customHeight="1" x14ac:dyDescent="0.25">
      <c r="A469" s="55"/>
      <c r="B469" s="16"/>
      <c r="C469" s="16"/>
      <c r="D469" s="16"/>
    </row>
    <row r="470" spans="1:4" ht="14.25" customHeight="1" x14ac:dyDescent="0.25">
      <c r="A470" s="55"/>
      <c r="B470" s="16"/>
      <c r="C470" s="16"/>
      <c r="D470" s="16"/>
    </row>
    <row r="471" spans="1:4" ht="14.25" customHeight="1" x14ac:dyDescent="0.25">
      <c r="A471" s="55"/>
      <c r="B471" s="16"/>
      <c r="C471" s="16"/>
      <c r="D471" s="16"/>
    </row>
    <row r="472" spans="1:4" ht="14.25" customHeight="1" x14ac:dyDescent="0.25">
      <c r="A472" s="55"/>
      <c r="B472" s="16"/>
      <c r="C472" s="16"/>
      <c r="D472" s="16"/>
    </row>
    <row r="473" spans="1:4" ht="14.25" customHeight="1" x14ac:dyDescent="0.25">
      <c r="A473" s="55"/>
      <c r="B473" s="16"/>
      <c r="C473" s="16"/>
      <c r="D473" s="16"/>
    </row>
    <row r="474" spans="1:4" ht="14.25" customHeight="1" x14ac:dyDescent="0.25">
      <c r="A474" s="55"/>
      <c r="B474" s="16"/>
      <c r="C474" s="16"/>
      <c r="D474" s="16"/>
    </row>
    <row r="475" spans="1:4" ht="14.25" customHeight="1" x14ac:dyDescent="0.25">
      <c r="A475" s="55"/>
      <c r="B475" s="16"/>
      <c r="C475" s="16"/>
      <c r="D475" s="16"/>
    </row>
    <row r="476" spans="1:4" ht="14.25" customHeight="1" x14ac:dyDescent="0.25">
      <c r="A476" s="55"/>
      <c r="B476" s="16"/>
      <c r="C476" s="16"/>
      <c r="D476" s="16"/>
    </row>
    <row r="477" spans="1:4" ht="14.25" customHeight="1" x14ac:dyDescent="0.25">
      <c r="A477" s="55"/>
      <c r="B477" s="16"/>
      <c r="C477" s="16"/>
      <c r="D477" s="16"/>
    </row>
    <row r="478" spans="1:4" ht="14.25" customHeight="1" x14ac:dyDescent="0.25">
      <c r="A478" s="55"/>
      <c r="B478" s="16"/>
      <c r="C478" s="16"/>
      <c r="D478" s="16"/>
    </row>
    <row r="479" spans="1:4" ht="14.25" customHeight="1" x14ac:dyDescent="0.25">
      <c r="A479" s="55"/>
      <c r="B479" s="16"/>
      <c r="C479" s="16"/>
      <c r="D479" s="16"/>
    </row>
    <row r="480" spans="1:4" ht="14.25" customHeight="1" x14ac:dyDescent="0.25">
      <c r="A480" s="55"/>
      <c r="B480" s="16"/>
      <c r="C480" s="16"/>
      <c r="D480" s="16"/>
    </row>
    <row r="481" spans="1:4" ht="14.25" customHeight="1" x14ac:dyDescent="0.25">
      <c r="A481" s="55"/>
      <c r="B481" s="16"/>
      <c r="C481" s="16"/>
      <c r="D481" s="16"/>
    </row>
    <row r="482" spans="1:4" ht="14.25" customHeight="1" x14ac:dyDescent="0.25">
      <c r="A482" s="55"/>
      <c r="B482" s="16"/>
      <c r="C482" s="16"/>
      <c r="D482" s="16"/>
    </row>
    <row r="483" spans="1:4" ht="14.25" customHeight="1" x14ac:dyDescent="0.25">
      <c r="A483" s="55"/>
      <c r="B483" s="16"/>
      <c r="C483" s="16"/>
      <c r="D483" s="16"/>
    </row>
    <row r="484" spans="1:4" ht="14.25" customHeight="1" x14ac:dyDescent="0.25">
      <c r="A484" s="55"/>
      <c r="B484" s="16"/>
      <c r="C484" s="16"/>
      <c r="D484" s="16"/>
    </row>
    <row r="485" spans="1:4" ht="14.25" customHeight="1" x14ac:dyDescent="0.25">
      <c r="A485" s="55"/>
      <c r="B485" s="16"/>
      <c r="C485" s="16"/>
      <c r="D485" s="16"/>
    </row>
    <row r="486" spans="1:4" ht="14.25" customHeight="1" x14ac:dyDescent="0.25">
      <c r="A486" s="55"/>
      <c r="B486" s="16"/>
      <c r="C486" s="16"/>
      <c r="D486" s="16"/>
    </row>
    <row r="487" spans="1:4" ht="14.25" customHeight="1" x14ac:dyDescent="0.25">
      <c r="A487" s="55"/>
      <c r="B487" s="16"/>
      <c r="C487" s="16"/>
      <c r="D487" s="16"/>
    </row>
    <row r="488" spans="1:4" ht="14.25" customHeight="1" x14ac:dyDescent="0.25">
      <c r="A488" s="55"/>
      <c r="B488" s="16"/>
      <c r="C488" s="16"/>
      <c r="D488" s="16"/>
    </row>
    <row r="489" spans="1:4" ht="14.25" customHeight="1" x14ac:dyDescent="0.25">
      <c r="A489" s="55"/>
      <c r="B489" s="16"/>
      <c r="C489" s="16"/>
      <c r="D489" s="16"/>
    </row>
    <row r="490" spans="1:4" ht="14.25" customHeight="1" x14ac:dyDescent="0.25">
      <c r="A490" s="55"/>
      <c r="B490" s="16"/>
      <c r="C490" s="16"/>
      <c r="D490" s="16"/>
    </row>
    <row r="491" spans="1:4" ht="14.25" customHeight="1" x14ac:dyDescent="0.25">
      <c r="A491" s="55"/>
      <c r="B491" s="16"/>
      <c r="C491" s="16"/>
      <c r="D491" s="16"/>
    </row>
    <row r="492" spans="1:4" ht="14.25" customHeight="1" x14ac:dyDescent="0.25">
      <c r="A492" s="55"/>
      <c r="B492" s="16"/>
      <c r="C492" s="16"/>
      <c r="D492" s="16"/>
    </row>
    <row r="493" spans="1:4" ht="14.25" customHeight="1" x14ac:dyDescent="0.25">
      <c r="A493" s="55"/>
      <c r="B493" s="16"/>
      <c r="C493" s="16"/>
      <c r="D493" s="16"/>
    </row>
    <row r="494" spans="1:4" ht="14.25" customHeight="1" x14ac:dyDescent="0.25">
      <c r="A494" s="55"/>
      <c r="B494" s="16"/>
      <c r="C494" s="16"/>
      <c r="D494" s="16"/>
    </row>
    <row r="495" spans="1:4" ht="14.25" customHeight="1" x14ac:dyDescent="0.25">
      <c r="A495" s="55"/>
      <c r="B495" s="16"/>
      <c r="C495" s="16"/>
      <c r="D495" s="16"/>
    </row>
    <row r="496" spans="1:4" ht="14.25" customHeight="1" x14ac:dyDescent="0.25">
      <c r="A496" s="55"/>
      <c r="B496" s="16"/>
      <c r="C496" s="16"/>
      <c r="D496" s="16"/>
    </row>
    <row r="497" spans="1:4" ht="14.25" customHeight="1" x14ac:dyDescent="0.25">
      <c r="A497" s="55"/>
      <c r="B497" s="16"/>
      <c r="C497" s="16"/>
      <c r="D497" s="16"/>
    </row>
    <row r="498" spans="1:4" ht="14.25" customHeight="1" x14ac:dyDescent="0.25">
      <c r="A498" s="55"/>
      <c r="B498" s="16"/>
      <c r="C498" s="16"/>
      <c r="D498" s="16"/>
    </row>
    <row r="499" spans="1:4" ht="14.25" customHeight="1" x14ac:dyDescent="0.25">
      <c r="A499" s="55"/>
      <c r="B499" s="16"/>
      <c r="C499" s="16"/>
      <c r="D499" s="16"/>
    </row>
    <row r="500" spans="1:4" ht="14.25" customHeight="1" x14ac:dyDescent="0.25">
      <c r="A500" s="55"/>
      <c r="B500" s="16"/>
      <c r="C500" s="16"/>
      <c r="D500" s="16"/>
    </row>
    <row r="501" spans="1:4" ht="14.25" customHeight="1" x14ac:dyDescent="0.25">
      <c r="A501" s="55"/>
      <c r="B501" s="16"/>
      <c r="C501" s="16"/>
      <c r="D501" s="16"/>
    </row>
    <row r="502" spans="1:4" ht="14.25" customHeight="1" x14ac:dyDescent="0.25">
      <c r="A502" s="55"/>
      <c r="B502" s="16"/>
      <c r="C502" s="16"/>
      <c r="D502" s="16"/>
    </row>
    <row r="503" spans="1:4" ht="14.25" customHeight="1" x14ac:dyDescent="0.25">
      <c r="A503" s="55"/>
      <c r="B503" s="16"/>
      <c r="C503" s="16"/>
      <c r="D503" s="16"/>
    </row>
    <row r="504" spans="1:4" ht="14.25" customHeight="1" x14ac:dyDescent="0.25">
      <c r="A504" s="55"/>
      <c r="B504" s="16"/>
      <c r="C504" s="16"/>
      <c r="D504" s="16"/>
    </row>
    <row r="505" spans="1:4" ht="14.25" customHeight="1" x14ac:dyDescent="0.25">
      <c r="A505" s="55"/>
      <c r="B505" s="16"/>
      <c r="C505" s="16"/>
      <c r="D505" s="16"/>
    </row>
    <row r="506" spans="1:4" ht="14.25" customHeight="1" x14ac:dyDescent="0.25">
      <c r="A506" s="55"/>
      <c r="B506" s="16"/>
      <c r="C506" s="16"/>
      <c r="D506" s="16"/>
    </row>
    <row r="507" spans="1:4" ht="14.25" customHeight="1" x14ac:dyDescent="0.25">
      <c r="A507" s="55"/>
      <c r="B507" s="16"/>
      <c r="C507" s="16"/>
      <c r="D507" s="16"/>
    </row>
    <row r="508" spans="1:4" ht="14.25" customHeight="1" x14ac:dyDescent="0.25">
      <c r="A508" s="55"/>
      <c r="B508" s="16"/>
      <c r="C508" s="16"/>
      <c r="D508" s="16"/>
    </row>
    <row r="509" spans="1:4" ht="14.25" customHeight="1" x14ac:dyDescent="0.25">
      <c r="A509" s="55"/>
      <c r="B509" s="16"/>
      <c r="C509" s="16"/>
      <c r="D509" s="16"/>
    </row>
    <row r="510" spans="1:4" ht="14.25" customHeight="1" x14ac:dyDescent="0.25">
      <c r="A510" s="55"/>
      <c r="B510" s="16"/>
      <c r="C510" s="16"/>
      <c r="D510" s="16"/>
    </row>
    <row r="511" spans="1:4" ht="14.25" customHeight="1" x14ac:dyDescent="0.25">
      <c r="A511" s="55"/>
      <c r="B511" s="16"/>
      <c r="C511" s="16"/>
      <c r="D511" s="16"/>
    </row>
    <row r="512" spans="1:4" ht="14.25" customHeight="1" x14ac:dyDescent="0.25">
      <c r="A512" s="55"/>
      <c r="B512" s="16"/>
      <c r="C512" s="16"/>
      <c r="D512" s="16"/>
    </row>
    <row r="513" spans="1:4" ht="14.25" customHeight="1" x14ac:dyDescent="0.25">
      <c r="A513" s="55"/>
      <c r="B513" s="16"/>
      <c r="C513" s="16"/>
      <c r="D513" s="16"/>
    </row>
    <row r="514" spans="1:4" ht="14.25" customHeight="1" x14ac:dyDescent="0.25">
      <c r="A514" s="55"/>
      <c r="B514" s="16"/>
      <c r="C514" s="16"/>
      <c r="D514" s="16"/>
    </row>
    <row r="515" spans="1:4" ht="14.25" customHeight="1" x14ac:dyDescent="0.25">
      <c r="A515" s="55"/>
      <c r="B515" s="16"/>
      <c r="C515" s="16"/>
      <c r="D515" s="16"/>
    </row>
    <row r="516" spans="1:4" ht="14.25" customHeight="1" x14ac:dyDescent="0.25">
      <c r="A516" s="55"/>
      <c r="B516" s="16"/>
      <c r="C516" s="16"/>
      <c r="D516" s="16"/>
    </row>
    <row r="517" spans="1:4" ht="14.25" customHeight="1" x14ac:dyDescent="0.25">
      <c r="A517" s="55"/>
      <c r="B517" s="16"/>
      <c r="C517" s="16"/>
      <c r="D517" s="16"/>
    </row>
    <row r="518" spans="1:4" ht="14.25" customHeight="1" x14ac:dyDescent="0.25">
      <c r="A518" s="55"/>
      <c r="B518" s="16"/>
      <c r="C518" s="16"/>
      <c r="D518" s="16"/>
    </row>
    <row r="519" spans="1:4" ht="14.25" customHeight="1" x14ac:dyDescent="0.25">
      <c r="A519" s="55"/>
      <c r="B519" s="16"/>
      <c r="C519" s="16"/>
      <c r="D519" s="16"/>
    </row>
    <row r="520" spans="1:4" ht="14.25" customHeight="1" x14ac:dyDescent="0.25">
      <c r="A520" s="55"/>
      <c r="B520" s="16"/>
      <c r="C520" s="16"/>
      <c r="D520" s="16"/>
    </row>
    <row r="521" spans="1:4" ht="14.25" customHeight="1" x14ac:dyDescent="0.25">
      <c r="A521" s="55"/>
      <c r="B521" s="16"/>
      <c r="C521" s="16"/>
      <c r="D521" s="16"/>
    </row>
    <row r="522" spans="1:4" ht="14.25" customHeight="1" x14ac:dyDescent="0.25">
      <c r="A522" s="55"/>
      <c r="B522" s="16"/>
      <c r="C522" s="16"/>
      <c r="D522" s="16"/>
    </row>
    <row r="523" spans="1:4" ht="14.25" customHeight="1" x14ac:dyDescent="0.25">
      <c r="A523" s="55"/>
      <c r="B523" s="16"/>
      <c r="C523" s="16"/>
      <c r="D523" s="16"/>
    </row>
    <row r="524" spans="1:4" ht="14.25" customHeight="1" x14ac:dyDescent="0.25">
      <c r="A524" s="55"/>
      <c r="B524" s="16"/>
      <c r="C524" s="16"/>
      <c r="D524" s="16"/>
    </row>
    <row r="525" spans="1:4" ht="14.25" customHeight="1" x14ac:dyDescent="0.25">
      <c r="A525" s="55"/>
      <c r="B525" s="16"/>
      <c r="C525" s="16"/>
      <c r="D525" s="16"/>
    </row>
    <row r="526" spans="1:4" ht="14.25" customHeight="1" x14ac:dyDescent="0.25">
      <c r="A526" s="55"/>
      <c r="B526" s="16"/>
      <c r="C526" s="16"/>
      <c r="D526" s="16"/>
    </row>
    <row r="527" spans="1:4" ht="14.25" customHeight="1" x14ac:dyDescent="0.25">
      <c r="A527" s="55"/>
      <c r="B527" s="16"/>
      <c r="C527" s="16"/>
      <c r="D527" s="16"/>
    </row>
    <row r="528" spans="1:4" ht="14.25" customHeight="1" x14ac:dyDescent="0.25">
      <c r="A528" s="55"/>
      <c r="B528" s="16"/>
      <c r="C528" s="16"/>
      <c r="D528" s="16"/>
    </row>
    <row r="529" spans="1:4" ht="14.25" customHeight="1" x14ac:dyDescent="0.25">
      <c r="A529" s="55"/>
      <c r="B529" s="16"/>
      <c r="C529" s="16"/>
      <c r="D529" s="16"/>
    </row>
    <row r="530" spans="1:4" ht="14.25" customHeight="1" x14ac:dyDescent="0.25">
      <c r="A530" s="55"/>
      <c r="B530" s="16"/>
      <c r="C530" s="16"/>
      <c r="D530" s="16"/>
    </row>
    <row r="531" spans="1:4" ht="14.25" customHeight="1" x14ac:dyDescent="0.25">
      <c r="A531" s="55"/>
      <c r="B531" s="16"/>
      <c r="C531" s="16"/>
      <c r="D531" s="16"/>
    </row>
    <row r="532" spans="1:4" ht="14.25" customHeight="1" x14ac:dyDescent="0.25">
      <c r="A532" s="55"/>
      <c r="B532" s="16"/>
      <c r="C532" s="16"/>
      <c r="D532" s="16"/>
    </row>
    <row r="533" spans="1:4" ht="14.25" customHeight="1" x14ac:dyDescent="0.25">
      <c r="A533" s="55"/>
      <c r="B533" s="16"/>
      <c r="C533" s="16"/>
      <c r="D533" s="16"/>
    </row>
    <row r="534" spans="1:4" ht="14.25" customHeight="1" x14ac:dyDescent="0.25">
      <c r="A534" s="55"/>
      <c r="B534" s="16"/>
      <c r="C534" s="16"/>
      <c r="D534" s="16"/>
    </row>
    <row r="535" spans="1:4" ht="14.25" customHeight="1" x14ac:dyDescent="0.25">
      <c r="A535" s="55"/>
      <c r="B535" s="16"/>
      <c r="C535" s="16"/>
      <c r="D535" s="16"/>
    </row>
    <row r="536" spans="1:4" ht="14.25" customHeight="1" x14ac:dyDescent="0.25">
      <c r="A536" s="55"/>
      <c r="B536" s="16"/>
      <c r="C536" s="16"/>
      <c r="D536" s="16"/>
    </row>
    <row r="537" spans="1:4" ht="14.25" customHeight="1" x14ac:dyDescent="0.25">
      <c r="A537" s="55"/>
      <c r="B537" s="16"/>
      <c r="C537" s="16"/>
      <c r="D537" s="16"/>
    </row>
    <row r="538" spans="1:4" ht="14.25" customHeight="1" x14ac:dyDescent="0.25">
      <c r="A538" s="55"/>
      <c r="B538" s="16"/>
      <c r="C538" s="16"/>
      <c r="D538" s="16"/>
    </row>
    <row r="539" spans="1:4" ht="14.25" customHeight="1" x14ac:dyDescent="0.25">
      <c r="A539" s="55"/>
      <c r="B539" s="16"/>
      <c r="C539" s="16"/>
      <c r="D539" s="16"/>
    </row>
    <row r="540" spans="1:4" ht="14.25" customHeight="1" x14ac:dyDescent="0.25">
      <c r="A540" s="55"/>
      <c r="B540" s="16"/>
      <c r="C540" s="16"/>
      <c r="D540" s="16"/>
    </row>
    <row r="541" spans="1:4" ht="14.25" customHeight="1" x14ac:dyDescent="0.25">
      <c r="A541" s="55"/>
      <c r="B541" s="16"/>
      <c r="C541" s="16"/>
      <c r="D541" s="16"/>
    </row>
    <row r="542" spans="1:4" ht="14.25" customHeight="1" x14ac:dyDescent="0.25">
      <c r="A542" s="55"/>
      <c r="B542" s="16"/>
      <c r="C542" s="16"/>
      <c r="D542" s="16"/>
    </row>
    <row r="543" spans="1:4" ht="14.25" customHeight="1" x14ac:dyDescent="0.25">
      <c r="A543" s="55"/>
      <c r="B543" s="16"/>
      <c r="C543" s="16"/>
      <c r="D543" s="16"/>
    </row>
    <row r="544" spans="1:4" ht="14.25" customHeight="1" x14ac:dyDescent="0.25">
      <c r="A544" s="55"/>
      <c r="B544" s="16"/>
      <c r="C544" s="16"/>
      <c r="D544" s="16"/>
    </row>
    <row r="545" spans="1:4" ht="14.25" customHeight="1" x14ac:dyDescent="0.25">
      <c r="A545" s="55"/>
      <c r="B545" s="16"/>
      <c r="C545" s="16"/>
      <c r="D545" s="16"/>
    </row>
    <row r="546" spans="1:4" ht="14.25" customHeight="1" x14ac:dyDescent="0.25">
      <c r="A546" s="55"/>
      <c r="B546" s="16"/>
      <c r="C546" s="16"/>
      <c r="D546" s="16"/>
    </row>
    <row r="547" spans="1:4" ht="14.25" customHeight="1" x14ac:dyDescent="0.25">
      <c r="A547" s="55"/>
      <c r="B547" s="16"/>
      <c r="C547" s="16"/>
      <c r="D547" s="16"/>
    </row>
    <row r="548" spans="1:4" ht="14.25" customHeight="1" x14ac:dyDescent="0.25">
      <c r="A548" s="55"/>
      <c r="B548" s="16"/>
      <c r="C548" s="16"/>
      <c r="D548" s="16"/>
    </row>
    <row r="549" spans="1:4" ht="14.25" customHeight="1" x14ac:dyDescent="0.25">
      <c r="A549" s="55"/>
      <c r="B549" s="16"/>
      <c r="C549" s="16"/>
      <c r="D549" s="16"/>
    </row>
    <row r="550" spans="1:4" ht="14.25" customHeight="1" x14ac:dyDescent="0.25">
      <c r="A550" s="55"/>
      <c r="B550" s="16"/>
      <c r="C550" s="16"/>
      <c r="D550" s="16"/>
    </row>
    <row r="551" spans="1:4" ht="14.25" customHeight="1" x14ac:dyDescent="0.25">
      <c r="A551" s="55"/>
      <c r="B551" s="16"/>
      <c r="C551" s="16"/>
      <c r="D551" s="16"/>
    </row>
    <row r="552" spans="1:4" ht="14.25" customHeight="1" x14ac:dyDescent="0.25">
      <c r="A552" s="55"/>
      <c r="B552" s="16"/>
      <c r="C552" s="16"/>
      <c r="D552" s="16"/>
    </row>
    <row r="553" spans="1:4" ht="14.25" customHeight="1" x14ac:dyDescent="0.25">
      <c r="A553" s="55"/>
      <c r="B553" s="16"/>
      <c r="C553" s="16"/>
      <c r="D553" s="16"/>
    </row>
    <row r="554" spans="1:4" ht="14.25" customHeight="1" x14ac:dyDescent="0.25">
      <c r="A554" s="55"/>
      <c r="B554" s="16"/>
      <c r="C554" s="16"/>
      <c r="D554" s="16"/>
    </row>
    <row r="555" spans="1:4" ht="14.25" customHeight="1" x14ac:dyDescent="0.25">
      <c r="A555" s="55"/>
      <c r="B555" s="16"/>
      <c r="C555" s="16"/>
      <c r="D555" s="16"/>
    </row>
    <row r="556" spans="1:4" ht="14.25" customHeight="1" x14ac:dyDescent="0.25">
      <c r="A556" s="55"/>
      <c r="B556" s="16"/>
      <c r="C556" s="16"/>
      <c r="D556" s="16"/>
    </row>
    <row r="557" spans="1:4" ht="14.25" customHeight="1" x14ac:dyDescent="0.25">
      <c r="A557" s="55"/>
      <c r="B557" s="16"/>
      <c r="C557" s="16"/>
      <c r="D557" s="16"/>
    </row>
    <row r="558" spans="1:4" ht="14.25" customHeight="1" x14ac:dyDescent="0.25">
      <c r="A558" s="55"/>
      <c r="B558" s="16"/>
      <c r="C558" s="16"/>
      <c r="D558" s="16"/>
    </row>
    <row r="559" spans="1:4" ht="14.25" customHeight="1" x14ac:dyDescent="0.25">
      <c r="A559" s="55"/>
      <c r="B559" s="16"/>
      <c r="C559" s="16"/>
      <c r="D559" s="16"/>
    </row>
    <row r="560" spans="1:4" ht="14.25" customHeight="1" x14ac:dyDescent="0.25">
      <c r="A560" s="55"/>
      <c r="B560" s="16"/>
      <c r="C560" s="16"/>
      <c r="D560" s="16"/>
    </row>
    <row r="561" spans="1:4" ht="14.25" customHeight="1" x14ac:dyDescent="0.25">
      <c r="A561" s="55"/>
      <c r="B561" s="16"/>
      <c r="C561" s="16"/>
      <c r="D561" s="16"/>
    </row>
    <row r="562" spans="1:4" ht="14.25" customHeight="1" x14ac:dyDescent="0.25">
      <c r="A562" s="55"/>
      <c r="B562" s="16"/>
      <c r="C562" s="16"/>
      <c r="D562" s="16"/>
    </row>
    <row r="563" spans="1:4" ht="14.25" customHeight="1" x14ac:dyDescent="0.25">
      <c r="A563" s="55"/>
      <c r="B563" s="16"/>
      <c r="C563" s="16"/>
      <c r="D563" s="16"/>
    </row>
    <row r="564" spans="1:4" ht="14.25" customHeight="1" x14ac:dyDescent="0.25">
      <c r="A564" s="55"/>
      <c r="B564" s="16"/>
      <c r="C564" s="16"/>
      <c r="D564" s="16"/>
    </row>
    <row r="565" spans="1:4" ht="14.25" customHeight="1" x14ac:dyDescent="0.25">
      <c r="A565" s="55"/>
      <c r="B565" s="16"/>
      <c r="C565" s="16"/>
      <c r="D565" s="16"/>
    </row>
    <row r="566" spans="1:4" ht="14.25" customHeight="1" x14ac:dyDescent="0.25">
      <c r="A566" s="55"/>
      <c r="B566" s="16"/>
      <c r="C566" s="16"/>
      <c r="D566" s="16"/>
    </row>
    <row r="567" spans="1:4" ht="14.25" customHeight="1" x14ac:dyDescent="0.25">
      <c r="A567" s="55"/>
      <c r="B567" s="16"/>
      <c r="C567" s="16"/>
      <c r="D567" s="16"/>
    </row>
    <row r="568" spans="1:4" ht="14.25" customHeight="1" x14ac:dyDescent="0.25">
      <c r="A568" s="55"/>
      <c r="B568" s="16"/>
      <c r="C568" s="16"/>
      <c r="D568" s="16"/>
    </row>
    <row r="569" spans="1:4" ht="14.25" customHeight="1" x14ac:dyDescent="0.25">
      <c r="A569" s="55"/>
      <c r="B569" s="16"/>
      <c r="C569" s="16"/>
      <c r="D569" s="16"/>
    </row>
    <row r="570" spans="1:4" ht="14.25" customHeight="1" x14ac:dyDescent="0.25">
      <c r="A570" s="55"/>
      <c r="B570" s="16"/>
      <c r="C570" s="16"/>
      <c r="D570" s="16"/>
    </row>
    <row r="571" spans="1:4" ht="14.25" customHeight="1" x14ac:dyDescent="0.25">
      <c r="A571" s="55"/>
      <c r="B571" s="16"/>
      <c r="C571" s="16"/>
      <c r="D571" s="16"/>
    </row>
    <row r="572" spans="1:4" ht="14.25" customHeight="1" x14ac:dyDescent="0.25">
      <c r="A572" s="55"/>
      <c r="B572" s="16"/>
      <c r="C572" s="16"/>
      <c r="D572" s="16"/>
    </row>
    <row r="573" spans="1:4" ht="14.25" customHeight="1" x14ac:dyDescent="0.25">
      <c r="A573" s="55"/>
      <c r="B573" s="16"/>
      <c r="C573" s="16"/>
      <c r="D573" s="16"/>
    </row>
    <row r="574" spans="1:4" ht="14.25" customHeight="1" x14ac:dyDescent="0.25">
      <c r="A574" s="55"/>
      <c r="B574" s="16"/>
      <c r="C574" s="16"/>
      <c r="D574" s="16"/>
    </row>
    <row r="575" spans="1:4" ht="14.25" customHeight="1" x14ac:dyDescent="0.25">
      <c r="A575" s="55"/>
      <c r="B575" s="16"/>
      <c r="C575" s="16"/>
      <c r="D575" s="16"/>
    </row>
    <row r="576" spans="1:4" ht="14.25" customHeight="1" x14ac:dyDescent="0.25">
      <c r="A576" s="55"/>
      <c r="B576" s="16"/>
      <c r="C576" s="16"/>
      <c r="D576" s="16"/>
    </row>
    <row r="577" spans="1:4" ht="14.25" customHeight="1" x14ac:dyDescent="0.25">
      <c r="A577" s="55"/>
      <c r="B577" s="16"/>
      <c r="C577" s="16"/>
      <c r="D577" s="16"/>
    </row>
    <row r="578" spans="1:4" ht="14.25" customHeight="1" x14ac:dyDescent="0.25">
      <c r="A578" s="55"/>
      <c r="B578" s="16"/>
      <c r="C578" s="16"/>
      <c r="D578" s="16"/>
    </row>
    <row r="579" spans="1:4" ht="14.25" customHeight="1" x14ac:dyDescent="0.25">
      <c r="A579" s="55"/>
      <c r="B579" s="16"/>
      <c r="C579" s="16"/>
      <c r="D579" s="16"/>
    </row>
    <row r="580" spans="1:4" ht="14.25" customHeight="1" x14ac:dyDescent="0.25">
      <c r="A580" s="55"/>
      <c r="B580" s="16"/>
      <c r="C580" s="16"/>
      <c r="D580" s="16"/>
    </row>
    <row r="581" spans="1:4" ht="14.25" customHeight="1" x14ac:dyDescent="0.25">
      <c r="A581" s="55"/>
      <c r="B581" s="16"/>
      <c r="C581" s="16"/>
      <c r="D581" s="16"/>
    </row>
    <row r="582" spans="1:4" ht="14.25" customHeight="1" x14ac:dyDescent="0.25">
      <c r="A582" s="55"/>
      <c r="B582" s="16"/>
      <c r="C582" s="16"/>
      <c r="D582" s="16"/>
    </row>
    <row r="583" spans="1:4" ht="14.25" customHeight="1" x14ac:dyDescent="0.25">
      <c r="A583" s="55"/>
      <c r="B583" s="16"/>
      <c r="C583" s="16"/>
      <c r="D583" s="16"/>
    </row>
    <row r="584" spans="1:4" ht="14.25" customHeight="1" x14ac:dyDescent="0.25">
      <c r="A584" s="55"/>
      <c r="B584" s="16"/>
      <c r="C584" s="16"/>
      <c r="D584" s="16"/>
    </row>
    <row r="585" spans="1:4" ht="14.25" customHeight="1" x14ac:dyDescent="0.25">
      <c r="A585" s="55"/>
      <c r="B585" s="16"/>
      <c r="C585" s="16"/>
      <c r="D585" s="16"/>
    </row>
    <row r="586" spans="1:4" ht="14.25" customHeight="1" x14ac:dyDescent="0.25">
      <c r="A586" s="55"/>
      <c r="B586" s="16"/>
      <c r="C586" s="16"/>
      <c r="D586" s="16"/>
    </row>
    <row r="587" spans="1:4" ht="14.25" customHeight="1" x14ac:dyDescent="0.25">
      <c r="A587" s="55"/>
      <c r="B587" s="16"/>
      <c r="C587" s="16"/>
      <c r="D587" s="16"/>
    </row>
    <row r="588" spans="1:4" ht="14.25" customHeight="1" x14ac:dyDescent="0.25">
      <c r="A588" s="55"/>
      <c r="B588" s="16"/>
      <c r="C588" s="16"/>
      <c r="D588" s="16"/>
    </row>
    <row r="589" spans="1:4" ht="14.25" customHeight="1" x14ac:dyDescent="0.25">
      <c r="A589" s="55"/>
      <c r="B589" s="16"/>
      <c r="C589" s="16"/>
      <c r="D589" s="16"/>
    </row>
    <row r="590" spans="1:4" ht="14.25" customHeight="1" x14ac:dyDescent="0.25">
      <c r="A590" s="55"/>
      <c r="B590" s="16"/>
      <c r="C590" s="16"/>
      <c r="D590" s="16"/>
    </row>
    <row r="591" spans="1:4" ht="14.25" customHeight="1" x14ac:dyDescent="0.25">
      <c r="A591" s="55"/>
      <c r="B591" s="16"/>
      <c r="C591" s="16"/>
      <c r="D591" s="16"/>
    </row>
    <row r="592" spans="1:4" ht="14.25" customHeight="1" x14ac:dyDescent="0.25">
      <c r="A592" s="55"/>
      <c r="B592" s="16"/>
      <c r="C592" s="16"/>
      <c r="D592" s="16"/>
    </row>
    <row r="593" spans="1:4" ht="14.25" customHeight="1" x14ac:dyDescent="0.25">
      <c r="A593" s="55"/>
      <c r="B593" s="16"/>
      <c r="C593" s="16"/>
      <c r="D593" s="16"/>
    </row>
    <row r="594" spans="1:4" ht="14.25" customHeight="1" x14ac:dyDescent="0.25">
      <c r="A594" s="55"/>
      <c r="B594" s="16"/>
      <c r="C594" s="16"/>
      <c r="D594" s="16"/>
    </row>
    <row r="595" spans="1:4" ht="14.25" customHeight="1" x14ac:dyDescent="0.25">
      <c r="A595" s="55"/>
      <c r="B595" s="16"/>
      <c r="C595" s="16"/>
      <c r="D595" s="16"/>
    </row>
    <row r="596" spans="1:4" ht="14.25" customHeight="1" x14ac:dyDescent="0.25">
      <c r="A596" s="55"/>
      <c r="B596" s="16"/>
      <c r="C596" s="16"/>
      <c r="D596" s="16"/>
    </row>
    <row r="597" spans="1:4" ht="14.25" customHeight="1" x14ac:dyDescent="0.25">
      <c r="A597" s="55"/>
      <c r="B597" s="16"/>
      <c r="C597" s="16"/>
      <c r="D597" s="16"/>
    </row>
    <row r="598" spans="1:4" ht="14.25" customHeight="1" x14ac:dyDescent="0.25">
      <c r="A598" s="55"/>
      <c r="B598" s="16"/>
      <c r="C598" s="16"/>
      <c r="D598" s="16"/>
    </row>
    <row r="599" spans="1:4" ht="14.25" customHeight="1" x14ac:dyDescent="0.25">
      <c r="A599" s="55"/>
      <c r="B599" s="16"/>
      <c r="C599" s="16"/>
      <c r="D599" s="16"/>
    </row>
    <row r="600" spans="1:4" ht="14.25" customHeight="1" x14ac:dyDescent="0.25">
      <c r="A600" s="55"/>
      <c r="B600" s="16"/>
      <c r="C600" s="16"/>
      <c r="D600" s="16"/>
    </row>
    <row r="601" spans="1:4" ht="14.25" customHeight="1" x14ac:dyDescent="0.25">
      <c r="A601" s="55"/>
      <c r="B601" s="16"/>
      <c r="C601" s="16"/>
      <c r="D601" s="16"/>
    </row>
    <row r="602" spans="1:4" ht="14.25" customHeight="1" x14ac:dyDescent="0.25">
      <c r="A602" s="55"/>
      <c r="B602" s="16"/>
      <c r="C602" s="16"/>
      <c r="D602" s="16"/>
    </row>
    <row r="603" spans="1:4" ht="14.25" customHeight="1" x14ac:dyDescent="0.25">
      <c r="A603" s="55"/>
      <c r="B603" s="16"/>
      <c r="C603" s="16"/>
      <c r="D603" s="16"/>
    </row>
    <row r="604" spans="1:4" ht="14.25" customHeight="1" x14ac:dyDescent="0.25">
      <c r="A604" s="55"/>
      <c r="B604" s="16"/>
      <c r="C604" s="16"/>
      <c r="D604" s="16"/>
    </row>
    <row r="605" spans="1:4" ht="14.25" customHeight="1" x14ac:dyDescent="0.25">
      <c r="A605" s="55"/>
      <c r="B605" s="16"/>
      <c r="C605" s="16"/>
      <c r="D605" s="16"/>
    </row>
    <row r="606" spans="1:4" ht="14.25" customHeight="1" x14ac:dyDescent="0.25">
      <c r="A606" s="55"/>
      <c r="B606" s="16"/>
      <c r="C606" s="16"/>
      <c r="D606" s="16"/>
    </row>
    <row r="607" spans="1:4" ht="14.25" customHeight="1" x14ac:dyDescent="0.25">
      <c r="A607" s="55"/>
      <c r="B607" s="16"/>
      <c r="C607" s="16"/>
      <c r="D607" s="16"/>
    </row>
    <row r="608" spans="1:4" ht="14.25" customHeight="1" x14ac:dyDescent="0.25">
      <c r="A608" s="55"/>
      <c r="B608" s="16"/>
      <c r="C608" s="16"/>
      <c r="D608" s="16"/>
    </row>
    <row r="609" spans="1:4" ht="14.25" customHeight="1" x14ac:dyDescent="0.25">
      <c r="A609" s="55"/>
      <c r="B609" s="16"/>
      <c r="C609" s="16"/>
      <c r="D609" s="16"/>
    </row>
    <row r="610" spans="1:4" ht="14.25" customHeight="1" x14ac:dyDescent="0.25">
      <c r="A610" s="55"/>
      <c r="B610" s="16"/>
      <c r="C610" s="16"/>
      <c r="D610" s="16"/>
    </row>
    <row r="611" spans="1:4" ht="14.25" customHeight="1" x14ac:dyDescent="0.25">
      <c r="A611" s="55"/>
      <c r="B611" s="16"/>
      <c r="C611" s="16"/>
      <c r="D611" s="16"/>
    </row>
    <row r="612" spans="1:4" ht="14.25" customHeight="1" x14ac:dyDescent="0.25">
      <c r="A612" s="55"/>
      <c r="B612" s="16"/>
      <c r="C612" s="16"/>
      <c r="D612" s="16"/>
    </row>
    <row r="613" spans="1:4" ht="14.25" customHeight="1" x14ac:dyDescent="0.25">
      <c r="A613" s="55"/>
      <c r="B613" s="16"/>
      <c r="C613" s="16"/>
      <c r="D613" s="16"/>
    </row>
    <row r="614" spans="1:4" ht="14.25" customHeight="1" x14ac:dyDescent="0.25">
      <c r="A614" s="55"/>
      <c r="B614" s="16"/>
      <c r="C614" s="16"/>
      <c r="D614" s="16"/>
    </row>
    <row r="615" spans="1:4" ht="14.25" customHeight="1" x14ac:dyDescent="0.25">
      <c r="A615" s="55"/>
      <c r="B615" s="16"/>
      <c r="C615" s="16"/>
      <c r="D615" s="16"/>
    </row>
    <row r="616" spans="1:4" ht="14.25" customHeight="1" x14ac:dyDescent="0.25">
      <c r="A616" s="55"/>
      <c r="B616" s="16"/>
      <c r="C616" s="16"/>
      <c r="D616" s="16"/>
    </row>
    <row r="617" spans="1:4" ht="14.25" customHeight="1" x14ac:dyDescent="0.25">
      <c r="A617" s="55"/>
      <c r="B617" s="16"/>
      <c r="C617" s="16"/>
      <c r="D617" s="16"/>
    </row>
    <row r="618" spans="1:4" ht="14.25" customHeight="1" x14ac:dyDescent="0.25">
      <c r="A618" s="55"/>
      <c r="B618" s="16"/>
      <c r="C618" s="16"/>
      <c r="D618" s="16"/>
    </row>
    <row r="619" spans="1:4" ht="14.25" customHeight="1" x14ac:dyDescent="0.25">
      <c r="A619" s="55"/>
      <c r="B619" s="16"/>
      <c r="C619" s="16"/>
      <c r="D619" s="16"/>
    </row>
    <row r="620" spans="1:4" ht="14.25" customHeight="1" x14ac:dyDescent="0.25">
      <c r="A620" s="55"/>
      <c r="B620" s="16"/>
      <c r="C620" s="16"/>
      <c r="D620" s="16"/>
    </row>
    <row r="621" spans="1:4" ht="14.25" customHeight="1" x14ac:dyDescent="0.25">
      <c r="A621" s="55"/>
      <c r="B621" s="16"/>
      <c r="C621" s="16"/>
      <c r="D621" s="16"/>
    </row>
    <row r="622" spans="1:4" ht="14.25" customHeight="1" x14ac:dyDescent="0.25">
      <c r="A622" s="55"/>
      <c r="B622" s="16"/>
      <c r="C622" s="16"/>
      <c r="D622" s="16"/>
    </row>
    <row r="623" spans="1:4" ht="14.25" customHeight="1" x14ac:dyDescent="0.25">
      <c r="A623" s="55"/>
      <c r="B623" s="16"/>
      <c r="C623" s="16"/>
      <c r="D623" s="16"/>
    </row>
    <row r="624" spans="1:4" ht="14.25" customHeight="1" x14ac:dyDescent="0.25">
      <c r="A624" s="55"/>
      <c r="B624" s="16"/>
      <c r="C624" s="16"/>
      <c r="D624" s="16"/>
    </row>
    <row r="625" spans="1:4" ht="14.25" customHeight="1" x14ac:dyDescent="0.25">
      <c r="A625" s="55"/>
      <c r="B625" s="16"/>
      <c r="C625" s="16"/>
      <c r="D625" s="16"/>
    </row>
    <row r="626" spans="1:4" ht="14.25" customHeight="1" x14ac:dyDescent="0.25">
      <c r="A626" s="55"/>
      <c r="B626" s="16"/>
      <c r="C626" s="16"/>
      <c r="D626" s="16"/>
    </row>
    <row r="627" spans="1:4" ht="14.25" customHeight="1" x14ac:dyDescent="0.25">
      <c r="A627" s="55"/>
      <c r="B627" s="16"/>
      <c r="C627" s="16"/>
      <c r="D627" s="16"/>
    </row>
    <row r="628" spans="1:4" ht="14.25" customHeight="1" x14ac:dyDescent="0.25">
      <c r="A628" s="55"/>
      <c r="B628" s="16"/>
      <c r="C628" s="16"/>
      <c r="D628" s="16"/>
    </row>
    <row r="629" spans="1:4" ht="14.25" customHeight="1" x14ac:dyDescent="0.25">
      <c r="A629" s="55"/>
      <c r="B629" s="16"/>
      <c r="C629" s="16"/>
      <c r="D629" s="16"/>
    </row>
    <row r="630" spans="1:4" ht="14.25" customHeight="1" x14ac:dyDescent="0.25">
      <c r="A630" s="55"/>
      <c r="B630" s="16"/>
      <c r="C630" s="16"/>
      <c r="D630" s="16"/>
    </row>
    <row r="631" spans="1:4" ht="14.25" customHeight="1" x14ac:dyDescent="0.25">
      <c r="A631" s="55"/>
      <c r="B631" s="16"/>
      <c r="C631" s="16"/>
      <c r="D631" s="16"/>
    </row>
    <row r="632" spans="1:4" ht="14.25" customHeight="1" x14ac:dyDescent="0.25">
      <c r="A632" s="55"/>
      <c r="B632" s="16"/>
      <c r="C632" s="16"/>
      <c r="D632" s="16"/>
    </row>
    <row r="633" spans="1:4" ht="14.25" customHeight="1" x14ac:dyDescent="0.25">
      <c r="A633" s="55"/>
      <c r="B633" s="16"/>
      <c r="C633" s="16"/>
      <c r="D633" s="16"/>
    </row>
    <row r="634" spans="1:4" ht="14.25" customHeight="1" x14ac:dyDescent="0.25">
      <c r="A634" s="55"/>
      <c r="B634" s="16"/>
      <c r="C634" s="16"/>
      <c r="D634" s="16"/>
    </row>
    <row r="635" spans="1:4" ht="14.25" customHeight="1" x14ac:dyDescent="0.25">
      <c r="A635" s="55"/>
      <c r="B635" s="16"/>
      <c r="C635" s="16"/>
      <c r="D635" s="16"/>
    </row>
    <row r="636" spans="1:4" ht="14.25" customHeight="1" x14ac:dyDescent="0.25">
      <c r="A636" s="55"/>
      <c r="B636" s="16"/>
      <c r="C636" s="16"/>
      <c r="D636" s="16"/>
    </row>
    <row r="637" spans="1:4" ht="14.25" customHeight="1" x14ac:dyDescent="0.25">
      <c r="A637" s="55"/>
      <c r="B637" s="16"/>
      <c r="C637" s="16"/>
      <c r="D637" s="16"/>
    </row>
    <row r="638" spans="1:4" ht="14.25" customHeight="1" x14ac:dyDescent="0.25">
      <c r="A638" s="55"/>
      <c r="B638" s="16"/>
      <c r="C638" s="16"/>
      <c r="D638" s="16"/>
    </row>
    <row r="639" spans="1:4" ht="14.25" customHeight="1" x14ac:dyDescent="0.25">
      <c r="A639" s="55"/>
      <c r="B639" s="16"/>
      <c r="C639" s="16"/>
      <c r="D639" s="16"/>
    </row>
    <row r="640" spans="1:4" ht="14.25" customHeight="1" x14ac:dyDescent="0.25">
      <c r="A640" s="55"/>
      <c r="B640" s="16"/>
      <c r="C640" s="16"/>
      <c r="D640" s="16"/>
    </row>
    <row r="641" spans="1:4" ht="14.25" customHeight="1" x14ac:dyDescent="0.25">
      <c r="A641" s="55"/>
      <c r="B641" s="16"/>
      <c r="C641" s="16"/>
      <c r="D641" s="16"/>
    </row>
    <row r="642" spans="1:4" ht="14.25" customHeight="1" x14ac:dyDescent="0.25">
      <c r="A642" s="55"/>
      <c r="B642" s="16"/>
      <c r="C642" s="16"/>
      <c r="D642" s="16"/>
    </row>
    <row r="643" spans="1:4" ht="14.25" customHeight="1" x14ac:dyDescent="0.25">
      <c r="A643" s="55"/>
      <c r="B643" s="16"/>
      <c r="C643" s="16"/>
      <c r="D643" s="16"/>
    </row>
    <row r="644" spans="1:4" ht="14.25" customHeight="1" x14ac:dyDescent="0.25">
      <c r="A644" s="55"/>
      <c r="B644" s="16"/>
      <c r="C644" s="16"/>
      <c r="D644" s="16"/>
    </row>
    <row r="645" spans="1:4" ht="14.25" customHeight="1" x14ac:dyDescent="0.25">
      <c r="A645" s="55"/>
      <c r="B645" s="16"/>
      <c r="C645" s="16"/>
      <c r="D645" s="16"/>
    </row>
    <row r="646" spans="1:4" ht="14.25" customHeight="1" x14ac:dyDescent="0.25">
      <c r="A646" s="55"/>
      <c r="B646" s="16"/>
      <c r="C646" s="16"/>
      <c r="D646" s="16"/>
    </row>
    <row r="647" spans="1:4" ht="14.25" customHeight="1" x14ac:dyDescent="0.25">
      <c r="A647" s="55"/>
      <c r="B647" s="16"/>
      <c r="C647" s="16"/>
      <c r="D647" s="16"/>
    </row>
    <row r="648" spans="1:4" ht="14.25" customHeight="1" x14ac:dyDescent="0.25">
      <c r="A648" s="55"/>
      <c r="B648" s="16"/>
      <c r="C648" s="16"/>
      <c r="D648" s="16"/>
    </row>
    <row r="649" spans="1:4" ht="14.25" customHeight="1" x14ac:dyDescent="0.25">
      <c r="A649" s="55"/>
      <c r="B649" s="16"/>
      <c r="C649" s="16"/>
      <c r="D649" s="16"/>
    </row>
    <row r="650" spans="1:4" ht="14.25" customHeight="1" x14ac:dyDescent="0.25">
      <c r="A650" s="55"/>
      <c r="B650" s="16"/>
      <c r="C650" s="16"/>
      <c r="D650" s="16"/>
    </row>
    <row r="651" spans="1:4" ht="14.25" customHeight="1" x14ac:dyDescent="0.25">
      <c r="A651" s="55"/>
      <c r="B651" s="16"/>
      <c r="C651" s="16"/>
      <c r="D651" s="16"/>
    </row>
    <row r="652" spans="1:4" ht="14.25" customHeight="1" x14ac:dyDescent="0.25">
      <c r="A652" s="55"/>
      <c r="B652" s="16"/>
      <c r="C652" s="16"/>
      <c r="D652" s="16"/>
    </row>
    <row r="653" spans="1:4" ht="14.25" customHeight="1" x14ac:dyDescent="0.25">
      <c r="A653" s="55"/>
      <c r="B653" s="16"/>
      <c r="C653" s="16"/>
      <c r="D653" s="16"/>
    </row>
    <row r="654" spans="1:4" ht="14.25" customHeight="1" x14ac:dyDescent="0.25">
      <c r="A654" s="55"/>
      <c r="B654" s="16"/>
      <c r="C654" s="16"/>
      <c r="D654" s="16"/>
    </row>
    <row r="655" spans="1:4" ht="14.25" customHeight="1" x14ac:dyDescent="0.25">
      <c r="A655" s="55"/>
      <c r="B655" s="16"/>
      <c r="C655" s="16"/>
      <c r="D655" s="16"/>
    </row>
    <row r="656" spans="1:4" ht="14.25" customHeight="1" x14ac:dyDescent="0.25">
      <c r="A656" s="55"/>
      <c r="B656" s="16"/>
      <c r="C656" s="16"/>
      <c r="D656" s="16"/>
    </row>
    <row r="657" spans="1:4" ht="14.25" customHeight="1" x14ac:dyDescent="0.25">
      <c r="A657" s="55"/>
      <c r="B657" s="16"/>
      <c r="C657" s="16"/>
      <c r="D657" s="16"/>
    </row>
    <row r="658" spans="1:4" ht="14.25" customHeight="1" x14ac:dyDescent="0.25">
      <c r="A658" s="55"/>
      <c r="B658" s="16"/>
      <c r="C658" s="16"/>
      <c r="D658" s="16"/>
    </row>
    <row r="659" spans="1:4" ht="14.25" customHeight="1" x14ac:dyDescent="0.25">
      <c r="A659" s="55"/>
      <c r="B659" s="16"/>
      <c r="C659" s="16"/>
      <c r="D659" s="16"/>
    </row>
    <row r="660" spans="1:4" ht="14.25" customHeight="1" x14ac:dyDescent="0.25">
      <c r="A660" s="55"/>
      <c r="B660" s="16"/>
      <c r="C660" s="16"/>
      <c r="D660" s="16"/>
    </row>
    <row r="661" spans="1:4" ht="14.25" customHeight="1" x14ac:dyDescent="0.25">
      <c r="A661" s="55"/>
      <c r="B661" s="16"/>
      <c r="C661" s="16"/>
      <c r="D661" s="16"/>
    </row>
    <row r="662" spans="1:4" ht="14.25" customHeight="1" x14ac:dyDescent="0.25">
      <c r="A662" s="55"/>
      <c r="B662" s="16"/>
      <c r="C662" s="16"/>
      <c r="D662" s="16"/>
    </row>
    <row r="663" spans="1:4" ht="14.25" customHeight="1" x14ac:dyDescent="0.25">
      <c r="A663" s="55"/>
      <c r="B663" s="16"/>
      <c r="C663" s="16"/>
      <c r="D663" s="16"/>
    </row>
    <row r="664" spans="1:4" ht="14.25" customHeight="1" x14ac:dyDescent="0.25">
      <c r="A664" s="55"/>
      <c r="B664" s="16"/>
      <c r="C664" s="16"/>
      <c r="D664" s="16"/>
    </row>
    <row r="665" spans="1:4" ht="14.25" customHeight="1" x14ac:dyDescent="0.25">
      <c r="A665" s="55"/>
      <c r="B665" s="16"/>
      <c r="C665" s="16"/>
      <c r="D665" s="16"/>
    </row>
    <row r="666" spans="1:4" ht="14.25" customHeight="1" x14ac:dyDescent="0.25">
      <c r="A666" s="55"/>
      <c r="B666" s="16"/>
      <c r="C666" s="16"/>
      <c r="D666" s="16"/>
    </row>
    <row r="667" spans="1:4" ht="14.25" customHeight="1" x14ac:dyDescent="0.25">
      <c r="A667" s="55"/>
      <c r="B667" s="16"/>
      <c r="C667" s="16"/>
      <c r="D667" s="16"/>
    </row>
    <row r="668" spans="1:4" ht="14.25" customHeight="1" x14ac:dyDescent="0.25">
      <c r="A668" s="55"/>
      <c r="B668" s="16"/>
      <c r="C668" s="16"/>
      <c r="D668" s="16"/>
    </row>
    <row r="669" spans="1:4" ht="14.25" customHeight="1" x14ac:dyDescent="0.25">
      <c r="A669" s="55"/>
      <c r="B669" s="16"/>
      <c r="C669" s="16"/>
      <c r="D669" s="16"/>
    </row>
    <row r="670" spans="1:4" ht="14.25" customHeight="1" x14ac:dyDescent="0.25">
      <c r="A670" s="55"/>
      <c r="B670" s="16"/>
      <c r="C670" s="16"/>
      <c r="D670" s="16"/>
    </row>
    <row r="671" spans="1:4" ht="14.25" customHeight="1" x14ac:dyDescent="0.25">
      <c r="A671" s="55"/>
      <c r="B671" s="16"/>
      <c r="C671" s="16"/>
      <c r="D671" s="16"/>
    </row>
    <row r="672" spans="1:4" ht="14.25" customHeight="1" x14ac:dyDescent="0.25">
      <c r="A672" s="55"/>
      <c r="B672" s="16"/>
      <c r="C672" s="16"/>
      <c r="D672" s="16"/>
    </row>
    <row r="673" spans="1:4" ht="14.25" customHeight="1" x14ac:dyDescent="0.25">
      <c r="A673" s="55"/>
      <c r="B673" s="16"/>
      <c r="C673" s="16"/>
      <c r="D673" s="16"/>
    </row>
    <row r="674" spans="1:4" ht="14.25" customHeight="1" x14ac:dyDescent="0.25">
      <c r="A674" s="55"/>
      <c r="B674" s="16"/>
      <c r="C674" s="16"/>
      <c r="D674" s="16"/>
    </row>
    <row r="675" spans="1:4" ht="14.25" customHeight="1" x14ac:dyDescent="0.25">
      <c r="A675" s="55"/>
      <c r="B675" s="16"/>
      <c r="C675" s="16"/>
      <c r="D675" s="16"/>
    </row>
    <row r="676" spans="1:4" ht="14.25" customHeight="1" x14ac:dyDescent="0.25">
      <c r="A676" s="55"/>
      <c r="B676" s="16"/>
      <c r="C676" s="16"/>
      <c r="D676" s="16"/>
    </row>
    <row r="677" spans="1:4" ht="14.25" customHeight="1" x14ac:dyDescent="0.25">
      <c r="A677" s="55"/>
      <c r="B677" s="16"/>
      <c r="C677" s="16"/>
      <c r="D677" s="16"/>
    </row>
    <row r="678" spans="1:4" ht="14.25" customHeight="1" x14ac:dyDescent="0.25">
      <c r="A678" s="55"/>
      <c r="B678" s="16"/>
      <c r="C678" s="16"/>
      <c r="D678" s="16"/>
    </row>
    <row r="679" spans="1:4" ht="14.25" customHeight="1" x14ac:dyDescent="0.25">
      <c r="A679" s="55"/>
      <c r="B679" s="16"/>
      <c r="C679" s="16"/>
      <c r="D679" s="16"/>
    </row>
    <row r="680" spans="1:4" ht="14.25" customHeight="1" x14ac:dyDescent="0.25">
      <c r="A680" s="55"/>
      <c r="B680" s="16"/>
      <c r="C680" s="16"/>
      <c r="D680" s="16"/>
    </row>
    <row r="681" spans="1:4" ht="14.25" customHeight="1" x14ac:dyDescent="0.25">
      <c r="A681" s="55"/>
      <c r="B681" s="16"/>
      <c r="C681" s="16"/>
      <c r="D681" s="16"/>
    </row>
    <row r="682" spans="1:4" ht="14.25" customHeight="1" x14ac:dyDescent="0.25">
      <c r="A682" s="55"/>
      <c r="B682" s="16"/>
      <c r="C682" s="16"/>
      <c r="D682" s="16"/>
    </row>
    <row r="683" spans="1:4" ht="14.25" customHeight="1" x14ac:dyDescent="0.25">
      <c r="A683" s="55"/>
      <c r="B683" s="16"/>
      <c r="C683" s="16"/>
      <c r="D683" s="16"/>
    </row>
    <row r="684" spans="1:4" ht="14.25" customHeight="1" x14ac:dyDescent="0.25">
      <c r="A684" s="55"/>
      <c r="B684" s="16"/>
      <c r="C684" s="16"/>
      <c r="D684" s="16"/>
    </row>
    <row r="685" spans="1:4" ht="14.25" customHeight="1" x14ac:dyDescent="0.25">
      <c r="A685" s="55"/>
      <c r="B685" s="16"/>
      <c r="C685" s="16"/>
      <c r="D685" s="16"/>
    </row>
    <row r="686" spans="1:4" ht="14.25" customHeight="1" x14ac:dyDescent="0.25">
      <c r="A686" s="55"/>
      <c r="B686" s="16"/>
      <c r="C686" s="16"/>
      <c r="D686" s="16"/>
    </row>
    <row r="687" spans="1:4" ht="14.25" customHeight="1" x14ac:dyDescent="0.25">
      <c r="A687" s="55"/>
      <c r="B687" s="16"/>
      <c r="C687" s="16"/>
      <c r="D687" s="16"/>
    </row>
    <row r="688" spans="1:4" ht="14.25" customHeight="1" x14ac:dyDescent="0.25">
      <c r="A688" s="55"/>
      <c r="B688" s="16"/>
      <c r="C688" s="16"/>
      <c r="D688" s="16"/>
    </row>
    <row r="689" spans="1:4" ht="14.25" customHeight="1" x14ac:dyDescent="0.25">
      <c r="A689" s="55"/>
      <c r="B689" s="16"/>
      <c r="C689" s="16"/>
      <c r="D689" s="16"/>
    </row>
    <row r="690" spans="1:4" ht="14.25" customHeight="1" x14ac:dyDescent="0.25">
      <c r="A690" s="55"/>
      <c r="B690" s="16"/>
      <c r="C690" s="16"/>
      <c r="D690" s="16"/>
    </row>
    <row r="691" spans="1:4" ht="14.25" customHeight="1" x14ac:dyDescent="0.25">
      <c r="A691" s="55"/>
      <c r="B691" s="16"/>
      <c r="C691" s="16"/>
      <c r="D691" s="16"/>
    </row>
    <row r="692" spans="1:4" ht="14.25" customHeight="1" x14ac:dyDescent="0.25">
      <c r="A692" s="55"/>
      <c r="B692" s="16"/>
      <c r="C692" s="16"/>
      <c r="D692" s="16"/>
    </row>
    <row r="693" spans="1:4" ht="14.25" customHeight="1" x14ac:dyDescent="0.25">
      <c r="A693" s="55"/>
      <c r="B693" s="16"/>
      <c r="C693" s="16"/>
      <c r="D693" s="16"/>
    </row>
    <row r="694" spans="1:4" ht="14.25" customHeight="1" x14ac:dyDescent="0.25">
      <c r="A694" s="55"/>
      <c r="B694" s="16"/>
      <c r="C694" s="16"/>
      <c r="D694" s="16"/>
    </row>
    <row r="695" spans="1:4" ht="14.25" customHeight="1" x14ac:dyDescent="0.25">
      <c r="A695" s="55"/>
      <c r="B695" s="16"/>
      <c r="C695" s="16"/>
      <c r="D695" s="16"/>
    </row>
    <row r="696" spans="1:4" ht="14.25" customHeight="1" x14ac:dyDescent="0.25">
      <c r="A696" s="55"/>
      <c r="B696" s="16"/>
      <c r="C696" s="16"/>
      <c r="D696" s="16"/>
    </row>
    <row r="697" spans="1:4" ht="14.25" customHeight="1" x14ac:dyDescent="0.25">
      <c r="A697" s="55"/>
      <c r="B697" s="16"/>
      <c r="C697" s="16"/>
      <c r="D697" s="16"/>
    </row>
    <row r="698" spans="1:4" ht="14.25" customHeight="1" x14ac:dyDescent="0.25">
      <c r="A698" s="55"/>
      <c r="B698" s="16"/>
      <c r="C698" s="16"/>
      <c r="D698" s="16"/>
    </row>
    <row r="699" spans="1:4" ht="14.25" customHeight="1" x14ac:dyDescent="0.25">
      <c r="A699" s="55"/>
      <c r="B699" s="16"/>
      <c r="C699" s="16"/>
      <c r="D699" s="16"/>
    </row>
    <row r="700" spans="1:4" ht="14.25" customHeight="1" x14ac:dyDescent="0.25">
      <c r="A700" s="55"/>
      <c r="B700" s="16"/>
      <c r="C700" s="16"/>
      <c r="D700" s="16"/>
    </row>
    <row r="701" spans="1:4" ht="14.25" customHeight="1" x14ac:dyDescent="0.25">
      <c r="A701" s="55"/>
      <c r="B701" s="16"/>
      <c r="C701" s="16"/>
      <c r="D701" s="16"/>
    </row>
    <row r="702" spans="1:4" ht="14.25" customHeight="1" x14ac:dyDescent="0.25">
      <c r="A702" s="55"/>
      <c r="B702" s="16"/>
      <c r="C702" s="16"/>
      <c r="D702" s="16"/>
    </row>
    <row r="703" spans="1:4" ht="14.25" customHeight="1" x14ac:dyDescent="0.25">
      <c r="A703" s="55"/>
      <c r="B703" s="16"/>
      <c r="C703" s="16"/>
      <c r="D703" s="16"/>
    </row>
    <row r="704" spans="1:4" ht="14.25" customHeight="1" x14ac:dyDescent="0.25">
      <c r="A704" s="55"/>
      <c r="B704" s="16"/>
      <c r="C704" s="16"/>
      <c r="D704" s="16"/>
    </row>
    <row r="705" spans="1:4" ht="14.25" customHeight="1" x14ac:dyDescent="0.25">
      <c r="A705" s="55"/>
      <c r="B705" s="16"/>
      <c r="C705" s="16"/>
      <c r="D705" s="16"/>
    </row>
    <row r="706" spans="1:4" ht="14.25" customHeight="1" x14ac:dyDescent="0.25">
      <c r="A706" s="55"/>
      <c r="B706" s="16"/>
      <c r="C706" s="16"/>
      <c r="D706" s="16"/>
    </row>
    <row r="707" spans="1:4" ht="14.25" customHeight="1" x14ac:dyDescent="0.25">
      <c r="A707" s="55"/>
      <c r="B707" s="16"/>
      <c r="C707" s="16"/>
      <c r="D707" s="16"/>
    </row>
    <row r="708" spans="1:4" ht="14.25" customHeight="1" x14ac:dyDescent="0.25">
      <c r="A708" s="55"/>
      <c r="B708" s="16"/>
      <c r="C708" s="16"/>
      <c r="D708" s="16"/>
    </row>
    <row r="709" spans="1:4" ht="14.25" customHeight="1" x14ac:dyDescent="0.25">
      <c r="A709" s="55"/>
      <c r="B709" s="16"/>
      <c r="C709" s="16"/>
      <c r="D709" s="16"/>
    </row>
    <row r="710" spans="1:4" ht="14.25" customHeight="1" x14ac:dyDescent="0.25">
      <c r="A710" s="55"/>
      <c r="B710" s="16"/>
      <c r="C710" s="16"/>
      <c r="D710" s="16"/>
    </row>
    <row r="711" spans="1:4" ht="14.25" customHeight="1" x14ac:dyDescent="0.25">
      <c r="A711" s="55"/>
      <c r="B711" s="16"/>
      <c r="C711" s="16"/>
      <c r="D711" s="16"/>
    </row>
    <row r="712" spans="1:4" ht="14.25" customHeight="1" x14ac:dyDescent="0.25">
      <c r="A712" s="55"/>
      <c r="B712" s="16"/>
      <c r="C712" s="16"/>
      <c r="D712" s="16"/>
    </row>
    <row r="713" spans="1:4" ht="14.25" customHeight="1" x14ac:dyDescent="0.25">
      <c r="A713" s="55"/>
      <c r="B713" s="16"/>
      <c r="C713" s="16"/>
      <c r="D713" s="16"/>
    </row>
    <row r="714" spans="1:4" ht="14.25" customHeight="1" x14ac:dyDescent="0.25">
      <c r="A714" s="55"/>
      <c r="B714" s="16"/>
      <c r="C714" s="16"/>
      <c r="D714" s="16"/>
    </row>
    <row r="715" spans="1:4" ht="14.25" customHeight="1" x14ac:dyDescent="0.25">
      <c r="A715" s="55"/>
      <c r="B715" s="16"/>
      <c r="C715" s="16"/>
      <c r="D715" s="16"/>
    </row>
    <row r="716" spans="1:4" ht="14.25" customHeight="1" x14ac:dyDescent="0.25">
      <c r="A716" s="55"/>
      <c r="B716" s="16"/>
      <c r="C716" s="16"/>
      <c r="D716" s="16"/>
    </row>
    <row r="717" spans="1:4" ht="14.25" customHeight="1" x14ac:dyDescent="0.25">
      <c r="A717" s="55"/>
      <c r="B717" s="16"/>
      <c r="C717" s="16"/>
      <c r="D717" s="16"/>
    </row>
    <row r="718" spans="1:4" ht="14.25" customHeight="1" x14ac:dyDescent="0.25">
      <c r="A718" s="55"/>
      <c r="B718" s="16"/>
      <c r="C718" s="16"/>
      <c r="D718" s="16"/>
    </row>
    <row r="719" spans="1:4" ht="14.25" customHeight="1" x14ac:dyDescent="0.25">
      <c r="A719" s="55"/>
      <c r="B719" s="16"/>
      <c r="C719" s="16"/>
      <c r="D719" s="16"/>
    </row>
    <row r="720" spans="1:4" ht="14.25" customHeight="1" x14ac:dyDescent="0.25">
      <c r="A720" s="55"/>
      <c r="B720" s="16"/>
      <c r="C720" s="16"/>
      <c r="D720" s="16"/>
    </row>
    <row r="721" spans="1:4" ht="14.25" customHeight="1" x14ac:dyDescent="0.25">
      <c r="A721" s="55"/>
      <c r="B721" s="16"/>
      <c r="C721" s="16"/>
      <c r="D721" s="16"/>
    </row>
    <row r="722" spans="1:4" ht="14.25" customHeight="1" x14ac:dyDescent="0.25">
      <c r="A722" s="55"/>
      <c r="B722" s="16"/>
      <c r="C722" s="16"/>
      <c r="D722" s="16"/>
    </row>
    <row r="723" spans="1:4" ht="14.25" customHeight="1" x14ac:dyDescent="0.25">
      <c r="A723" s="55"/>
      <c r="B723" s="16"/>
      <c r="C723" s="16"/>
      <c r="D723" s="16"/>
    </row>
    <row r="724" spans="1:4" ht="14.25" customHeight="1" x14ac:dyDescent="0.25">
      <c r="A724" s="55"/>
      <c r="B724" s="16"/>
      <c r="C724" s="16"/>
      <c r="D724" s="16"/>
    </row>
    <row r="725" spans="1:4" ht="14.25" customHeight="1" x14ac:dyDescent="0.25">
      <c r="A725" s="55"/>
      <c r="B725" s="16"/>
      <c r="C725" s="16"/>
      <c r="D725" s="16"/>
    </row>
    <row r="726" spans="1:4" ht="14.25" customHeight="1" x14ac:dyDescent="0.25">
      <c r="A726" s="55"/>
      <c r="B726" s="16"/>
      <c r="C726" s="16"/>
      <c r="D726" s="16"/>
    </row>
    <row r="727" spans="1:4" ht="14.25" customHeight="1" x14ac:dyDescent="0.25">
      <c r="A727" s="55"/>
      <c r="B727" s="16"/>
      <c r="C727" s="16"/>
      <c r="D727" s="16"/>
    </row>
    <row r="728" spans="1:4" ht="14.25" customHeight="1" x14ac:dyDescent="0.25">
      <c r="A728" s="55"/>
      <c r="B728" s="16"/>
      <c r="C728" s="16"/>
      <c r="D728" s="16"/>
    </row>
    <row r="729" spans="1:4" ht="14.25" customHeight="1" x14ac:dyDescent="0.25">
      <c r="A729" s="55"/>
      <c r="B729" s="16"/>
      <c r="C729" s="16"/>
      <c r="D729" s="16"/>
    </row>
    <row r="730" spans="1:4" ht="14.25" customHeight="1" x14ac:dyDescent="0.25">
      <c r="A730" s="55"/>
      <c r="B730" s="16"/>
      <c r="C730" s="16"/>
      <c r="D730" s="16"/>
    </row>
    <row r="731" spans="1:4" ht="14.25" customHeight="1" x14ac:dyDescent="0.25">
      <c r="A731" s="55"/>
      <c r="B731" s="16"/>
      <c r="C731" s="16"/>
      <c r="D731" s="16"/>
    </row>
    <row r="732" spans="1:4" ht="14.25" customHeight="1" x14ac:dyDescent="0.25">
      <c r="A732" s="55"/>
      <c r="B732" s="16"/>
      <c r="C732" s="16"/>
      <c r="D732" s="16"/>
    </row>
    <row r="733" spans="1:4" ht="14.25" customHeight="1" x14ac:dyDescent="0.25">
      <c r="A733" s="55"/>
      <c r="B733" s="16"/>
      <c r="C733" s="16"/>
      <c r="D733" s="16"/>
    </row>
    <row r="734" spans="1:4" ht="14.25" customHeight="1" x14ac:dyDescent="0.25">
      <c r="A734" s="55"/>
      <c r="B734" s="16"/>
      <c r="C734" s="16"/>
      <c r="D734" s="16"/>
    </row>
    <row r="735" spans="1:4" ht="14.25" customHeight="1" x14ac:dyDescent="0.25">
      <c r="A735" s="55"/>
      <c r="B735" s="16"/>
      <c r="C735" s="16"/>
      <c r="D735" s="16"/>
    </row>
    <row r="736" spans="1:4" ht="14.25" customHeight="1" x14ac:dyDescent="0.25">
      <c r="A736" s="55"/>
      <c r="B736" s="16"/>
      <c r="C736" s="16"/>
      <c r="D736" s="16"/>
    </row>
    <row r="737" spans="1:4" ht="14.25" customHeight="1" x14ac:dyDescent="0.25">
      <c r="A737" s="55"/>
      <c r="B737" s="16"/>
      <c r="C737" s="16"/>
      <c r="D737" s="16"/>
    </row>
    <row r="738" spans="1:4" ht="14.25" customHeight="1" x14ac:dyDescent="0.25">
      <c r="A738" s="55"/>
      <c r="B738" s="16"/>
      <c r="C738" s="16"/>
      <c r="D738" s="16"/>
    </row>
    <row r="739" spans="1:4" ht="14.25" customHeight="1" x14ac:dyDescent="0.25">
      <c r="A739" s="55"/>
      <c r="B739" s="16"/>
      <c r="C739" s="16"/>
      <c r="D739" s="16"/>
    </row>
    <row r="740" spans="1:4" ht="14.25" customHeight="1" x14ac:dyDescent="0.25">
      <c r="A740" s="55"/>
      <c r="B740" s="16"/>
      <c r="C740" s="16"/>
      <c r="D740" s="16"/>
    </row>
    <row r="741" spans="1:4" ht="14.25" customHeight="1" x14ac:dyDescent="0.25">
      <c r="A741" s="55"/>
      <c r="B741" s="16"/>
      <c r="C741" s="16"/>
      <c r="D741" s="16"/>
    </row>
    <row r="742" spans="1:4" ht="14.25" customHeight="1" x14ac:dyDescent="0.25">
      <c r="A742" s="55"/>
      <c r="B742" s="16"/>
      <c r="C742" s="16"/>
      <c r="D742" s="16"/>
    </row>
    <row r="743" spans="1:4" ht="14.25" customHeight="1" x14ac:dyDescent="0.25">
      <c r="A743" s="55"/>
      <c r="B743" s="16"/>
      <c r="C743" s="16"/>
      <c r="D743" s="16"/>
    </row>
    <row r="744" spans="1:4" ht="14.25" customHeight="1" x14ac:dyDescent="0.25">
      <c r="A744" s="55"/>
      <c r="B744" s="16"/>
      <c r="C744" s="16"/>
      <c r="D744" s="16"/>
    </row>
    <row r="745" spans="1:4" ht="14.25" customHeight="1" x14ac:dyDescent="0.25">
      <c r="A745" s="55"/>
      <c r="B745" s="16"/>
      <c r="C745" s="16"/>
      <c r="D745" s="16"/>
    </row>
    <row r="746" spans="1:4" ht="14.25" customHeight="1" x14ac:dyDescent="0.25">
      <c r="A746" s="55"/>
      <c r="B746" s="16"/>
      <c r="C746" s="16"/>
      <c r="D746" s="16"/>
    </row>
    <row r="747" spans="1:4" ht="14.25" customHeight="1" x14ac:dyDescent="0.25">
      <c r="A747" s="55"/>
      <c r="B747" s="16"/>
      <c r="C747" s="16"/>
      <c r="D747" s="16"/>
    </row>
    <row r="748" spans="1:4" ht="14.25" customHeight="1" x14ac:dyDescent="0.25">
      <c r="A748" s="55"/>
      <c r="B748" s="16"/>
      <c r="C748" s="16"/>
      <c r="D748" s="16"/>
    </row>
    <row r="749" spans="1:4" ht="14.25" customHeight="1" x14ac:dyDescent="0.25">
      <c r="A749" s="55"/>
      <c r="B749" s="16"/>
      <c r="C749" s="16"/>
      <c r="D749" s="16"/>
    </row>
    <row r="750" spans="1:4" ht="14.25" customHeight="1" x14ac:dyDescent="0.25">
      <c r="A750" s="55"/>
      <c r="B750" s="16"/>
      <c r="C750" s="16"/>
      <c r="D750" s="16"/>
    </row>
    <row r="751" spans="1:4" ht="14.25" customHeight="1" x14ac:dyDescent="0.25">
      <c r="A751" s="55"/>
      <c r="B751" s="16"/>
      <c r="C751" s="16"/>
      <c r="D751" s="16"/>
    </row>
    <row r="752" spans="1:4" ht="14.25" customHeight="1" x14ac:dyDescent="0.25">
      <c r="A752" s="55"/>
      <c r="B752" s="16"/>
      <c r="C752" s="16"/>
      <c r="D752" s="16"/>
    </row>
    <row r="753" spans="1:4" ht="14.25" customHeight="1" x14ac:dyDescent="0.25">
      <c r="A753" s="55"/>
      <c r="B753" s="16"/>
      <c r="C753" s="16"/>
      <c r="D753" s="16"/>
    </row>
    <row r="754" spans="1:4" ht="14.25" customHeight="1" x14ac:dyDescent="0.25">
      <c r="A754" s="55"/>
      <c r="B754" s="16"/>
      <c r="C754" s="16"/>
      <c r="D754" s="16"/>
    </row>
    <row r="755" spans="1:4" ht="14.25" customHeight="1" x14ac:dyDescent="0.25">
      <c r="A755" s="55"/>
      <c r="B755" s="16"/>
      <c r="C755" s="16"/>
      <c r="D755" s="16"/>
    </row>
    <row r="756" spans="1:4" ht="14.25" customHeight="1" x14ac:dyDescent="0.25">
      <c r="A756" s="55"/>
      <c r="B756" s="16"/>
      <c r="C756" s="16"/>
      <c r="D756" s="16"/>
    </row>
    <row r="757" spans="1:4" ht="14.25" customHeight="1" x14ac:dyDescent="0.25">
      <c r="A757" s="55"/>
      <c r="B757" s="16"/>
      <c r="C757" s="16"/>
      <c r="D757" s="16"/>
    </row>
    <row r="758" spans="1:4" ht="14.25" customHeight="1" x14ac:dyDescent="0.25">
      <c r="A758" s="55"/>
      <c r="B758" s="16"/>
      <c r="C758" s="16"/>
      <c r="D758" s="16"/>
    </row>
    <row r="759" spans="1:4" ht="14.25" customHeight="1" x14ac:dyDescent="0.25">
      <c r="A759" s="55"/>
      <c r="B759" s="16"/>
      <c r="C759" s="16"/>
      <c r="D759" s="16"/>
    </row>
    <row r="760" spans="1:4" ht="14.25" customHeight="1" x14ac:dyDescent="0.25">
      <c r="A760" s="55"/>
      <c r="B760" s="16"/>
      <c r="C760" s="16"/>
      <c r="D760" s="16"/>
    </row>
    <row r="761" spans="1:4" ht="14.25" customHeight="1" x14ac:dyDescent="0.25">
      <c r="A761" s="55"/>
      <c r="B761" s="16"/>
      <c r="C761" s="16"/>
      <c r="D761" s="16"/>
    </row>
    <row r="762" spans="1:4" ht="14.25" customHeight="1" x14ac:dyDescent="0.25">
      <c r="A762" s="55"/>
      <c r="B762" s="16"/>
      <c r="C762" s="16"/>
      <c r="D762" s="16"/>
    </row>
    <row r="763" spans="1:4" ht="14.25" customHeight="1" x14ac:dyDescent="0.25">
      <c r="A763" s="55"/>
      <c r="B763" s="16"/>
      <c r="C763" s="16"/>
      <c r="D763" s="16"/>
    </row>
    <row r="764" spans="1:4" ht="14.25" customHeight="1" x14ac:dyDescent="0.25">
      <c r="A764" s="55"/>
      <c r="B764" s="16"/>
      <c r="C764" s="16"/>
      <c r="D764" s="16"/>
    </row>
    <row r="765" spans="1:4" ht="14.25" customHeight="1" x14ac:dyDescent="0.25">
      <c r="A765" s="55"/>
      <c r="B765" s="16"/>
      <c r="C765" s="16"/>
      <c r="D765" s="16"/>
    </row>
    <row r="766" spans="1:4" ht="14.25" customHeight="1" x14ac:dyDescent="0.25">
      <c r="A766" s="55"/>
      <c r="B766" s="16"/>
      <c r="C766" s="16"/>
      <c r="D766" s="16"/>
    </row>
    <row r="767" spans="1:4" ht="14.25" customHeight="1" x14ac:dyDescent="0.25">
      <c r="A767" s="55"/>
      <c r="B767" s="16"/>
      <c r="C767" s="16"/>
      <c r="D767" s="16"/>
    </row>
    <row r="768" spans="1:4" ht="14.25" customHeight="1" x14ac:dyDescent="0.25">
      <c r="A768" s="55"/>
      <c r="B768" s="16"/>
      <c r="C768" s="16"/>
      <c r="D768" s="16"/>
    </row>
    <row r="769" spans="1:4" ht="14.25" customHeight="1" x14ac:dyDescent="0.25">
      <c r="A769" s="55"/>
      <c r="B769" s="16"/>
      <c r="C769" s="16"/>
      <c r="D769" s="16"/>
    </row>
    <row r="770" spans="1:4" ht="14.25" customHeight="1" x14ac:dyDescent="0.25">
      <c r="A770" s="55"/>
      <c r="B770" s="16"/>
      <c r="C770" s="16"/>
      <c r="D770" s="16"/>
    </row>
    <row r="771" spans="1:4" ht="14.25" customHeight="1" x14ac:dyDescent="0.25">
      <c r="A771" s="55"/>
      <c r="B771" s="16"/>
      <c r="C771" s="16"/>
      <c r="D771" s="16"/>
    </row>
    <row r="772" spans="1:4" ht="14.25" customHeight="1" x14ac:dyDescent="0.25">
      <c r="A772" s="55"/>
      <c r="B772" s="16"/>
      <c r="C772" s="16"/>
      <c r="D772" s="16"/>
    </row>
    <row r="773" spans="1:4" ht="14.25" customHeight="1" x14ac:dyDescent="0.25">
      <c r="A773" s="55"/>
      <c r="B773" s="16"/>
      <c r="C773" s="16"/>
      <c r="D773" s="16"/>
    </row>
    <row r="774" spans="1:4" ht="14.25" customHeight="1" x14ac:dyDescent="0.25">
      <c r="A774" s="55"/>
      <c r="B774" s="16"/>
      <c r="C774" s="16"/>
      <c r="D774" s="16"/>
    </row>
    <row r="775" spans="1:4" ht="14.25" customHeight="1" x14ac:dyDescent="0.25">
      <c r="A775" s="55"/>
      <c r="B775" s="16"/>
      <c r="C775" s="16"/>
      <c r="D775" s="16"/>
    </row>
    <row r="776" spans="1:4" ht="14.25" customHeight="1" x14ac:dyDescent="0.25">
      <c r="A776" s="55"/>
      <c r="B776" s="16"/>
      <c r="C776" s="16"/>
      <c r="D776" s="16"/>
    </row>
    <row r="777" spans="1:4" ht="14.25" customHeight="1" x14ac:dyDescent="0.25">
      <c r="A777" s="55"/>
      <c r="B777" s="16"/>
      <c r="C777" s="16"/>
      <c r="D777" s="16"/>
    </row>
    <row r="778" spans="1:4" ht="14.25" customHeight="1" x14ac:dyDescent="0.25">
      <c r="A778" s="55"/>
      <c r="B778" s="16"/>
      <c r="C778" s="16"/>
      <c r="D778" s="16"/>
    </row>
    <row r="779" spans="1:4" ht="14.25" customHeight="1" x14ac:dyDescent="0.25">
      <c r="A779" s="55"/>
      <c r="B779" s="16"/>
      <c r="C779" s="16"/>
      <c r="D779" s="16"/>
    </row>
    <row r="780" spans="1:4" ht="14.25" customHeight="1" x14ac:dyDescent="0.25">
      <c r="A780" s="55"/>
      <c r="B780" s="16"/>
      <c r="C780" s="16"/>
      <c r="D780" s="16"/>
    </row>
    <row r="781" spans="1:4" ht="14.25" customHeight="1" x14ac:dyDescent="0.25">
      <c r="A781" s="55"/>
      <c r="B781" s="16"/>
      <c r="C781" s="16"/>
      <c r="D781" s="16"/>
    </row>
    <row r="782" spans="1:4" ht="14.25" customHeight="1" x14ac:dyDescent="0.25">
      <c r="A782" s="55"/>
      <c r="B782" s="16"/>
      <c r="C782" s="16"/>
      <c r="D782" s="16"/>
    </row>
    <row r="783" spans="1:4" ht="14.25" customHeight="1" x14ac:dyDescent="0.25">
      <c r="A783" s="55"/>
      <c r="B783" s="16"/>
      <c r="C783" s="16"/>
      <c r="D783" s="16"/>
    </row>
    <row r="784" spans="1:4" ht="14.25" customHeight="1" x14ac:dyDescent="0.25">
      <c r="A784" s="55"/>
      <c r="B784" s="16"/>
      <c r="C784" s="16"/>
      <c r="D784" s="16"/>
    </row>
    <row r="785" spans="1:4" ht="14.25" customHeight="1" x14ac:dyDescent="0.25">
      <c r="A785" s="55"/>
      <c r="B785" s="16"/>
      <c r="C785" s="16"/>
      <c r="D785" s="16"/>
    </row>
    <row r="786" spans="1:4" ht="14.25" customHeight="1" x14ac:dyDescent="0.25">
      <c r="A786" s="55"/>
      <c r="B786" s="16"/>
      <c r="C786" s="16"/>
      <c r="D786" s="16"/>
    </row>
    <row r="787" spans="1:4" ht="14.25" customHeight="1" x14ac:dyDescent="0.25">
      <c r="A787" s="55"/>
      <c r="B787" s="16"/>
      <c r="C787" s="16"/>
      <c r="D787" s="16"/>
    </row>
    <row r="788" spans="1:4" ht="14.25" customHeight="1" x14ac:dyDescent="0.25">
      <c r="A788" s="55"/>
      <c r="B788" s="16"/>
      <c r="C788" s="16"/>
      <c r="D788" s="16"/>
    </row>
    <row r="789" spans="1:4" ht="14.25" customHeight="1" x14ac:dyDescent="0.25">
      <c r="A789" s="55"/>
      <c r="B789" s="16"/>
      <c r="C789" s="16"/>
      <c r="D789" s="16"/>
    </row>
    <row r="790" spans="1:4" ht="14.25" customHeight="1" x14ac:dyDescent="0.25">
      <c r="A790" s="55"/>
      <c r="B790" s="16"/>
      <c r="C790" s="16"/>
      <c r="D790" s="16"/>
    </row>
    <row r="791" spans="1:4" ht="14.25" customHeight="1" x14ac:dyDescent="0.25">
      <c r="A791" s="55"/>
      <c r="B791" s="16"/>
      <c r="C791" s="16"/>
      <c r="D791" s="16"/>
    </row>
    <row r="792" spans="1:4" ht="14.25" customHeight="1" x14ac:dyDescent="0.25">
      <c r="A792" s="55"/>
      <c r="B792" s="16"/>
      <c r="C792" s="16"/>
      <c r="D792" s="16"/>
    </row>
    <row r="793" spans="1:4" ht="14.25" customHeight="1" x14ac:dyDescent="0.25">
      <c r="A793" s="55"/>
      <c r="B793" s="16"/>
      <c r="C793" s="16"/>
      <c r="D793" s="16"/>
    </row>
    <row r="794" spans="1:4" ht="14.25" customHeight="1" x14ac:dyDescent="0.25">
      <c r="A794" s="55"/>
      <c r="B794" s="16"/>
      <c r="C794" s="16"/>
      <c r="D794" s="16"/>
    </row>
    <row r="795" spans="1:4" ht="14.25" customHeight="1" x14ac:dyDescent="0.25">
      <c r="A795" s="55"/>
      <c r="B795" s="16"/>
      <c r="C795" s="16"/>
      <c r="D795" s="16"/>
    </row>
    <row r="796" spans="1:4" ht="14.25" customHeight="1" x14ac:dyDescent="0.25">
      <c r="A796" s="55"/>
      <c r="B796" s="16"/>
      <c r="C796" s="16"/>
      <c r="D796" s="16"/>
    </row>
    <row r="797" spans="1:4" ht="14.25" customHeight="1" x14ac:dyDescent="0.25">
      <c r="A797" s="55"/>
      <c r="B797" s="16"/>
      <c r="C797" s="16"/>
      <c r="D797" s="16"/>
    </row>
    <row r="798" spans="1:4" ht="14.25" customHeight="1" x14ac:dyDescent="0.25">
      <c r="A798" s="55"/>
      <c r="B798" s="16"/>
      <c r="C798" s="16"/>
      <c r="D798" s="16"/>
    </row>
    <row r="799" spans="1:4" ht="14.25" customHeight="1" x14ac:dyDescent="0.25">
      <c r="A799" s="55"/>
      <c r="B799" s="16"/>
      <c r="C799" s="16"/>
      <c r="D799" s="16"/>
    </row>
    <row r="800" spans="1:4" ht="14.25" customHeight="1" x14ac:dyDescent="0.25">
      <c r="A800" s="55"/>
      <c r="B800" s="16"/>
      <c r="C800" s="16"/>
      <c r="D800" s="16"/>
    </row>
    <row r="801" spans="1:4" ht="14.25" customHeight="1" x14ac:dyDescent="0.25">
      <c r="A801" s="55"/>
      <c r="B801" s="16"/>
      <c r="C801" s="16"/>
      <c r="D801" s="16"/>
    </row>
    <row r="802" spans="1:4" ht="14.25" customHeight="1" x14ac:dyDescent="0.25">
      <c r="A802" s="55"/>
      <c r="B802" s="16"/>
      <c r="C802" s="16"/>
      <c r="D802" s="16"/>
    </row>
    <row r="803" spans="1:4" ht="14.25" customHeight="1" x14ac:dyDescent="0.25">
      <c r="A803" s="55"/>
      <c r="B803" s="16"/>
      <c r="C803" s="16"/>
      <c r="D803" s="16"/>
    </row>
    <row r="804" spans="1:4" ht="14.25" customHeight="1" x14ac:dyDescent="0.25">
      <c r="A804" s="55"/>
      <c r="B804" s="16"/>
      <c r="C804" s="16"/>
      <c r="D804" s="16"/>
    </row>
    <row r="805" spans="1:4" ht="14.25" customHeight="1" x14ac:dyDescent="0.25">
      <c r="A805" s="55"/>
      <c r="B805" s="16"/>
      <c r="C805" s="16"/>
      <c r="D805" s="16"/>
    </row>
    <row r="806" spans="1:4" ht="14.25" customHeight="1" x14ac:dyDescent="0.25">
      <c r="A806" s="55"/>
      <c r="B806" s="16"/>
      <c r="C806" s="16"/>
      <c r="D806" s="16"/>
    </row>
    <row r="807" spans="1:4" ht="14.25" customHeight="1" x14ac:dyDescent="0.25">
      <c r="A807" s="55"/>
      <c r="B807" s="16"/>
      <c r="C807" s="16"/>
      <c r="D807" s="16"/>
    </row>
    <row r="808" spans="1:4" ht="14.25" customHeight="1" x14ac:dyDescent="0.25">
      <c r="A808" s="55"/>
      <c r="B808" s="16"/>
      <c r="C808" s="16"/>
      <c r="D808" s="16"/>
    </row>
    <row r="809" spans="1:4" ht="14.25" customHeight="1" x14ac:dyDescent="0.25">
      <c r="A809" s="55"/>
      <c r="B809" s="16"/>
      <c r="C809" s="16"/>
      <c r="D809" s="16"/>
    </row>
    <row r="810" spans="1:4" ht="14.25" customHeight="1" x14ac:dyDescent="0.25">
      <c r="A810" s="55"/>
      <c r="B810" s="16"/>
      <c r="C810" s="16"/>
      <c r="D810" s="16"/>
    </row>
    <row r="811" spans="1:4" ht="14.25" customHeight="1" x14ac:dyDescent="0.25">
      <c r="A811" s="55"/>
      <c r="B811" s="16"/>
      <c r="C811" s="16"/>
      <c r="D811" s="16"/>
    </row>
    <row r="812" spans="1:4" ht="14.25" customHeight="1" x14ac:dyDescent="0.25">
      <c r="A812" s="55"/>
      <c r="B812" s="16"/>
      <c r="C812" s="16"/>
      <c r="D812" s="16"/>
    </row>
    <row r="813" spans="1:4" ht="14.25" customHeight="1" x14ac:dyDescent="0.25">
      <c r="A813" s="55"/>
      <c r="B813" s="16"/>
      <c r="C813" s="16"/>
      <c r="D813" s="16"/>
    </row>
    <row r="814" spans="1:4" ht="14.25" customHeight="1" x14ac:dyDescent="0.25">
      <c r="A814" s="55"/>
      <c r="B814" s="16"/>
      <c r="C814" s="16"/>
      <c r="D814" s="16"/>
    </row>
    <row r="815" spans="1:4" ht="14.25" customHeight="1" x14ac:dyDescent="0.25">
      <c r="A815" s="55"/>
      <c r="B815" s="16"/>
      <c r="C815" s="16"/>
      <c r="D815" s="16"/>
    </row>
    <row r="816" spans="1:4" ht="14.25" customHeight="1" x14ac:dyDescent="0.25">
      <c r="A816" s="55"/>
      <c r="B816" s="16"/>
      <c r="C816" s="16"/>
      <c r="D816" s="16"/>
    </row>
    <row r="817" spans="1:4" ht="14.25" customHeight="1" x14ac:dyDescent="0.25">
      <c r="A817" s="55"/>
      <c r="B817" s="16"/>
      <c r="C817" s="16"/>
      <c r="D817" s="16"/>
    </row>
    <row r="818" spans="1:4" ht="14.25" customHeight="1" x14ac:dyDescent="0.25">
      <c r="A818" s="55"/>
      <c r="B818" s="16"/>
      <c r="C818" s="16"/>
      <c r="D818" s="16"/>
    </row>
    <row r="819" spans="1:4" ht="14.25" customHeight="1" x14ac:dyDescent="0.25">
      <c r="A819" s="55"/>
      <c r="B819" s="16"/>
      <c r="C819" s="16"/>
      <c r="D819" s="16"/>
    </row>
    <row r="820" spans="1:4" ht="14.25" customHeight="1" x14ac:dyDescent="0.25">
      <c r="A820" s="55"/>
      <c r="B820" s="16"/>
      <c r="C820" s="16"/>
      <c r="D820" s="16"/>
    </row>
    <row r="821" spans="1:4" ht="14.25" customHeight="1" x14ac:dyDescent="0.25">
      <c r="A821" s="55"/>
      <c r="B821" s="16"/>
      <c r="C821" s="16"/>
      <c r="D821" s="16"/>
    </row>
    <row r="822" spans="1:4" ht="14.25" customHeight="1" x14ac:dyDescent="0.25">
      <c r="A822" s="55"/>
      <c r="B822" s="16"/>
      <c r="C822" s="16"/>
      <c r="D822" s="16"/>
    </row>
    <row r="823" spans="1:4" ht="14.25" customHeight="1" x14ac:dyDescent="0.25">
      <c r="A823" s="55"/>
      <c r="B823" s="16"/>
      <c r="C823" s="16"/>
      <c r="D823" s="16"/>
    </row>
    <row r="824" spans="1:4" ht="14.25" customHeight="1" x14ac:dyDescent="0.25">
      <c r="A824" s="55"/>
      <c r="B824" s="16"/>
      <c r="C824" s="16"/>
      <c r="D824" s="16"/>
    </row>
    <row r="825" spans="1:4" ht="14.25" customHeight="1" x14ac:dyDescent="0.25">
      <c r="A825" s="55"/>
      <c r="B825" s="16"/>
      <c r="C825" s="16"/>
      <c r="D825" s="16"/>
    </row>
    <row r="826" spans="1:4" ht="14.25" customHeight="1" x14ac:dyDescent="0.25">
      <c r="A826" s="55"/>
      <c r="B826" s="16"/>
      <c r="C826" s="16"/>
      <c r="D826" s="16"/>
    </row>
    <row r="827" spans="1:4" ht="14.25" customHeight="1" x14ac:dyDescent="0.25">
      <c r="A827" s="55"/>
      <c r="B827" s="16"/>
      <c r="C827" s="16"/>
      <c r="D827" s="16"/>
    </row>
    <row r="828" spans="1:4" ht="14.25" customHeight="1" x14ac:dyDescent="0.25">
      <c r="A828" s="55"/>
      <c r="B828" s="16"/>
      <c r="C828" s="16"/>
      <c r="D828" s="16"/>
    </row>
    <row r="829" spans="1:4" ht="14.25" customHeight="1" x14ac:dyDescent="0.25">
      <c r="A829" s="55"/>
      <c r="B829" s="16"/>
      <c r="C829" s="16"/>
      <c r="D829" s="16"/>
    </row>
    <row r="830" spans="1:4" ht="14.25" customHeight="1" x14ac:dyDescent="0.25">
      <c r="A830" s="55"/>
      <c r="B830" s="16"/>
      <c r="C830" s="16"/>
      <c r="D830" s="16"/>
    </row>
    <row r="831" spans="1:4" ht="14.25" customHeight="1" x14ac:dyDescent="0.25">
      <c r="A831" s="55"/>
      <c r="B831" s="16"/>
      <c r="C831" s="16"/>
      <c r="D831" s="16"/>
    </row>
    <row r="832" spans="1:4" ht="14.25" customHeight="1" x14ac:dyDescent="0.25">
      <c r="A832" s="55"/>
      <c r="B832" s="16"/>
      <c r="C832" s="16"/>
      <c r="D832" s="16"/>
    </row>
    <row r="833" spans="1:4" ht="14.25" customHeight="1" x14ac:dyDescent="0.25">
      <c r="A833" s="55"/>
      <c r="B833" s="16"/>
      <c r="C833" s="16"/>
      <c r="D833" s="16"/>
    </row>
    <row r="834" spans="1:4" ht="14.25" customHeight="1" x14ac:dyDescent="0.25">
      <c r="A834" s="55"/>
      <c r="B834" s="16"/>
      <c r="C834" s="16"/>
      <c r="D834" s="16"/>
    </row>
    <row r="835" spans="1:4" ht="14.25" customHeight="1" x14ac:dyDescent="0.25">
      <c r="A835" s="55"/>
      <c r="B835" s="16"/>
      <c r="C835" s="16"/>
      <c r="D835" s="16"/>
    </row>
    <row r="836" spans="1:4" ht="14.25" customHeight="1" x14ac:dyDescent="0.25">
      <c r="A836" s="55"/>
      <c r="B836" s="16"/>
      <c r="C836" s="16"/>
      <c r="D836" s="16"/>
    </row>
    <row r="837" spans="1:4" ht="14.25" customHeight="1" x14ac:dyDescent="0.25">
      <c r="A837" s="55"/>
      <c r="B837" s="16"/>
      <c r="C837" s="16"/>
      <c r="D837" s="16"/>
    </row>
    <row r="838" spans="1:4" ht="14.25" customHeight="1" x14ac:dyDescent="0.25">
      <c r="A838" s="55"/>
      <c r="B838" s="16"/>
      <c r="C838" s="16"/>
      <c r="D838" s="16"/>
    </row>
    <row r="839" spans="1:4" ht="14.25" customHeight="1" x14ac:dyDescent="0.25">
      <c r="A839" s="55"/>
      <c r="B839" s="16"/>
      <c r="C839" s="16"/>
      <c r="D839" s="16"/>
    </row>
    <row r="840" spans="1:4" ht="14.25" customHeight="1" x14ac:dyDescent="0.25">
      <c r="A840" s="55"/>
      <c r="B840" s="16"/>
      <c r="C840" s="16"/>
      <c r="D840" s="16"/>
    </row>
    <row r="841" spans="1:4" ht="14.25" customHeight="1" x14ac:dyDescent="0.25">
      <c r="A841" s="55"/>
      <c r="B841" s="16"/>
      <c r="C841" s="16"/>
      <c r="D841" s="16"/>
    </row>
    <row r="842" spans="1:4" ht="14.25" customHeight="1" x14ac:dyDescent="0.25">
      <c r="A842" s="55"/>
      <c r="B842" s="16"/>
      <c r="C842" s="16"/>
      <c r="D842" s="16"/>
    </row>
    <row r="843" spans="1:4" ht="14.25" customHeight="1" x14ac:dyDescent="0.25">
      <c r="A843" s="55"/>
      <c r="B843" s="16"/>
      <c r="C843" s="16"/>
      <c r="D843" s="16"/>
    </row>
    <row r="844" spans="1:4" ht="14.25" customHeight="1" x14ac:dyDescent="0.25">
      <c r="A844" s="55"/>
      <c r="B844" s="16"/>
      <c r="C844" s="16"/>
      <c r="D844" s="16"/>
    </row>
    <row r="845" spans="1:4" ht="14.25" customHeight="1" x14ac:dyDescent="0.25">
      <c r="A845" s="55"/>
      <c r="B845" s="16"/>
      <c r="C845" s="16"/>
      <c r="D845" s="16"/>
    </row>
    <row r="846" spans="1:4" ht="14.25" customHeight="1" x14ac:dyDescent="0.25">
      <c r="A846" s="55"/>
      <c r="B846" s="16"/>
      <c r="C846" s="16"/>
      <c r="D846" s="16"/>
    </row>
    <row r="847" spans="1:4" ht="14.25" customHeight="1" x14ac:dyDescent="0.25">
      <c r="A847" s="55"/>
      <c r="B847" s="16"/>
      <c r="C847" s="16"/>
      <c r="D847" s="16"/>
    </row>
    <row r="848" spans="1:4" ht="14.25" customHeight="1" x14ac:dyDescent="0.25">
      <c r="A848" s="55"/>
      <c r="B848" s="16"/>
      <c r="C848" s="16"/>
      <c r="D848" s="16"/>
    </row>
    <row r="849" spans="1:4" ht="14.25" customHeight="1" x14ac:dyDescent="0.25">
      <c r="A849" s="55"/>
      <c r="B849" s="16"/>
      <c r="C849" s="16"/>
      <c r="D849" s="16"/>
    </row>
    <row r="850" spans="1:4" ht="14.25" customHeight="1" x14ac:dyDescent="0.25">
      <c r="A850" s="55"/>
      <c r="B850" s="16"/>
      <c r="C850" s="16"/>
      <c r="D850" s="16"/>
    </row>
    <row r="851" spans="1:4" ht="14.25" customHeight="1" x14ac:dyDescent="0.25">
      <c r="A851" s="55"/>
      <c r="B851" s="16"/>
      <c r="C851" s="16"/>
      <c r="D851" s="16"/>
    </row>
    <row r="852" spans="1:4" ht="14.25" customHeight="1" x14ac:dyDescent="0.25">
      <c r="A852" s="55"/>
      <c r="B852" s="16"/>
      <c r="C852" s="16"/>
      <c r="D852" s="16"/>
    </row>
    <row r="853" spans="1:4" ht="14.25" customHeight="1" x14ac:dyDescent="0.25">
      <c r="A853" s="55"/>
      <c r="B853" s="16"/>
      <c r="C853" s="16"/>
      <c r="D853" s="16"/>
    </row>
    <row r="854" spans="1:4" ht="14.25" customHeight="1" x14ac:dyDescent="0.25">
      <c r="A854" s="55"/>
      <c r="B854" s="16"/>
      <c r="C854" s="16"/>
      <c r="D854" s="16"/>
    </row>
    <row r="855" spans="1:4" ht="14.25" customHeight="1" x14ac:dyDescent="0.25">
      <c r="A855" s="55"/>
      <c r="B855" s="16"/>
      <c r="C855" s="16"/>
      <c r="D855" s="16"/>
    </row>
    <row r="856" spans="1:4" ht="14.25" customHeight="1" x14ac:dyDescent="0.25">
      <c r="A856" s="55"/>
      <c r="B856" s="16"/>
      <c r="C856" s="16"/>
      <c r="D856" s="16"/>
    </row>
    <row r="857" spans="1:4" ht="14.25" customHeight="1" x14ac:dyDescent="0.25">
      <c r="A857" s="55"/>
      <c r="B857" s="16"/>
      <c r="C857" s="16"/>
      <c r="D857" s="16"/>
    </row>
    <row r="858" spans="1:4" ht="14.25" customHeight="1" x14ac:dyDescent="0.25">
      <c r="A858" s="55"/>
      <c r="B858" s="16"/>
      <c r="C858" s="16"/>
      <c r="D858" s="16"/>
    </row>
    <row r="859" spans="1:4" ht="14.25" customHeight="1" x14ac:dyDescent="0.25">
      <c r="A859" s="55"/>
      <c r="B859" s="16"/>
      <c r="C859" s="16"/>
      <c r="D859" s="16"/>
    </row>
    <row r="860" spans="1:4" ht="14.25" customHeight="1" x14ac:dyDescent="0.25">
      <c r="A860" s="55"/>
      <c r="B860" s="16"/>
      <c r="C860" s="16"/>
      <c r="D860" s="16"/>
    </row>
    <row r="861" spans="1:4" ht="14.25" customHeight="1" x14ac:dyDescent="0.25">
      <c r="A861" s="55"/>
      <c r="B861" s="16"/>
      <c r="C861" s="16"/>
      <c r="D861" s="16"/>
    </row>
    <row r="862" spans="1:4" ht="14.25" customHeight="1" x14ac:dyDescent="0.25">
      <c r="A862" s="55"/>
      <c r="B862" s="16"/>
      <c r="C862" s="16"/>
      <c r="D862" s="16"/>
    </row>
    <row r="863" spans="1:4" ht="14.25" customHeight="1" x14ac:dyDescent="0.25">
      <c r="A863" s="55"/>
      <c r="B863" s="16"/>
      <c r="C863" s="16"/>
      <c r="D863" s="16"/>
    </row>
    <row r="864" spans="1:4" ht="14.25" customHeight="1" x14ac:dyDescent="0.25">
      <c r="A864" s="55"/>
      <c r="B864" s="16"/>
      <c r="C864" s="16"/>
      <c r="D864" s="16"/>
    </row>
    <row r="865" spans="1:4" ht="14.25" customHeight="1" x14ac:dyDescent="0.25">
      <c r="A865" s="55"/>
      <c r="B865" s="16"/>
      <c r="C865" s="16"/>
      <c r="D865" s="16"/>
    </row>
    <row r="866" spans="1:4" ht="14.25" customHeight="1" x14ac:dyDescent="0.25">
      <c r="A866" s="55"/>
      <c r="B866" s="16"/>
      <c r="C866" s="16"/>
      <c r="D866" s="16"/>
    </row>
    <row r="867" spans="1:4" ht="14.25" customHeight="1" x14ac:dyDescent="0.25">
      <c r="A867" s="55"/>
      <c r="B867" s="16"/>
      <c r="C867" s="16"/>
      <c r="D867" s="16"/>
    </row>
    <row r="868" spans="1:4" ht="14.25" customHeight="1" x14ac:dyDescent="0.25">
      <c r="A868" s="55"/>
      <c r="B868" s="16"/>
      <c r="C868" s="16"/>
      <c r="D868" s="16"/>
    </row>
    <row r="869" spans="1:4" ht="14.25" customHeight="1" x14ac:dyDescent="0.25">
      <c r="A869" s="55"/>
      <c r="B869" s="16"/>
      <c r="C869" s="16"/>
      <c r="D869" s="16"/>
    </row>
    <row r="870" spans="1:4" ht="14.25" customHeight="1" x14ac:dyDescent="0.25">
      <c r="A870" s="55"/>
      <c r="B870" s="16"/>
      <c r="C870" s="16"/>
      <c r="D870" s="16"/>
    </row>
    <row r="871" spans="1:4" ht="14.25" customHeight="1" x14ac:dyDescent="0.25">
      <c r="A871" s="55"/>
      <c r="B871" s="16"/>
      <c r="C871" s="16"/>
      <c r="D871" s="16"/>
    </row>
    <row r="872" spans="1:4" ht="14.25" customHeight="1" x14ac:dyDescent="0.25">
      <c r="A872" s="55"/>
      <c r="B872" s="16"/>
      <c r="C872" s="16"/>
      <c r="D872" s="16"/>
    </row>
    <row r="873" spans="1:4" ht="14.25" customHeight="1" x14ac:dyDescent="0.25">
      <c r="A873" s="55"/>
      <c r="B873" s="16"/>
      <c r="C873" s="16"/>
      <c r="D873" s="16"/>
    </row>
    <row r="874" spans="1:4" ht="14.25" customHeight="1" x14ac:dyDescent="0.25">
      <c r="A874" s="55"/>
      <c r="B874" s="16"/>
      <c r="C874" s="16"/>
      <c r="D874" s="16"/>
    </row>
    <row r="875" spans="1:4" ht="14.25" customHeight="1" x14ac:dyDescent="0.25">
      <c r="A875" s="55"/>
      <c r="B875" s="16"/>
      <c r="C875" s="16"/>
      <c r="D875" s="16"/>
    </row>
    <row r="876" spans="1:4" ht="14.25" customHeight="1" x14ac:dyDescent="0.25">
      <c r="A876" s="55"/>
      <c r="B876" s="16"/>
      <c r="C876" s="16"/>
      <c r="D876" s="16"/>
    </row>
    <row r="877" spans="1:4" ht="14.25" customHeight="1" x14ac:dyDescent="0.25">
      <c r="A877" s="55"/>
      <c r="B877" s="16"/>
      <c r="C877" s="16"/>
      <c r="D877" s="16"/>
    </row>
    <row r="878" spans="1:4" ht="14.25" customHeight="1" x14ac:dyDescent="0.25">
      <c r="A878" s="55"/>
      <c r="B878" s="16"/>
      <c r="C878" s="16"/>
      <c r="D878" s="16"/>
    </row>
    <row r="879" spans="1:4" ht="14.25" customHeight="1" x14ac:dyDescent="0.25">
      <c r="A879" s="55"/>
      <c r="B879" s="16"/>
      <c r="C879" s="16"/>
      <c r="D879" s="16"/>
    </row>
    <row r="880" spans="1:4" ht="14.25" customHeight="1" x14ac:dyDescent="0.25">
      <c r="A880" s="55"/>
      <c r="B880" s="16"/>
      <c r="C880" s="16"/>
      <c r="D880" s="16"/>
    </row>
    <row r="881" spans="1:4" ht="14.25" customHeight="1" x14ac:dyDescent="0.25">
      <c r="A881" s="55"/>
      <c r="B881" s="16"/>
      <c r="C881" s="16"/>
      <c r="D881" s="16"/>
    </row>
    <row r="882" spans="1:4" ht="14.25" customHeight="1" x14ac:dyDescent="0.25">
      <c r="A882" s="55"/>
      <c r="B882" s="16"/>
      <c r="C882" s="16"/>
      <c r="D882" s="16"/>
    </row>
    <row r="883" spans="1:4" ht="14.25" customHeight="1" x14ac:dyDescent="0.25">
      <c r="A883" s="55"/>
      <c r="B883" s="16"/>
      <c r="C883" s="16"/>
      <c r="D883" s="16"/>
    </row>
    <row r="884" spans="1:4" ht="14.25" customHeight="1" x14ac:dyDescent="0.25">
      <c r="A884" s="55"/>
      <c r="B884" s="16"/>
      <c r="C884" s="16"/>
      <c r="D884" s="16"/>
    </row>
    <row r="885" spans="1:4" ht="14.25" customHeight="1" x14ac:dyDescent="0.25">
      <c r="A885" s="55"/>
      <c r="B885" s="16"/>
      <c r="C885" s="16"/>
      <c r="D885" s="16"/>
    </row>
    <row r="886" spans="1:4" ht="14.25" customHeight="1" x14ac:dyDescent="0.25">
      <c r="A886" s="55"/>
      <c r="B886" s="16"/>
      <c r="C886" s="16"/>
      <c r="D886" s="16"/>
    </row>
    <row r="887" spans="1:4" ht="14.25" customHeight="1" x14ac:dyDescent="0.25">
      <c r="A887" s="55"/>
      <c r="B887" s="16"/>
      <c r="C887" s="16"/>
      <c r="D887" s="16"/>
    </row>
    <row r="888" spans="1:4" ht="14.25" customHeight="1" x14ac:dyDescent="0.25">
      <c r="A888" s="55"/>
      <c r="B888" s="16"/>
      <c r="C888" s="16"/>
      <c r="D888" s="16"/>
    </row>
    <row r="889" spans="1:4" ht="14.25" customHeight="1" x14ac:dyDescent="0.25">
      <c r="A889" s="55"/>
      <c r="B889" s="16"/>
      <c r="C889" s="16"/>
      <c r="D889" s="16"/>
    </row>
    <row r="890" spans="1:4" ht="14.25" customHeight="1" x14ac:dyDescent="0.25">
      <c r="A890" s="55"/>
      <c r="B890" s="16"/>
      <c r="C890" s="16"/>
      <c r="D890" s="16"/>
    </row>
    <row r="891" spans="1:4" ht="14.25" customHeight="1" x14ac:dyDescent="0.25">
      <c r="A891" s="55"/>
      <c r="B891" s="16"/>
      <c r="C891" s="16"/>
      <c r="D891" s="16"/>
    </row>
    <row r="892" spans="1:4" ht="14.25" customHeight="1" x14ac:dyDescent="0.25">
      <c r="A892" s="55"/>
      <c r="B892" s="16"/>
      <c r="C892" s="16"/>
      <c r="D892" s="16"/>
    </row>
    <row r="893" spans="1:4" ht="14.25" customHeight="1" x14ac:dyDescent="0.25">
      <c r="A893" s="55"/>
      <c r="B893" s="16"/>
      <c r="C893" s="16"/>
      <c r="D893" s="16"/>
    </row>
    <row r="894" spans="1:4" ht="14.25" customHeight="1" x14ac:dyDescent="0.25">
      <c r="A894" s="55"/>
      <c r="B894" s="16"/>
      <c r="C894" s="16"/>
      <c r="D894" s="16"/>
    </row>
    <row r="895" spans="1:4" ht="14.25" customHeight="1" x14ac:dyDescent="0.25">
      <c r="A895" s="55"/>
      <c r="B895" s="16"/>
      <c r="C895" s="16"/>
      <c r="D895" s="16"/>
    </row>
    <row r="896" spans="1:4" ht="14.25" customHeight="1" x14ac:dyDescent="0.25">
      <c r="A896" s="55"/>
      <c r="B896" s="16"/>
      <c r="C896" s="16"/>
      <c r="D896" s="16"/>
    </row>
    <row r="897" spans="1:4" ht="14.25" customHeight="1" x14ac:dyDescent="0.25">
      <c r="A897" s="55"/>
      <c r="B897" s="16"/>
      <c r="C897" s="16"/>
      <c r="D897" s="16"/>
    </row>
    <row r="898" spans="1:4" ht="14.25" customHeight="1" x14ac:dyDescent="0.25">
      <c r="A898" s="55"/>
      <c r="B898" s="16"/>
      <c r="C898" s="16"/>
      <c r="D898" s="16"/>
    </row>
    <row r="899" spans="1:4" ht="14.25" customHeight="1" x14ac:dyDescent="0.25">
      <c r="A899" s="55"/>
      <c r="B899" s="16"/>
      <c r="C899" s="16"/>
      <c r="D899" s="16"/>
    </row>
    <row r="900" spans="1:4" ht="14.25" customHeight="1" x14ac:dyDescent="0.25">
      <c r="A900" s="55"/>
      <c r="B900" s="16"/>
      <c r="C900" s="16"/>
      <c r="D900" s="16"/>
    </row>
    <row r="901" spans="1:4" ht="14.25" customHeight="1" x14ac:dyDescent="0.25">
      <c r="A901" s="55"/>
      <c r="B901" s="16"/>
      <c r="C901" s="16"/>
      <c r="D901" s="16"/>
    </row>
    <row r="902" spans="1:4" ht="14.25" customHeight="1" x14ac:dyDescent="0.25">
      <c r="A902" s="55"/>
      <c r="B902" s="16"/>
      <c r="C902" s="16"/>
      <c r="D902" s="16"/>
    </row>
    <row r="903" spans="1:4" ht="14.25" customHeight="1" x14ac:dyDescent="0.25">
      <c r="A903" s="55"/>
      <c r="B903" s="16"/>
      <c r="C903" s="16"/>
      <c r="D903" s="16"/>
    </row>
    <row r="904" spans="1:4" ht="14.25" customHeight="1" x14ac:dyDescent="0.25">
      <c r="A904" s="55"/>
      <c r="B904" s="16"/>
      <c r="C904" s="16"/>
      <c r="D904" s="16"/>
    </row>
    <row r="905" spans="1:4" ht="14.25" customHeight="1" x14ac:dyDescent="0.25">
      <c r="A905" s="55"/>
      <c r="B905" s="16"/>
      <c r="C905" s="16"/>
      <c r="D905" s="16"/>
    </row>
    <row r="906" spans="1:4" ht="14.25" customHeight="1" x14ac:dyDescent="0.25">
      <c r="A906" s="55"/>
      <c r="B906" s="16"/>
      <c r="C906" s="16"/>
      <c r="D906" s="16"/>
    </row>
    <row r="907" spans="1:4" ht="14.25" customHeight="1" x14ac:dyDescent="0.25">
      <c r="A907" s="55"/>
      <c r="B907" s="16"/>
      <c r="C907" s="16"/>
      <c r="D907" s="16"/>
    </row>
    <row r="908" spans="1:4" ht="14.25" customHeight="1" x14ac:dyDescent="0.25">
      <c r="A908" s="55"/>
      <c r="B908" s="16"/>
      <c r="C908" s="16"/>
      <c r="D908" s="16"/>
    </row>
    <row r="909" spans="1:4" ht="14.25" customHeight="1" x14ac:dyDescent="0.25">
      <c r="A909" s="55"/>
      <c r="B909" s="16"/>
      <c r="C909" s="16"/>
      <c r="D909" s="16"/>
    </row>
    <row r="910" spans="1:4" ht="14.25" customHeight="1" x14ac:dyDescent="0.25">
      <c r="A910" s="55"/>
      <c r="B910" s="16"/>
      <c r="C910" s="16"/>
      <c r="D910" s="16"/>
    </row>
    <row r="911" spans="1:4" ht="14.25" customHeight="1" x14ac:dyDescent="0.25">
      <c r="A911" s="55"/>
      <c r="B911" s="16"/>
      <c r="C911" s="16"/>
      <c r="D911" s="16"/>
    </row>
    <row r="912" spans="1:4" ht="14.25" customHeight="1" x14ac:dyDescent="0.25">
      <c r="A912" s="55"/>
      <c r="B912" s="16"/>
      <c r="C912" s="16"/>
      <c r="D912" s="16"/>
    </row>
    <row r="913" spans="1:4" ht="14.25" customHeight="1" x14ac:dyDescent="0.25">
      <c r="A913" s="55"/>
      <c r="B913" s="16"/>
      <c r="C913" s="16"/>
      <c r="D913" s="16"/>
    </row>
    <row r="914" spans="1:4" ht="14.25" customHeight="1" x14ac:dyDescent="0.25">
      <c r="A914" s="55"/>
      <c r="B914" s="16"/>
      <c r="C914" s="16"/>
      <c r="D914" s="16"/>
    </row>
    <row r="915" spans="1:4" ht="14.25" customHeight="1" x14ac:dyDescent="0.25">
      <c r="A915" s="55"/>
      <c r="B915" s="16"/>
      <c r="C915" s="16"/>
      <c r="D915" s="16"/>
    </row>
    <row r="916" spans="1:4" ht="14.25" customHeight="1" x14ac:dyDescent="0.25">
      <c r="A916" s="55"/>
      <c r="B916" s="16"/>
      <c r="C916" s="16"/>
      <c r="D916" s="16"/>
    </row>
    <row r="917" spans="1:4" ht="14.25" customHeight="1" x14ac:dyDescent="0.25">
      <c r="A917" s="55"/>
      <c r="B917" s="16"/>
      <c r="C917" s="16"/>
      <c r="D917" s="16"/>
    </row>
    <row r="918" spans="1:4" ht="14.25" customHeight="1" x14ac:dyDescent="0.25">
      <c r="A918" s="55"/>
      <c r="B918" s="16"/>
      <c r="C918" s="16"/>
      <c r="D918" s="16"/>
    </row>
    <row r="919" spans="1:4" ht="14.25" customHeight="1" x14ac:dyDescent="0.25">
      <c r="A919" s="55"/>
      <c r="B919" s="16"/>
      <c r="C919" s="16"/>
      <c r="D919" s="16"/>
    </row>
    <row r="920" spans="1:4" ht="14.25" customHeight="1" x14ac:dyDescent="0.25">
      <c r="A920" s="55"/>
      <c r="B920" s="16"/>
      <c r="C920" s="16"/>
      <c r="D920" s="16"/>
    </row>
    <row r="921" spans="1:4" ht="14.25" customHeight="1" x14ac:dyDescent="0.25">
      <c r="A921" s="55"/>
      <c r="B921" s="16"/>
      <c r="C921" s="16"/>
      <c r="D921" s="16"/>
    </row>
    <row r="922" spans="1:4" ht="14.25" customHeight="1" x14ac:dyDescent="0.25">
      <c r="A922" s="55"/>
      <c r="B922" s="16"/>
      <c r="C922" s="16"/>
      <c r="D922" s="16"/>
    </row>
    <row r="923" spans="1:4" ht="14.25" customHeight="1" x14ac:dyDescent="0.25">
      <c r="A923" s="55"/>
      <c r="B923" s="16"/>
      <c r="C923" s="16"/>
      <c r="D923" s="16"/>
    </row>
    <row r="924" spans="1:4" ht="14.25" customHeight="1" x14ac:dyDescent="0.25">
      <c r="A924" s="55"/>
      <c r="B924" s="16"/>
      <c r="C924" s="16"/>
      <c r="D924" s="16"/>
    </row>
    <row r="925" spans="1:4" ht="14.25" customHeight="1" x14ac:dyDescent="0.25">
      <c r="A925" s="55"/>
      <c r="B925" s="16"/>
      <c r="C925" s="16"/>
      <c r="D925" s="16"/>
    </row>
    <row r="926" spans="1:4" ht="14.25" customHeight="1" x14ac:dyDescent="0.25">
      <c r="A926" s="55"/>
      <c r="B926" s="16"/>
      <c r="C926" s="16"/>
      <c r="D926" s="16"/>
    </row>
    <row r="927" spans="1:4" ht="14.25" customHeight="1" x14ac:dyDescent="0.25">
      <c r="A927" s="55"/>
      <c r="B927" s="16"/>
      <c r="C927" s="16"/>
      <c r="D927" s="16"/>
    </row>
    <row r="928" spans="1:4" ht="14.25" customHeight="1" x14ac:dyDescent="0.25">
      <c r="A928" s="55"/>
      <c r="B928" s="16"/>
      <c r="C928" s="16"/>
      <c r="D928" s="16"/>
    </row>
    <row r="929" spans="1:4" ht="14.25" customHeight="1" x14ac:dyDescent="0.25">
      <c r="A929" s="55"/>
      <c r="B929" s="16"/>
      <c r="C929" s="16"/>
      <c r="D929" s="16"/>
    </row>
    <row r="930" spans="1:4" ht="14.25" customHeight="1" x14ac:dyDescent="0.25">
      <c r="A930" s="55"/>
      <c r="B930" s="16"/>
      <c r="C930" s="16"/>
      <c r="D930" s="16"/>
    </row>
    <row r="931" spans="1:4" ht="14.25" customHeight="1" x14ac:dyDescent="0.25">
      <c r="A931" s="55"/>
      <c r="B931" s="16"/>
      <c r="C931" s="16"/>
      <c r="D931" s="16"/>
    </row>
    <row r="932" spans="1:4" ht="14.25" customHeight="1" x14ac:dyDescent="0.25">
      <c r="A932" s="55"/>
      <c r="B932" s="16"/>
      <c r="C932" s="16"/>
      <c r="D932" s="16"/>
    </row>
    <row r="933" spans="1:4" ht="14.25" customHeight="1" x14ac:dyDescent="0.25">
      <c r="A933" s="55"/>
      <c r="B933" s="16"/>
      <c r="C933" s="16"/>
      <c r="D933" s="16"/>
    </row>
    <row r="934" spans="1:4" ht="14.25" customHeight="1" x14ac:dyDescent="0.25">
      <c r="A934" s="55"/>
      <c r="B934" s="16"/>
      <c r="C934" s="16"/>
      <c r="D934" s="16"/>
    </row>
    <row r="935" spans="1:4" ht="14.25" customHeight="1" x14ac:dyDescent="0.25">
      <c r="A935" s="55"/>
      <c r="B935" s="16"/>
      <c r="C935" s="16"/>
      <c r="D935" s="16"/>
    </row>
    <row r="936" spans="1:4" ht="14.25" customHeight="1" x14ac:dyDescent="0.25">
      <c r="A936" s="55"/>
      <c r="B936" s="16"/>
      <c r="C936" s="16"/>
      <c r="D936" s="16"/>
    </row>
    <row r="937" spans="1:4" ht="14.25" customHeight="1" x14ac:dyDescent="0.25">
      <c r="A937" s="55"/>
      <c r="B937" s="16"/>
      <c r="C937" s="16"/>
      <c r="D937" s="16"/>
    </row>
    <row r="938" spans="1:4" ht="14.25" customHeight="1" x14ac:dyDescent="0.25">
      <c r="A938" s="55"/>
      <c r="B938" s="16"/>
      <c r="C938" s="16"/>
      <c r="D938" s="16"/>
    </row>
    <row r="939" spans="1:4" ht="14.25" customHeight="1" x14ac:dyDescent="0.25">
      <c r="A939" s="55"/>
      <c r="B939" s="16"/>
      <c r="C939" s="16"/>
      <c r="D939" s="16"/>
    </row>
    <row r="940" spans="1:4" ht="14.25" customHeight="1" x14ac:dyDescent="0.25">
      <c r="A940" s="55"/>
      <c r="B940" s="16"/>
      <c r="C940" s="16"/>
      <c r="D940" s="16"/>
    </row>
    <row r="941" spans="1:4" ht="14.25" customHeight="1" x14ac:dyDescent="0.25">
      <c r="A941" s="55"/>
      <c r="B941" s="16"/>
      <c r="C941" s="16"/>
      <c r="D941" s="16"/>
    </row>
    <row r="942" spans="1:4" ht="14.25" customHeight="1" x14ac:dyDescent="0.25">
      <c r="A942" s="55"/>
      <c r="B942" s="16"/>
      <c r="C942" s="16"/>
      <c r="D942" s="16"/>
    </row>
    <row r="943" spans="1:4" ht="14.25" customHeight="1" x14ac:dyDescent="0.25">
      <c r="A943" s="55"/>
      <c r="B943" s="16"/>
      <c r="C943" s="16"/>
      <c r="D943" s="16"/>
    </row>
    <row r="944" spans="1:4" ht="14.25" customHeight="1" x14ac:dyDescent="0.25">
      <c r="A944" s="55"/>
      <c r="B944" s="16"/>
      <c r="C944" s="16"/>
      <c r="D944" s="16"/>
    </row>
    <row r="945" spans="1:4" ht="14.25" customHeight="1" x14ac:dyDescent="0.25">
      <c r="A945" s="55"/>
      <c r="B945" s="16"/>
      <c r="C945" s="16"/>
      <c r="D945" s="16"/>
    </row>
    <row r="946" spans="1:4" ht="14.25" customHeight="1" x14ac:dyDescent="0.25">
      <c r="A946" s="55"/>
      <c r="B946" s="16"/>
      <c r="C946" s="16"/>
      <c r="D946" s="16"/>
    </row>
    <row r="947" spans="1:4" ht="14.25" customHeight="1" x14ac:dyDescent="0.25">
      <c r="A947" s="55"/>
      <c r="B947" s="16"/>
      <c r="C947" s="16"/>
      <c r="D947" s="16"/>
    </row>
    <row r="948" spans="1:4" ht="14.25" customHeight="1" x14ac:dyDescent="0.25">
      <c r="A948" s="55"/>
      <c r="B948" s="16"/>
      <c r="C948" s="16"/>
      <c r="D948" s="16"/>
    </row>
    <row r="949" spans="1:4" ht="14.25" customHeight="1" x14ac:dyDescent="0.25">
      <c r="A949" s="55"/>
      <c r="B949" s="16"/>
      <c r="C949" s="16"/>
      <c r="D949" s="16"/>
    </row>
    <row r="950" spans="1:4" ht="14.25" customHeight="1" x14ac:dyDescent="0.25">
      <c r="A950" s="55"/>
      <c r="B950" s="16"/>
      <c r="C950" s="16"/>
      <c r="D950" s="16"/>
    </row>
    <row r="951" spans="1:4" ht="14.25" customHeight="1" x14ac:dyDescent="0.25">
      <c r="A951" s="55"/>
      <c r="B951" s="16"/>
      <c r="C951" s="16"/>
      <c r="D951" s="16"/>
    </row>
    <row r="952" spans="1:4" ht="14.25" customHeight="1" x14ac:dyDescent="0.25">
      <c r="A952" s="55"/>
      <c r="B952" s="16"/>
      <c r="C952" s="16"/>
      <c r="D952" s="16"/>
    </row>
    <row r="953" spans="1:4" ht="14.25" customHeight="1" x14ac:dyDescent="0.25">
      <c r="A953" s="55"/>
      <c r="B953" s="16"/>
      <c r="C953" s="16"/>
      <c r="D953" s="16"/>
    </row>
    <row r="954" spans="1:4" ht="14.25" customHeight="1" x14ac:dyDescent="0.25">
      <c r="A954" s="55"/>
      <c r="B954" s="16"/>
      <c r="C954" s="16"/>
      <c r="D954" s="16"/>
    </row>
    <row r="955" spans="1:4" ht="14.25" customHeight="1" x14ac:dyDescent="0.25">
      <c r="A955" s="55"/>
      <c r="B955" s="16"/>
      <c r="C955" s="16"/>
      <c r="D955" s="16"/>
    </row>
    <row r="956" spans="1:4" ht="14.25" customHeight="1" x14ac:dyDescent="0.25">
      <c r="A956" s="55"/>
      <c r="B956" s="16"/>
      <c r="C956" s="16"/>
      <c r="D956" s="16"/>
    </row>
    <row r="957" spans="1:4" ht="14.25" customHeight="1" x14ac:dyDescent="0.25">
      <c r="A957" s="55"/>
      <c r="B957" s="16"/>
      <c r="C957" s="16"/>
      <c r="D957" s="16"/>
    </row>
    <row r="958" spans="1:4" ht="14.25" customHeight="1" x14ac:dyDescent="0.25">
      <c r="A958" s="55"/>
      <c r="B958" s="16"/>
      <c r="C958" s="16"/>
      <c r="D958" s="16"/>
    </row>
    <row r="959" spans="1:4" ht="14.25" customHeight="1" x14ac:dyDescent="0.25">
      <c r="A959" s="55"/>
      <c r="B959" s="16"/>
      <c r="C959" s="16"/>
      <c r="D959" s="16"/>
    </row>
    <row r="960" spans="1:4" ht="14.25" customHeight="1" x14ac:dyDescent="0.25">
      <c r="A960" s="55"/>
      <c r="B960" s="16"/>
      <c r="C960" s="16"/>
      <c r="D960" s="16"/>
    </row>
    <row r="961" spans="1:4" ht="14.25" customHeight="1" x14ac:dyDescent="0.25">
      <c r="A961" s="55"/>
      <c r="B961" s="16"/>
      <c r="C961" s="16"/>
      <c r="D961" s="16"/>
    </row>
    <row r="962" spans="1:4" ht="14.25" customHeight="1" x14ac:dyDescent="0.25">
      <c r="A962" s="55"/>
      <c r="B962" s="16"/>
      <c r="C962" s="16"/>
      <c r="D962" s="16"/>
    </row>
    <row r="963" spans="1:4" ht="14.25" customHeight="1" x14ac:dyDescent="0.25">
      <c r="A963" s="55"/>
      <c r="B963" s="16"/>
      <c r="C963" s="16"/>
      <c r="D963" s="16"/>
    </row>
    <row r="964" spans="1:4" ht="14.25" customHeight="1" x14ac:dyDescent="0.25">
      <c r="A964" s="55"/>
      <c r="B964" s="16"/>
      <c r="C964" s="16"/>
      <c r="D964" s="16"/>
    </row>
    <row r="965" spans="1:4" ht="14.25" customHeight="1" x14ac:dyDescent="0.25">
      <c r="A965" s="55"/>
      <c r="B965" s="16"/>
      <c r="C965" s="16"/>
      <c r="D965" s="16"/>
    </row>
    <row r="966" spans="1:4" ht="14.25" customHeight="1" x14ac:dyDescent="0.25">
      <c r="A966" s="55"/>
      <c r="B966" s="16"/>
      <c r="C966" s="16"/>
      <c r="D966" s="16"/>
    </row>
    <row r="967" spans="1:4" ht="14.25" customHeight="1" x14ac:dyDescent="0.25">
      <c r="A967" s="55"/>
      <c r="B967" s="16"/>
      <c r="C967" s="16"/>
      <c r="D967" s="16"/>
    </row>
    <row r="968" spans="1:4" ht="14.25" customHeight="1" x14ac:dyDescent="0.25">
      <c r="A968" s="55"/>
      <c r="B968" s="16"/>
      <c r="C968" s="16"/>
      <c r="D968" s="16"/>
    </row>
    <row r="969" spans="1:4" ht="14.25" customHeight="1" x14ac:dyDescent="0.25">
      <c r="A969" s="55"/>
      <c r="B969" s="16"/>
      <c r="C969" s="16"/>
      <c r="D969" s="16"/>
    </row>
    <row r="970" spans="1:4" ht="14.25" customHeight="1" x14ac:dyDescent="0.25">
      <c r="A970" s="55"/>
      <c r="B970" s="16"/>
      <c r="C970" s="16"/>
      <c r="D970" s="16"/>
    </row>
    <row r="971" spans="1:4" ht="14.25" customHeight="1" x14ac:dyDescent="0.25">
      <c r="A971" s="55"/>
      <c r="B971" s="16"/>
      <c r="C971" s="16"/>
      <c r="D971" s="16"/>
    </row>
    <row r="972" spans="1:4" ht="14.25" customHeight="1" x14ac:dyDescent="0.25">
      <c r="A972" s="55"/>
      <c r="B972" s="16"/>
      <c r="C972" s="16"/>
      <c r="D972" s="16"/>
    </row>
    <row r="973" spans="1:4" ht="14.25" customHeight="1" x14ac:dyDescent="0.25">
      <c r="A973" s="55"/>
      <c r="B973" s="16"/>
      <c r="C973" s="16"/>
      <c r="D973" s="16"/>
    </row>
    <row r="974" spans="1:4" ht="14.25" customHeight="1" x14ac:dyDescent="0.25">
      <c r="A974" s="55"/>
      <c r="B974" s="16"/>
      <c r="C974" s="16"/>
      <c r="D974" s="16"/>
    </row>
    <row r="975" spans="1:4" ht="14.25" customHeight="1" x14ac:dyDescent="0.25">
      <c r="A975" s="55"/>
      <c r="B975" s="16"/>
      <c r="C975" s="16"/>
      <c r="D975" s="16"/>
    </row>
    <row r="976" spans="1:4" ht="14.25" customHeight="1" x14ac:dyDescent="0.25">
      <c r="A976" s="55"/>
      <c r="B976" s="16"/>
      <c r="C976" s="16"/>
      <c r="D976" s="16"/>
    </row>
    <row r="977" spans="1:4" ht="14.25" customHeight="1" x14ac:dyDescent="0.25">
      <c r="A977" s="55"/>
      <c r="B977" s="16"/>
      <c r="C977" s="16"/>
      <c r="D977" s="16"/>
    </row>
    <row r="978" spans="1:4" ht="14.25" customHeight="1" x14ac:dyDescent="0.25">
      <c r="A978" s="55"/>
      <c r="B978" s="16"/>
      <c r="C978" s="16"/>
      <c r="D978" s="16"/>
    </row>
    <row r="979" spans="1:4" ht="14.25" customHeight="1" x14ac:dyDescent="0.25">
      <c r="A979" s="55"/>
      <c r="B979" s="16"/>
      <c r="C979" s="16"/>
      <c r="D979" s="16"/>
    </row>
    <row r="980" spans="1:4" ht="14.25" customHeight="1" x14ac:dyDescent="0.25">
      <c r="A980" s="55"/>
      <c r="B980" s="16"/>
      <c r="C980" s="16"/>
      <c r="D980" s="16"/>
    </row>
    <row r="981" spans="1:4" ht="14.25" customHeight="1" x14ac:dyDescent="0.25">
      <c r="A981" s="55"/>
      <c r="B981" s="16"/>
      <c r="C981" s="16"/>
      <c r="D981" s="16"/>
    </row>
    <row r="982" spans="1:4" ht="14.25" customHeight="1" x14ac:dyDescent="0.25">
      <c r="A982" s="55"/>
      <c r="B982" s="16"/>
      <c r="C982" s="16"/>
      <c r="D982" s="16"/>
    </row>
    <row r="983" spans="1:4" ht="14.25" customHeight="1" x14ac:dyDescent="0.25">
      <c r="A983" s="55"/>
      <c r="B983" s="16"/>
      <c r="C983" s="16"/>
      <c r="D983" s="16"/>
    </row>
    <row r="984" spans="1:4" ht="14.25" customHeight="1" x14ac:dyDescent="0.25">
      <c r="A984" s="55"/>
      <c r="B984" s="16"/>
      <c r="C984" s="16"/>
      <c r="D984" s="16"/>
    </row>
    <row r="985" spans="1:4" ht="14.25" customHeight="1" x14ac:dyDescent="0.25">
      <c r="A985" s="55"/>
      <c r="B985" s="16"/>
      <c r="C985" s="16"/>
      <c r="D985" s="16"/>
    </row>
    <row r="986" spans="1:4" ht="14.25" customHeight="1" x14ac:dyDescent="0.25">
      <c r="A986" s="55"/>
      <c r="B986" s="16"/>
      <c r="C986" s="16"/>
      <c r="D986" s="16"/>
    </row>
    <row r="987" spans="1:4" ht="14.25" customHeight="1" x14ac:dyDescent="0.25">
      <c r="A987" s="55"/>
      <c r="B987" s="16"/>
      <c r="C987" s="16"/>
      <c r="D987" s="16"/>
    </row>
    <row r="988" spans="1:4" ht="14.25" customHeight="1" x14ac:dyDescent="0.25">
      <c r="A988" s="55"/>
      <c r="B988" s="16"/>
      <c r="C988" s="16"/>
      <c r="D988" s="16"/>
    </row>
    <row r="989" spans="1:4" ht="14.25" customHeight="1" x14ac:dyDescent="0.25">
      <c r="A989" s="55"/>
      <c r="B989" s="16"/>
      <c r="C989" s="16"/>
      <c r="D989" s="16"/>
    </row>
    <row r="990" spans="1:4" ht="14.25" customHeight="1" x14ac:dyDescent="0.25">
      <c r="A990" s="55"/>
      <c r="B990" s="16"/>
      <c r="C990" s="16"/>
      <c r="D990" s="16"/>
    </row>
    <row r="991" spans="1:4" ht="14.25" customHeight="1" x14ac:dyDescent="0.25">
      <c r="A991" s="55"/>
      <c r="B991" s="16"/>
      <c r="C991" s="16"/>
      <c r="D991" s="16"/>
    </row>
    <row r="992" spans="1:4" ht="14.25" customHeight="1" x14ac:dyDescent="0.25">
      <c r="A992" s="55"/>
      <c r="B992" s="16"/>
      <c r="C992" s="16"/>
      <c r="D992" s="16"/>
    </row>
    <row r="993" spans="1:4" ht="14.25" customHeight="1" x14ac:dyDescent="0.25">
      <c r="A993" s="55"/>
      <c r="B993" s="16"/>
      <c r="C993" s="16"/>
      <c r="D993" s="16"/>
    </row>
    <row r="994" spans="1:4" ht="14.25" customHeight="1" x14ac:dyDescent="0.25">
      <c r="A994" s="55"/>
      <c r="B994" s="16"/>
      <c r="C994" s="16"/>
      <c r="D994" s="16"/>
    </row>
    <row r="995" spans="1:4" ht="14.25" customHeight="1" x14ac:dyDescent="0.25">
      <c r="A995" s="55"/>
      <c r="B995" s="16"/>
      <c r="C995" s="16"/>
      <c r="D995" s="16"/>
    </row>
    <row r="996" spans="1:4" ht="14.25" customHeight="1" x14ac:dyDescent="0.25">
      <c r="A996" s="55"/>
      <c r="B996" s="16"/>
      <c r="C996" s="16"/>
      <c r="D996" s="16"/>
    </row>
    <row r="997" spans="1:4" ht="14.25" customHeight="1" x14ac:dyDescent="0.25">
      <c r="A997" s="55"/>
      <c r="B997" s="16"/>
      <c r="C997" s="16"/>
      <c r="D997" s="16"/>
    </row>
    <row r="998" spans="1:4" ht="14.25" customHeight="1" x14ac:dyDescent="0.25">
      <c r="A998" s="55"/>
      <c r="B998" s="16"/>
      <c r="C998" s="16"/>
      <c r="D998" s="16"/>
    </row>
    <row r="999" spans="1:4" ht="14.25" customHeight="1" x14ac:dyDescent="0.25">
      <c r="A999" s="55"/>
      <c r="B999" s="16"/>
      <c r="C999" s="16"/>
      <c r="D999" s="16"/>
    </row>
    <row r="1000" spans="1:4" ht="14.25" customHeight="1" x14ac:dyDescent="0.25">
      <c r="A1000" s="55"/>
      <c r="B1000" s="16"/>
      <c r="C1000" s="16"/>
      <c r="D1000" s="16"/>
    </row>
    <row r="1001" spans="1:4" ht="15" customHeight="1" x14ac:dyDescent="0.25">
      <c r="A1001" s="55"/>
      <c r="B1001" s="16"/>
      <c r="C1001" s="16"/>
      <c r="D1001" s="16"/>
    </row>
    <row r="1002" spans="1:4" ht="15" customHeight="1" x14ac:dyDescent="0.25">
      <c r="A1002" s="55"/>
      <c r="B1002" s="16"/>
      <c r="C1002" s="16"/>
      <c r="D1002" s="16"/>
    </row>
  </sheetData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Data_Validation!$P$2:$P$3</xm:f>
          </x14:formula1>
          <xm:sqref>B2:B9</xm:sqref>
        </x14:dataValidation>
        <x14:dataValidation type="list" allowBlank="1" showErrorMessage="1">
          <x14:formula1>
            <xm:f>Data_Validation!$P$2:$P$4</xm:f>
          </x14:formula1>
          <xm:sqref>B10:B107</xm:sqref>
        </x14:dataValidation>
        <x14:dataValidation type="list" allowBlank="1" showErrorMessage="1">
          <x14:formula1>
            <xm:f>Data_Validation!$B$2:$B$7</xm:f>
          </x14:formula1>
          <xm:sqref>C2:C107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27" workbookViewId="0">
      <selection activeCell="A44" sqref="A44"/>
    </sheetView>
  </sheetViews>
  <sheetFormatPr defaultColWidth="14.42578125" defaultRowHeight="15" customHeight="1" x14ac:dyDescent="0.25"/>
  <cols>
    <col min="1" max="1" width="15" customWidth="1"/>
    <col min="2" max="2" width="26.28515625" customWidth="1"/>
    <col min="3" max="3" width="32.5703125" customWidth="1"/>
    <col min="4" max="4" width="25.28515625" customWidth="1"/>
    <col min="5" max="26" width="8.7109375" customWidth="1"/>
  </cols>
  <sheetData>
    <row r="1" spans="1:26" ht="18.75" customHeight="1" x14ac:dyDescent="0.25">
      <c r="A1" s="57" t="s">
        <v>0</v>
      </c>
      <c r="B1" s="58" t="s">
        <v>178</v>
      </c>
      <c r="C1" s="59" t="s">
        <v>197</v>
      </c>
      <c r="D1" s="60" t="s">
        <v>198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14.25" customHeight="1" x14ac:dyDescent="0.25">
      <c r="A2" s="62">
        <v>45686</v>
      </c>
      <c r="B2" s="2" t="s">
        <v>16</v>
      </c>
      <c r="C2" s="63">
        <v>23</v>
      </c>
      <c r="D2" s="2" t="s">
        <v>199</v>
      </c>
    </row>
    <row r="3" spans="1:26" ht="14.25" customHeight="1" x14ac:dyDescent="0.25">
      <c r="A3" s="62">
        <v>45687</v>
      </c>
      <c r="B3" s="2" t="s">
        <v>28</v>
      </c>
      <c r="C3" s="63">
        <v>6</v>
      </c>
      <c r="D3" s="2" t="s">
        <v>199</v>
      </c>
    </row>
    <row r="4" spans="1:26" ht="14.25" customHeight="1" x14ac:dyDescent="0.25">
      <c r="A4" s="62">
        <v>45688</v>
      </c>
      <c r="B4" s="2" t="s">
        <v>28</v>
      </c>
      <c r="C4" s="63">
        <v>1</v>
      </c>
      <c r="D4" s="2" t="s">
        <v>200</v>
      </c>
    </row>
    <row r="5" spans="1:26" ht="14.25" customHeight="1" x14ac:dyDescent="0.25">
      <c r="A5" s="62">
        <v>45688</v>
      </c>
      <c r="B5" s="2" t="s">
        <v>28</v>
      </c>
      <c r="C5" s="63">
        <v>1</v>
      </c>
      <c r="D5" s="2" t="s">
        <v>199</v>
      </c>
    </row>
    <row r="6" spans="1:26" ht="14.25" customHeight="1" x14ac:dyDescent="0.25">
      <c r="A6" s="62">
        <v>45688</v>
      </c>
      <c r="B6" s="2" t="s">
        <v>24</v>
      </c>
      <c r="C6" s="63">
        <v>27</v>
      </c>
      <c r="D6" s="2" t="s">
        <v>199</v>
      </c>
    </row>
    <row r="7" spans="1:26" ht="14.25" customHeight="1" x14ac:dyDescent="0.25">
      <c r="A7" s="62">
        <v>45689</v>
      </c>
      <c r="B7" s="2" t="s">
        <v>35</v>
      </c>
      <c r="C7" s="63">
        <v>3</v>
      </c>
      <c r="D7" s="2" t="s">
        <v>199</v>
      </c>
    </row>
    <row r="8" spans="1:26" ht="14.25" customHeight="1" x14ac:dyDescent="0.25">
      <c r="A8" s="62">
        <v>45689</v>
      </c>
      <c r="B8" s="2" t="s">
        <v>32</v>
      </c>
      <c r="C8" s="63">
        <v>6</v>
      </c>
      <c r="D8" s="2" t="s">
        <v>199</v>
      </c>
    </row>
    <row r="9" spans="1:26" ht="14.25" customHeight="1" x14ac:dyDescent="0.25">
      <c r="A9" s="62">
        <v>45689</v>
      </c>
      <c r="B9" s="2" t="s">
        <v>35</v>
      </c>
      <c r="C9" s="63">
        <v>3</v>
      </c>
      <c r="D9" s="2" t="s">
        <v>199</v>
      </c>
    </row>
    <row r="10" spans="1:26" ht="14.25" customHeight="1" x14ac:dyDescent="0.25">
      <c r="A10" s="62">
        <v>45691</v>
      </c>
      <c r="B10" s="2" t="s">
        <v>16</v>
      </c>
      <c r="C10" s="63">
        <v>5</v>
      </c>
      <c r="D10" s="2" t="s">
        <v>200</v>
      </c>
    </row>
    <row r="11" spans="1:26" ht="14.25" customHeight="1" x14ac:dyDescent="0.25">
      <c r="A11" s="62">
        <v>45691</v>
      </c>
      <c r="B11" s="2" t="s">
        <v>16</v>
      </c>
      <c r="C11" s="63">
        <v>7</v>
      </c>
      <c r="D11" s="2" t="s">
        <v>199</v>
      </c>
    </row>
    <row r="12" spans="1:26" ht="14.25" customHeight="1" x14ac:dyDescent="0.25">
      <c r="A12" s="62">
        <v>45691</v>
      </c>
      <c r="B12" s="2" t="s">
        <v>16</v>
      </c>
      <c r="C12" s="63">
        <v>1</v>
      </c>
      <c r="D12" s="2" t="s">
        <v>199</v>
      </c>
    </row>
    <row r="13" spans="1:26" ht="14.25" customHeight="1" x14ac:dyDescent="0.25">
      <c r="A13" s="62">
        <v>45692</v>
      </c>
      <c r="B13" s="2" t="s">
        <v>35</v>
      </c>
      <c r="C13" s="63">
        <v>24</v>
      </c>
      <c r="D13" s="2" t="s">
        <v>199</v>
      </c>
    </row>
    <row r="14" spans="1:26" ht="14.25" customHeight="1" x14ac:dyDescent="0.25">
      <c r="A14" s="62">
        <v>45692</v>
      </c>
      <c r="B14" s="2" t="s">
        <v>46</v>
      </c>
      <c r="C14" s="63">
        <v>1</v>
      </c>
      <c r="D14" s="2" t="s">
        <v>199</v>
      </c>
    </row>
    <row r="15" spans="1:26" ht="14.25" customHeight="1" x14ac:dyDescent="0.25">
      <c r="A15" s="62">
        <v>45692</v>
      </c>
      <c r="B15" s="2" t="s">
        <v>16</v>
      </c>
      <c r="C15" s="63">
        <v>5</v>
      </c>
      <c r="D15" s="2" t="s">
        <v>199</v>
      </c>
    </row>
    <row r="16" spans="1:26" ht="14.25" customHeight="1" x14ac:dyDescent="0.25">
      <c r="A16" s="62">
        <v>45693</v>
      </c>
      <c r="B16" s="2" t="s">
        <v>16</v>
      </c>
      <c r="C16" s="63">
        <v>1</v>
      </c>
      <c r="D16" s="2" t="s">
        <v>200</v>
      </c>
    </row>
    <row r="17" spans="1:7" ht="14.25" customHeight="1" x14ac:dyDescent="0.25">
      <c r="A17" s="62">
        <v>45694</v>
      </c>
      <c r="B17" s="2" t="s">
        <v>46</v>
      </c>
      <c r="C17" s="63">
        <v>1</v>
      </c>
      <c r="D17" s="2" t="s">
        <v>199</v>
      </c>
    </row>
    <row r="18" spans="1:7" ht="14.25" customHeight="1" x14ac:dyDescent="0.25">
      <c r="A18" s="62">
        <v>45694</v>
      </c>
      <c r="B18" s="2" t="s">
        <v>24</v>
      </c>
      <c r="C18" s="63">
        <v>150</v>
      </c>
      <c r="D18" s="2" t="s">
        <v>199</v>
      </c>
    </row>
    <row r="19" spans="1:7" ht="14.25" customHeight="1" x14ac:dyDescent="0.25">
      <c r="A19" s="62">
        <v>45694</v>
      </c>
      <c r="B19" s="2" t="s">
        <v>16</v>
      </c>
      <c r="C19" s="63">
        <v>85</v>
      </c>
      <c r="D19" s="2" t="s">
        <v>199</v>
      </c>
    </row>
    <row r="20" spans="1:7" ht="14.25" customHeight="1" x14ac:dyDescent="0.25">
      <c r="A20" s="62">
        <v>45696</v>
      </c>
      <c r="B20" s="2" t="s">
        <v>35</v>
      </c>
      <c r="C20" s="63">
        <v>21</v>
      </c>
      <c r="D20" s="2" t="s">
        <v>199</v>
      </c>
    </row>
    <row r="21" spans="1:7" ht="14.25" customHeight="1" x14ac:dyDescent="0.25">
      <c r="A21" s="62">
        <v>45700</v>
      </c>
      <c r="B21" s="2" t="s">
        <v>35</v>
      </c>
      <c r="C21" s="63">
        <v>156</v>
      </c>
      <c r="D21" s="2" t="s">
        <v>199</v>
      </c>
    </row>
    <row r="22" spans="1:7" ht="14.25" customHeight="1" x14ac:dyDescent="0.25">
      <c r="A22" s="62">
        <v>45700</v>
      </c>
      <c r="B22" s="2" t="s">
        <v>46</v>
      </c>
      <c r="C22" s="63">
        <v>3</v>
      </c>
      <c r="D22" s="2" t="s">
        <v>199</v>
      </c>
    </row>
    <row r="23" spans="1:7" ht="14.25" customHeight="1" x14ac:dyDescent="0.25">
      <c r="A23" s="62">
        <v>45702</v>
      </c>
      <c r="B23" s="2" t="s">
        <v>16</v>
      </c>
      <c r="C23" s="63">
        <v>1</v>
      </c>
      <c r="D23" s="2" t="s">
        <v>199</v>
      </c>
      <c r="G23" s="64"/>
    </row>
    <row r="24" spans="1:7" ht="14.25" customHeight="1" x14ac:dyDescent="0.25">
      <c r="A24" s="62">
        <v>45705</v>
      </c>
      <c r="B24" s="2" t="s">
        <v>39</v>
      </c>
      <c r="C24" s="63">
        <v>2</v>
      </c>
      <c r="D24" s="2" t="s">
        <v>200</v>
      </c>
    </row>
    <row r="25" spans="1:7" ht="14.25" customHeight="1" x14ac:dyDescent="0.25">
      <c r="A25" s="62">
        <v>45706</v>
      </c>
      <c r="B25" s="2" t="s">
        <v>39</v>
      </c>
      <c r="C25" s="63">
        <v>2</v>
      </c>
      <c r="D25" s="2" t="s">
        <v>199</v>
      </c>
    </row>
    <row r="26" spans="1:7" ht="14.25" customHeight="1" x14ac:dyDescent="0.25">
      <c r="A26" s="62">
        <v>45707</v>
      </c>
      <c r="B26" s="2" t="s">
        <v>39</v>
      </c>
      <c r="C26" s="63">
        <v>7</v>
      </c>
      <c r="D26" s="2" t="s">
        <v>199</v>
      </c>
    </row>
    <row r="27" spans="1:7" ht="14.25" customHeight="1" x14ac:dyDescent="0.25">
      <c r="A27" s="62">
        <v>45707</v>
      </c>
      <c r="B27" s="2" t="s">
        <v>24</v>
      </c>
      <c r="C27" s="63">
        <v>150</v>
      </c>
      <c r="D27" s="2" t="s">
        <v>199</v>
      </c>
    </row>
    <row r="28" spans="1:7" ht="14.25" customHeight="1" x14ac:dyDescent="0.25">
      <c r="A28" s="62">
        <v>45708</v>
      </c>
      <c r="B28" s="2" t="s">
        <v>46</v>
      </c>
      <c r="C28" s="63">
        <v>2</v>
      </c>
      <c r="D28" s="2" t="s">
        <v>199</v>
      </c>
    </row>
    <row r="29" spans="1:7" ht="14.25" customHeight="1" x14ac:dyDescent="0.25">
      <c r="A29" s="62">
        <v>45708</v>
      </c>
      <c r="B29" s="2" t="s">
        <v>87</v>
      </c>
      <c r="C29" s="63">
        <v>20</v>
      </c>
      <c r="D29" s="2" t="s">
        <v>199</v>
      </c>
    </row>
    <row r="30" spans="1:7" ht="14.25" customHeight="1" x14ac:dyDescent="0.25">
      <c r="A30" s="62">
        <v>45717</v>
      </c>
      <c r="B30" s="2" t="s">
        <v>24</v>
      </c>
      <c r="C30" s="63">
        <v>55</v>
      </c>
      <c r="D30" s="2" t="s">
        <v>199</v>
      </c>
    </row>
    <row r="31" spans="1:7" ht="14.25" customHeight="1" x14ac:dyDescent="0.25">
      <c r="A31" s="62">
        <v>45717</v>
      </c>
      <c r="B31" s="2" t="s">
        <v>24</v>
      </c>
      <c r="C31" s="63">
        <v>12</v>
      </c>
      <c r="D31" s="2" t="s">
        <v>199</v>
      </c>
    </row>
    <row r="32" spans="1:7" ht="14.25" customHeight="1" x14ac:dyDescent="0.25">
      <c r="A32" s="62">
        <v>45717</v>
      </c>
      <c r="B32" s="2" t="s">
        <v>24</v>
      </c>
      <c r="C32" s="63">
        <v>30</v>
      </c>
      <c r="D32" s="2" t="s">
        <v>199</v>
      </c>
    </row>
    <row r="33" spans="1:4" ht="14.25" customHeight="1" x14ac:dyDescent="0.25">
      <c r="A33" s="62">
        <v>45722</v>
      </c>
      <c r="B33" s="2" t="s">
        <v>24</v>
      </c>
      <c r="C33" s="63">
        <v>2</v>
      </c>
      <c r="D33" s="2" t="s">
        <v>199</v>
      </c>
    </row>
    <row r="34" spans="1:4" ht="14.25" customHeight="1" x14ac:dyDescent="0.25">
      <c r="A34" s="62">
        <v>45722</v>
      </c>
      <c r="B34" s="2" t="s">
        <v>87</v>
      </c>
      <c r="C34" s="63">
        <v>5</v>
      </c>
      <c r="D34" s="2" t="s">
        <v>200</v>
      </c>
    </row>
    <row r="35" spans="1:4" ht="14.25" customHeight="1" x14ac:dyDescent="0.25">
      <c r="A35" s="62">
        <v>45721</v>
      </c>
      <c r="B35" s="2" t="s">
        <v>28</v>
      </c>
      <c r="C35" s="63">
        <v>8</v>
      </c>
      <c r="D35" s="2" t="s">
        <v>200</v>
      </c>
    </row>
    <row r="36" spans="1:4" ht="14.25" customHeight="1" x14ac:dyDescent="0.25">
      <c r="A36" s="62">
        <v>45723</v>
      </c>
      <c r="B36" s="2" t="s">
        <v>192</v>
      </c>
      <c r="C36" s="63">
        <v>5</v>
      </c>
      <c r="D36" s="2" t="s">
        <v>199</v>
      </c>
    </row>
    <row r="37" spans="1:4" ht="14.25" customHeight="1" x14ac:dyDescent="0.25">
      <c r="A37" s="62">
        <v>45723</v>
      </c>
      <c r="B37" s="2" t="s">
        <v>102</v>
      </c>
      <c r="C37" s="63">
        <v>10</v>
      </c>
      <c r="D37" s="2" t="s">
        <v>199</v>
      </c>
    </row>
    <row r="38" spans="1:4" ht="14.25" customHeight="1" x14ac:dyDescent="0.25">
      <c r="A38" s="62">
        <v>45723</v>
      </c>
      <c r="B38" s="2" t="s">
        <v>35</v>
      </c>
      <c r="C38" s="63">
        <v>50</v>
      </c>
      <c r="D38" s="2" t="s">
        <v>199</v>
      </c>
    </row>
    <row r="39" spans="1:4" ht="14.25" customHeight="1" x14ac:dyDescent="0.25">
      <c r="A39" s="62">
        <v>45723</v>
      </c>
      <c r="B39" s="2" t="s">
        <v>16</v>
      </c>
      <c r="C39" s="63">
        <v>55</v>
      </c>
      <c r="D39" s="2" t="s">
        <v>199</v>
      </c>
    </row>
    <row r="40" spans="1:4" ht="14.25" customHeight="1" x14ac:dyDescent="0.25">
      <c r="A40" s="62">
        <v>45723</v>
      </c>
      <c r="B40" s="2" t="s">
        <v>35</v>
      </c>
      <c r="C40" s="63">
        <v>1</v>
      </c>
      <c r="D40" s="2" t="s">
        <v>199</v>
      </c>
    </row>
    <row r="41" spans="1:4" ht="14.25" customHeight="1" x14ac:dyDescent="0.25">
      <c r="A41" s="62">
        <v>45723</v>
      </c>
      <c r="B41" s="2" t="s">
        <v>87</v>
      </c>
      <c r="C41" s="63">
        <v>33</v>
      </c>
      <c r="D41" s="2" t="s">
        <v>199</v>
      </c>
    </row>
    <row r="42" spans="1:4" ht="14.25" customHeight="1" x14ac:dyDescent="0.25">
      <c r="A42" s="62">
        <v>45723</v>
      </c>
      <c r="B42" s="2" t="s">
        <v>99</v>
      </c>
      <c r="C42" s="63">
        <v>5</v>
      </c>
      <c r="D42" s="2" t="s">
        <v>199</v>
      </c>
    </row>
    <row r="43" spans="1:4" ht="14.25" customHeight="1" x14ac:dyDescent="0.25">
      <c r="A43" s="62">
        <v>45723</v>
      </c>
      <c r="B43" s="2" t="s">
        <v>16</v>
      </c>
      <c r="C43" s="63">
        <v>60</v>
      </c>
      <c r="D43" s="2" t="s">
        <v>199</v>
      </c>
    </row>
    <row r="44" spans="1:4" ht="14.25" customHeight="1" x14ac:dyDescent="0.25">
      <c r="A44" s="65"/>
      <c r="B44" s="2"/>
      <c r="C44" s="63"/>
      <c r="D44" s="2"/>
    </row>
    <row r="45" spans="1:4" ht="14.25" customHeight="1" x14ac:dyDescent="0.25">
      <c r="A45" s="65"/>
      <c r="B45" s="2"/>
      <c r="C45" s="63"/>
      <c r="D45" s="2"/>
    </row>
    <row r="46" spans="1:4" ht="14.25" customHeight="1" x14ac:dyDescent="0.25">
      <c r="A46" s="65"/>
      <c r="B46" s="2"/>
      <c r="C46" s="63"/>
      <c r="D46" s="2"/>
    </row>
    <row r="47" spans="1:4" ht="14.25" customHeight="1" x14ac:dyDescent="0.25">
      <c r="A47" s="65"/>
      <c r="B47" s="2"/>
      <c r="C47" s="63"/>
      <c r="D47" s="2"/>
    </row>
    <row r="48" spans="1:4" ht="14.25" customHeight="1" x14ac:dyDescent="0.25">
      <c r="A48" s="65"/>
      <c r="B48" s="2"/>
      <c r="C48" s="63"/>
      <c r="D48" s="2"/>
    </row>
    <row r="49" spans="1:4" ht="14.25" customHeight="1" x14ac:dyDescent="0.25">
      <c r="A49" s="65"/>
      <c r="B49" s="2"/>
      <c r="C49" s="63"/>
      <c r="D49" s="2"/>
    </row>
    <row r="50" spans="1:4" ht="14.25" customHeight="1" x14ac:dyDescent="0.25">
      <c r="A50" s="65"/>
      <c r="B50" s="2"/>
      <c r="C50" s="63"/>
      <c r="D50" s="2"/>
    </row>
    <row r="51" spans="1:4" ht="14.25" customHeight="1" x14ac:dyDescent="0.25">
      <c r="A51" s="65"/>
      <c r="B51" s="2"/>
      <c r="C51" s="63"/>
      <c r="D51" s="2"/>
    </row>
    <row r="52" spans="1:4" ht="14.25" customHeight="1" x14ac:dyDescent="0.25">
      <c r="A52" s="65"/>
      <c r="B52" s="2"/>
      <c r="C52" s="63"/>
      <c r="D52" s="2"/>
    </row>
    <row r="53" spans="1:4" ht="14.25" customHeight="1" x14ac:dyDescent="0.25">
      <c r="A53" s="65"/>
      <c r="B53" s="2"/>
      <c r="C53" s="63"/>
      <c r="D53" s="2"/>
    </row>
    <row r="54" spans="1:4" ht="14.25" customHeight="1" x14ac:dyDescent="0.25">
      <c r="A54" s="65"/>
      <c r="B54" s="2"/>
      <c r="C54" s="63"/>
      <c r="D54" s="2"/>
    </row>
    <row r="55" spans="1:4" ht="14.25" customHeight="1" x14ac:dyDescent="0.25">
      <c r="A55" s="65"/>
      <c r="B55" s="2"/>
      <c r="C55" s="63"/>
      <c r="D55" s="2"/>
    </row>
    <row r="56" spans="1:4" ht="14.25" customHeight="1" x14ac:dyDescent="0.25">
      <c r="A56" s="65"/>
      <c r="B56" s="2"/>
      <c r="C56" s="63"/>
      <c r="D56" s="2"/>
    </row>
    <row r="57" spans="1:4" ht="14.25" customHeight="1" x14ac:dyDescent="0.25">
      <c r="A57" s="65"/>
      <c r="B57" s="2"/>
      <c r="C57" s="63"/>
      <c r="D57" s="2"/>
    </row>
    <row r="58" spans="1:4" ht="14.25" customHeight="1" x14ac:dyDescent="0.25">
      <c r="A58" s="65"/>
      <c r="B58" s="2"/>
      <c r="C58" s="63"/>
      <c r="D58" s="2"/>
    </row>
    <row r="59" spans="1:4" ht="14.25" customHeight="1" x14ac:dyDescent="0.25">
      <c r="A59" s="65"/>
      <c r="B59" s="2"/>
      <c r="C59" s="63"/>
      <c r="D59" s="2"/>
    </row>
    <row r="60" spans="1:4" ht="14.25" customHeight="1" x14ac:dyDescent="0.25">
      <c r="A60" s="65"/>
      <c r="B60" s="2"/>
      <c r="C60" s="63"/>
      <c r="D60" s="2"/>
    </row>
    <row r="61" spans="1:4" ht="14.25" customHeight="1" x14ac:dyDescent="0.25">
      <c r="A61" s="65"/>
      <c r="B61" s="2"/>
      <c r="C61" s="63"/>
      <c r="D61" s="2"/>
    </row>
    <row r="62" spans="1:4" ht="14.25" customHeight="1" x14ac:dyDescent="0.25">
      <c r="A62" s="65"/>
      <c r="B62" s="2"/>
      <c r="C62" s="63"/>
      <c r="D62" s="2"/>
    </row>
    <row r="63" spans="1:4" ht="14.25" customHeight="1" x14ac:dyDescent="0.25">
      <c r="A63" s="65"/>
      <c r="B63" s="2"/>
      <c r="C63" s="63"/>
      <c r="D63" s="2"/>
    </row>
    <row r="64" spans="1:4" ht="14.25" customHeight="1" x14ac:dyDescent="0.25">
      <c r="A64" s="65"/>
      <c r="B64" s="2"/>
      <c r="C64" s="63"/>
      <c r="D64" s="2"/>
    </row>
    <row r="65" spans="1:4" ht="14.25" customHeight="1" x14ac:dyDescent="0.25">
      <c r="A65" s="65"/>
      <c r="B65" s="2"/>
      <c r="C65" s="63"/>
      <c r="D65" s="2"/>
    </row>
    <row r="66" spans="1:4" ht="14.25" customHeight="1" x14ac:dyDescent="0.25">
      <c r="A66" s="65"/>
      <c r="B66" s="2"/>
      <c r="C66" s="63"/>
      <c r="D66" s="2"/>
    </row>
    <row r="67" spans="1:4" ht="14.25" customHeight="1" x14ac:dyDescent="0.25">
      <c r="A67" s="65"/>
      <c r="B67" s="2"/>
      <c r="C67" s="63"/>
      <c r="D67" s="2"/>
    </row>
    <row r="68" spans="1:4" ht="14.25" customHeight="1" x14ac:dyDescent="0.25">
      <c r="A68" s="65"/>
      <c r="B68" s="2"/>
      <c r="C68" s="63"/>
      <c r="D68" s="2"/>
    </row>
    <row r="69" spans="1:4" ht="14.25" customHeight="1" x14ac:dyDescent="0.25">
      <c r="A69" s="65"/>
      <c r="B69" s="2"/>
      <c r="C69" s="63"/>
      <c r="D69" s="2"/>
    </row>
    <row r="70" spans="1:4" ht="14.25" customHeight="1" x14ac:dyDescent="0.25">
      <c r="A70" s="65"/>
      <c r="B70" s="2"/>
      <c r="C70" s="63"/>
      <c r="D70" s="2"/>
    </row>
    <row r="71" spans="1:4" ht="14.25" customHeight="1" x14ac:dyDescent="0.25">
      <c r="A71" s="65"/>
      <c r="B71" s="2"/>
      <c r="C71" s="63"/>
      <c r="D71" s="2"/>
    </row>
    <row r="72" spans="1:4" ht="14.25" customHeight="1" x14ac:dyDescent="0.25">
      <c r="A72" s="65"/>
      <c r="B72" s="2"/>
      <c r="C72" s="63"/>
      <c r="D72" s="2"/>
    </row>
    <row r="73" spans="1:4" ht="14.25" customHeight="1" x14ac:dyDescent="0.25">
      <c r="A73" s="65"/>
      <c r="B73" s="2"/>
      <c r="C73" s="63"/>
      <c r="D73" s="2"/>
    </row>
    <row r="74" spans="1:4" ht="14.25" customHeight="1" x14ac:dyDescent="0.25">
      <c r="A74" s="65"/>
      <c r="B74" s="2"/>
      <c r="C74" s="63"/>
      <c r="D74" s="2"/>
    </row>
    <row r="75" spans="1:4" ht="14.25" customHeight="1" x14ac:dyDescent="0.25">
      <c r="A75" s="65"/>
      <c r="B75" s="2"/>
      <c r="C75" s="63"/>
      <c r="D75" s="2"/>
    </row>
    <row r="76" spans="1:4" ht="14.25" customHeight="1" x14ac:dyDescent="0.25">
      <c r="A76" s="65"/>
      <c r="B76" s="2"/>
      <c r="C76" s="63"/>
      <c r="D76" s="2"/>
    </row>
    <row r="77" spans="1:4" ht="14.25" customHeight="1" x14ac:dyDescent="0.25">
      <c r="A77" s="65"/>
      <c r="B77" s="2"/>
      <c r="C77" s="63"/>
      <c r="D77" s="2"/>
    </row>
    <row r="78" spans="1:4" ht="14.25" customHeight="1" x14ac:dyDescent="0.25">
      <c r="A78" s="65"/>
      <c r="B78" s="2"/>
      <c r="C78" s="63"/>
      <c r="D78" s="2"/>
    </row>
    <row r="79" spans="1:4" ht="14.25" customHeight="1" x14ac:dyDescent="0.25">
      <c r="A79" s="65"/>
      <c r="B79" s="2"/>
      <c r="C79" s="63"/>
      <c r="D79" s="2"/>
    </row>
    <row r="80" spans="1:4" ht="14.25" customHeight="1" x14ac:dyDescent="0.25">
      <c r="A80" s="65"/>
      <c r="B80" s="2"/>
      <c r="C80" s="63"/>
      <c r="D80" s="2"/>
    </row>
    <row r="81" spans="1:4" ht="14.25" customHeight="1" x14ac:dyDescent="0.25">
      <c r="A81" s="65"/>
      <c r="B81" s="2"/>
      <c r="C81" s="63"/>
      <c r="D81" s="2"/>
    </row>
    <row r="82" spans="1:4" ht="14.25" customHeight="1" x14ac:dyDescent="0.25">
      <c r="A82" s="65"/>
      <c r="B82" s="2"/>
      <c r="C82" s="63"/>
      <c r="D82" s="2"/>
    </row>
    <row r="83" spans="1:4" ht="14.25" customHeight="1" x14ac:dyDescent="0.25">
      <c r="A83" s="65"/>
      <c r="B83" s="2"/>
      <c r="C83" s="63"/>
      <c r="D83" s="2"/>
    </row>
    <row r="84" spans="1:4" ht="14.25" customHeight="1" x14ac:dyDescent="0.25">
      <c r="A84" s="65"/>
      <c r="B84" s="2"/>
      <c r="C84" s="63"/>
      <c r="D84" s="2"/>
    </row>
    <row r="85" spans="1:4" ht="14.25" customHeight="1" x14ac:dyDescent="0.25">
      <c r="A85" s="65"/>
      <c r="B85" s="2"/>
      <c r="C85" s="63"/>
      <c r="D85" s="2"/>
    </row>
    <row r="86" spans="1:4" ht="14.25" customHeight="1" x14ac:dyDescent="0.25">
      <c r="A86" s="65"/>
      <c r="B86" s="2"/>
      <c r="C86" s="63"/>
      <c r="D86" s="2"/>
    </row>
    <row r="87" spans="1:4" ht="14.25" customHeight="1" x14ac:dyDescent="0.25">
      <c r="A87" s="65"/>
      <c r="B87" s="2"/>
      <c r="C87" s="63"/>
      <c r="D87" s="2"/>
    </row>
    <row r="88" spans="1:4" ht="14.25" customHeight="1" x14ac:dyDescent="0.25">
      <c r="A88" s="65"/>
      <c r="B88" s="2"/>
      <c r="C88" s="63"/>
      <c r="D88" s="2"/>
    </row>
    <row r="89" spans="1:4" ht="14.25" customHeight="1" x14ac:dyDescent="0.25">
      <c r="A89" s="65"/>
      <c r="B89" s="2"/>
      <c r="C89" s="63"/>
      <c r="D89" s="2"/>
    </row>
    <row r="90" spans="1:4" ht="14.25" customHeight="1" x14ac:dyDescent="0.25">
      <c r="A90" s="65"/>
      <c r="B90" s="2"/>
      <c r="C90" s="63"/>
      <c r="D90" s="2"/>
    </row>
    <row r="91" spans="1:4" ht="14.25" customHeight="1" x14ac:dyDescent="0.25">
      <c r="A91" s="65"/>
      <c r="B91" s="2"/>
      <c r="C91" s="63"/>
      <c r="D91" s="2"/>
    </row>
    <row r="92" spans="1:4" ht="14.25" customHeight="1" x14ac:dyDescent="0.25">
      <c r="A92" s="65"/>
      <c r="B92" s="2"/>
      <c r="C92" s="63"/>
      <c r="D92" s="2"/>
    </row>
    <row r="93" spans="1:4" ht="14.25" customHeight="1" x14ac:dyDescent="0.25">
      <c r="A93" s="65"/>
      <c r="B93" s="2"/>
      <c r="C93" s="63"/>
      <c r="D93" s="2"/>
    </row>
    <row r="94" spans="1:4" ht="14.25" customHeight="1" x14ac:dyDescent="0.25">
      <c r="A94" s="65"/>
      <c r="B94" s="2"/>
      <c r="C94" s="63"/>
      <c r="D94" s="2"/>
    </row>
    <row r="95" spans="1:4" ht="14.25" customHeight="1" x14ac:dyDescent="0.25">
      <c r="A95" s="65"/>
      <c r="B95" s="2"/>
      <c r="C95" s="63"/>
      <c r="D95" s="2"/>
    </row>
    <row r="96" spans="1:4" ht="14.25" customHeight="1" x14ac:dyDescent="0.25">
      <c r="A96" s="65"/>
      <c r="B96" s="2"/>
      <c r="C96" s="63"/>
      <c r="D96" s="2"/>
    </row>
    <row r="97" spans="1:4" ht="14.25" customHeight="1" x14ac:dyDescent="0.25">
      <c r="A97" s="65"/>
      <c r="B97" s="2"/>
      <c r="C97" s="63"/>
      <c r="D97" s="2"/>
    </row>
    <row r="98" spans="1:4" ht="14.25" customHeight="1" x14ac:dyDescent="0.25">
      <c r="A98" s="65"/>
      <c r="B98" s="2"/>
      <c r="C98" s="63"/>
      <c r="D98" s="2"/>
    </row>
    <row r="99" spans="1:4" ht="14.25" customHeight="1" x14ac:dyDescent="0.25">
      <c r="A99" s="65"/>
      <c r="B99" s="2"/>
      <c r="C99" s="63"/>
      <c r="D99" s="2"/>
    </row>
    <row r="100" spans="1:4" ht="14.25" customHeight="1" x14ac:dyDescent="0.25">
      <c r="A100" s="65"/>
      <c r="B100" s="2"/>
      <c r="C100" s="63"/>
      <c r="D100" s="2"/>
    </row>
    <row r="101" spans="1:4" ht="14.25" customHeight="1" x14ac:dyDescent="0.25">
      <c r="A101" s="65"/>
      <c r="B101" s="2"/>
      <c r="C101" s="63"/>
      <c r="D101" s="2"/>
    </row>
    <row r="102" spans="1:4" ht="14.25" customHeight="1" x14ac:dyDescent="0.25">
      <c r="A102" s="65"/>
      <c r="B102" s="2"/>
      <c r="C102" s="63"/>
      <c r="D102" s="2"/>
    </row>
    <row r="103" spans="1:4" ht="14.25" customHeight="1" x14ac:dyDescent="0.25">
      <c r="A103" s="65"/>
      <c r="B103" s="2"/>
      <c r="C103" s="63"/>
      <c r="D103" s="2"/>
    </row>
    <row r="104" spans="1:4" ht="14.25" customHeight="1" x14ac:dyDescent="0.25">
      <c r="A104" s="65"/>
      <c r="B104" s="2"/>
      <c r="C104" s="63"/>
      <c r="D104" s="2"/>
    </row>
    <row r="105" spans="1:4" ht="14.25" customHeight="1" x14ac:dyDescent="0.25">
      <c r="A105" s="65"/>
      <c r="B105" s="2"/>
      <c r="C105" s="63"/>
      <c r="D105" s="2"/>
    </row>
    <row r="106" spans="1:4" ht="14.25" customHeight="1" x14ac:dyDescent="0.25">
      <c r="A106" s="65"/>
      <c r="B106" s="2"/>
      <c r="C106" s="63"/>
      <c r="D106" s="2"/>
    </row>
    <row r="107" spans="1:4" ht="14.25" customHeight="1" x14ac:dyDescent="0.25">
      <c r="A107" s="65"/>
      <c r="B107" s="2"/>
      <c r="C107" s="63"/>
      <c r="D107" s="2"/>
    </row>
    <row r="108" spans="1:4" ht="14.25" customHeight="1" x14ac:dyDescent="0.25">
      <c r="A108" s="65"/>
      <c r="B108" s="2"/>
      <c r="C108" s="63"/>
      <c r="D108" s="2"/>
    </row>
    <row r="109" spans="1:4" ht="14.25" customHeight="1" x14ac:dyDescent="0.25">
      <c r="A109" s="65"/>
      <c r="B109" s="2"/>
      <c r="C109" s="63"/>
      <c r="D109" s="2"/>
    </row>
    <row r="110" spans="1:4" ht="14.25" customHeight="1" x14ac:dyDescent="0.25">
      <c r="A110" s="65"/>
      <c r="B110" s="2"/>
      <c r="C110" s="63"/>
      <c r="D110" s="2"/>
    </row>
    <row r="111" spans="1:4" ht="14.25" customHeight="1" x14ac:dyDescent="0.25">
      <c r="A111" s="65"/>
      <c r="B111" s="2"/>
      <c r="C111" s="63"/>
      <c r="D111" s="2"/>
    </row>
    <row r="112" spans="1:4" ht="14.25" customHeight="1" x14ac:dyDescent="0.25">
      <c r="A112" s="65"/>
      <c r="B112" s="2"/>
      <c r="C112" s="63"/>
      <c r="D112" s="2"/>
    </row>
    <row r="113" spans="1:4" ht="14.25" customHeight="1" x14ac:dyDescent="0.25">
      <c r="A113" s="65"/>
      <c r="B113" s="2"/>
      <c r="C113" s="63"/>
      <c r="D113" s="2"/>
    </row>
    <row r="114" spans="1:4" ht="14.25" customHeight="1" x14ac:dyDescent="0.25">
      <c r="A114" s="65"/>
      <c r="B114" s="2"/>
      <c r="C114" s="63"/>
      <c r="D114" s="2"/>
    </row>
    <row r="115" spans="1:4" ht="14.25" customHeight="1" x14ac:dyDescent="0.25">
      <c r="A115" s="65"/>
      <c r="B115" s="2"/>
      <c r="C115" s="63"/>
      <c r="D115" s="2"/>
    </row>
    <row r="116" spans="1:4" ht="14.25" customHeight="1" x14ac:dyDescent="0.25">
      <c r="A116" s="65"/>
      <c r="B116" s="2"/>
      <c r="C116" s="63"/>
      <c r="D116" s="2"/>
    </row>
    <row r="117" spans="1:4" ht="14.25" customHeight="1" x14ac:dyDescent="0.25">
      <c r="A117" s="65"/>
      <c r="B117" s="2"/>
      <c r="C117" s="63"/>
      <c r="D117" s="2"/>
    </row>
    <row r="118" spans="1:4" ht="14.25" customHeight="1" x14ac:dyDescent="0.25">
      <c r="A118" s="65"/>
      <c r="B118" s="2"/>
      <c r="C118" s="63"/>
      <c r="D118" s="2"/>
    </row>
    <row r="119" spans="1:4" ht="14.25" customHeight="1" x14ac:dyDescent="0.25">
      <c r="A119" s="65"/>
      <c r="B119" s="2"/>
      <c r="C119" s="63"/>
      <c r="D119" s="2"/>
    </row>
    <row r="120" spans="1:4" ht="14.25" customHeight="1" x14ac:dyDescent="0.25">
      <c r="A120" s="65"/>
      <c r="B120" s="2"/>
      <c r="C120" s="63"/>
      <c r="D120" s="2"/>
    </row>
    <row r="121" spans="1:4" ht="14.25" customHeight="1" x14ac:dyDescent="0.25">
      <c r="A121" s="65"/>
      <c r="B121" s="2"/>
      <c r="C121" s="63"/>
      <c r="D121" s="2"/>
    </row>
    <row r="122" spans="1:4" ht="14.25" customHeight="1" x14ac:dyDescent="0.25">
      <c r="A122" s="65"/>
      <c r="B122" s="2"/>
      <c r="C122" s="63"/>
      <c r="D122" s="2"/>
    </row>
    <row r="123" spans="1:4" ht="14.25" customHeight="1" x14ac:dyDescent="0.25">
      <c r="A123" s="65"/>
      <c r="B123" s="2"/>
      <c r="C123" s="63"/>
      <c r="D123" s="2"/>
    </row>
    <row r="124" spans="1:4" ht="14.25" customHeight="1" x14ac:dyDescent="0.25">
      <c r="A124" s="65"/>
      <c r="B124" s="2"/>
      <c r="C124" s="63"/>
      <c r="D124" s="2"/>
    </row>
    <row r="125" spans="1:4" ht="14.25" customHeight="1" x14ac:dyDescent="0.25">
      <c r="A125" s="65"/>
      <c r="B125" s="2"/>
      <c r="C125" s="63"/>
      <c r="D125" s="2"/>
    </row>
    <row r="126" spans="1:4" ht="14.25" customHeight="1" x14ac:dyDescent="0.25">
      <c r="A126" s="65"/>
      <c r="B126" s="2"/>
      <c r="C126" s="63"/>
      <c r="D126" s="2"/>
    </row>
    <row r="127" spans="1:4" ht="14.25" customHeight="1" x14ac:dyDescent="0.25">
      <c r="A127" s="65"/>
      <c r="B127" s="2"/>
      <c r="C127" s="63"/>
      <c r="D127" s="2"/>
    </row>
    <row r="128" spans="1:4" ht="14.25" customHeight="1" x14ac:dyDescent="0.25">
      <c r="A128" s="65"/>
      <c r="B128" s="2"/>
      <c r="C128" s="63"/>
      <c r="D128" s="2"/>
    </row>
    <row r="129" spans="1:4" ht="14.25" customHeight="1" x14ac:dyDescent="0.25">
      <c r="A129" s="65"/>
      <c r="B129" s="2"/>
      <c r="C129" s="63"/>
      <c r="D129" s="2"/>
    </row>
    <row r="130" spans="1:4" ht="14.25" customHeight="1" x14ac:dyDescent="0.25">
      <c r="A130" s="65"/>
      <c r="B130" s="2"/>
      <c r="C130" s="63"/>
      <c r="D130" s="2"/>
    </row>
    <row r="131" spans="1:4" ht="14.25" customHeight="1" x14ac:dyDescent="0.25">
      <c r="A131" s="65"/>
      <c r="B131" s="2"/>
      <c r="C131" s="63"/>
      <c r="D131" s="2"/>
    </row>
    <row r="132" spans="1:4" ht="14.25" customHeight="1" x14ac:dyDescent="0.25">
      <c r="A132" s="65"/>
      <c r="B132" s="2"/>
      <c r="C132" s="63"/>
      <c r="D132" s="2"/>
    </row>
    <row r="133" spans="1:4" ht="14.25" customHeight="1" x14ac:dyDescent="0.25">
      <c r="A133" s="65"/>
      <c r="B133" s="2"/>
      <c r="C133" s="63"/>
      <c r="D133" s="2"/>
    </row>
    <row r="134" spans="1:4" ht="14.25" customHeight="1" x14ac:dyDescent="0.25">
      <c r="A134" s="65"/>
      <c r="B134" s="2"/>
      <c r="C134" s="63"/>
      <c r="D134" s="2"/>
    </row>
    <row r="135" spans="1:4" ht="14.25" customHeight="1" x14ac:dyDescent="0.25">
      <c r="A135" s="65"/>
      <c r="B135" s="2"/>
      <c r="C135" s="63"/>
      <c r="D135" s="2"/>
    </row>
    <row r="136" spans="1:4" ht="14.25" customHeight="1" x14ac:dyDescent="0.25">
      <c r="A136" s="65"/>
      <c r="B136" s="2"/>
      <c r="C136" s="63"/>
      <c r="D136" s="2"/>
    </row>
    <row r="137" spans="1:4" ht="14.25" customHeight="1" x14ac:dyDescent="0.25">
      <c r="A137" s="65"/>
      <c r="B137" s="2"/>
      <c r="C137" s="63"/>
      <c r="D137" s="2"/>
    </row>
    <row r="138" spans="1:4" ht="14.25" customHeight="1" x14ac:dyDescent="0.25">
      <c r="A138" s="65"/>
      <c r="B138" s="2"/>
      <c r="C138" s="63"/>
      <c r="D138" s="2"/>
    </row>
    <row r="139" spans="1:4" ht="14.25" customHeight="1" x14ac:dyDescent="0.25">
      <c r="A139" s="65"/>
      <c r="B139" s="2"/>
      <c r="C139" s="63"/>
      <c r="D139" s="2"/>
    </row>
    <row r="140" spans="1:4" ht="14.25" customHeight="1" x14ac:dyDescent="0.25">
      <c r="A140" s="65"/>
      <c r="B140" s="2"/>
      <c r="C140" s="63"/>
      <c r="D140" s="2"/>
    </row>
    <row r="141" spans="1:4" ht="14.25" customHeight="1" x14ac:dyDescent="0.25">
      <c r="A141" s="65"/>
      <c r="B141" s="2"/>
      <c r="C141" s="63"/>
      <c r="D141" s="2"/>
    </row>
    <row r="142" spans="1:4" ht="14.25" customHeight="1" x14ac:dyDescent="0.25">
      <c r="A142" s="65"/>
      <c r="B142" s="2"/>
      <c r="C142" s="63"/>
      <c r="D142" s="2"/>
    </row>
    <row r="143" spans="1:4" ht="14.25" customHeight="1" x14ac:dyDescent="0.25">
      <c r="A143" s="65"/>
      <c r="B143" s="2"/>
      <c r="C143" s="63"/>
      <c r="D143" s="2"/>
    </row>
    <row r="144" spans="1:4" ht="14.25" customHeight="1" x14ac:dyDescent="0.25">
      <c r="A144" s="65"/>
      <c r="B144" s="2"/>
      <c r="C144" s="63"/>
      <c r="D144" s="2"/>
    </row>
    <row r="145" spans="1:4" ht="14.25" customHeight="1" x14ac:dyDescent="0.25">
      <c r="A145" s="65"/>
      <c r="B145" s="2"/>
      <c r="C145" s="63"/>
      <c r="D145" s="2"/>
    </row>
    <row r="146" spans="1:4" ht="14.25" customHeight="1" x14ac:dyDescent="0.25">
      <c r="A146" s="65"/>
      <c r="B146" s="2"/>
      <c r="C146" s="63"/>
      <c r="D146" s="2"/>
    </row>
    <row r="147" spans="1:4" ht="14.25" customHeight="1" x14ac:dyDescent="0.25">
      <c r="A147" s="65"/>
      <c r="B147" s="2"/>
      <c r="C147" s="63"/>
      <c r="D147" s="2"/>
    </row>
    <row r="148" spans="1:4" ht="14.25" customHeight="1" x14ac:dyDescent="0.25">
      <c r="A148" s="65"/>
      <c r="B148" s="2"/>
      <c r="C148" s="63"/>
      <c r="D148" s="2"/>
    </row>
    <row r="149" spans="1:4" ht="14.25" customHeight="1" x14ac:dyDescent="0.25">
      <c r="A149" s="65"/>
      <c r="B149" s="2"/>
      <c r="C149" s="63"/>
      <c r="D149" s="2"/>
    </row>
    <row r="150" spans="1:4" ht="14.25" customHeight="1" x14ac:dyDescent="0.25">
      <c r="A150" s="65"/>
      <c r="B150" s="2"/>
      <c r="C150" s="63"/>
      <c r="D150" s="2"/>
    </row>
    <row r="151" spans="1:4" ht="14.25" customHeight="1" x14ac:dyDescent="0.25">
      <c r="A151" s="65"/>
      <c r="B151" s="2"/>
      <c r="C151" s="63"/>
      <c r="D151" s="2"/>
    </row>
    <row r="152" spans="1:4" ht="14.25" customHeight="1" x14ac:dyDescent="0.25">
      <c r="A152" s="65"/>
      <c r="B152" s="2"/>
      <c r="C152" s="63"/>
      <c r="D152" s="2"/>
    </row>
    <row r="153" spans="1:4" ht="14.25" customHeight="1" x14ac:dyDescent="0.25">
      <c r="A153" s="65"/>
      <c r="B153" s="2"/>
      <c r="C153" s="63"/>
      <c r="D153" s="2"/>
    </row>
    <row r="154" spans="1:4" ht="14.25" customHeight="1" x14ac:dyDescent="0.25">
      <c r="A154" s="65"/>
      <c r="B154" s="2"/>
      <c r="C154" s="63"/>
      <c r="D154" s="2"/>
    </row>
    <row r="155" spans="1:4" ht="14.25" customHeight="1" x14ac:dyDescent="0.25">
      <c r="A155" s="65"/>
      <c r="B155" s="2"/>
      <c r="C155" s="63"/>
      <c r="D155" s="2"/>
    </row>
    <row r="156" spans="1:4" ht="14.25" customHeight="1" x14ac:dyDescent="0.25">
      <c r="A156" s="65"/>
      <c r="B156" s="2"/>
      <c r="C156" s="63"/>
      <c r="D156" s="2"/>
    </row>
    <row r="157" spans="1:4" ht="14.25" customHeight="1" x14ac:dyDescent="0.25">
      <c r="A157" s="65"/>
      <c r="B157" s="2"/>
      <c r="C157" s="63"/>
      <c r="D157" s="2"/>
    </row>
    <row r="158" spans="1:4" ht="14.25" customHeight="1" x14ac:dyDescent="0.25">
      <c r="A158" s="65"/>
      <c r="B158" s="2"/>
      <c r="C158" s="63"/>
      <c r="D158" s="2"/>
    </row>
    <row r="159" spans="1:4" ht="14.25" customHeight="1" x14ac:dyDescent="0.25">
      <c r="A159" s="65"/>
      <c r="B159" s="2"/>
      <c r="C159" s="63"/>
      <c r="D159" s="2"/>
    </row>
    <row r="160" spans="1:4" ht="14.25" customHeight="1" x14ac:dyDescent="0.25">
      <c r="A160" s="65"/>
      <c r="B160" s="2"/>
      <c r="C160" s="63"/>
      <c r="D160" s="2"/>
    </row>
    <row r="161" spans="1:4" ht="14.25" customHeight="1" x14ac:dyDescent="0.25">
      <c r="A161" s="65"/>
      <c r="B161" s="2"/>
      <c r="C161" s="63"/>
      <c r="D161" s="2"/>
    </row>
    <row r="162" spans="1:4" ht="14.25" customHeight="1" x14ac:dyDescent="0.25">
      <c r="A162" s="65"/>
      <c r="B162" s="2"/>
      <c r="C162" s="63"/>
      <c r="D162" s="2"/>
    </row>
    <row r="163" spans="1:4" ht="14.25" customHeight="1" x14ac:dyDescent="0.25">
      <c r="A163" s="65"/>
      <c r="B163" s="2"/>
      <c r="C163" s="63"/>
      <c r="D163" s="2"/>
    </row>
    <row r="164" spans="1:4" ht="14.25" customHeight="1" x14ac:dyDescent="0.25">
      <c r="A164" s="65"/>
      <c r="B164" s="2"/>
      <c r="C164" s="63"/>
      <c r="D164" s="2"/>
    </row>
    <row r="165" spans="1:4" ht="14.25" customHeight="1" x14ac:dyDescent="0.25">
      <c r="A165" s="65"/>
      <c r="B165" s="2"/>
      <c r="C165" s="63"/>
      <c r="D165" s="2"/>
    </row>
    <row r="166" spans="1:4" ht="14.25" customHeight="1" x14ac:dyDescent="0.25">
      <c r="A166" s="65"/>
      <c r="B166" s="2"/>
      <c r="C166" s="63"/>
      <c r="D166" s="2"/>
    </row>
    <row r="167" spans="1:4" ht="14.25" customHeight="1" x14ac:dyDescent="0.25">
      <c r="A167" s="65"/>
      <c r="B167" s="2"/>
      <c r="C167" s="63"/>
      <c r="D167" s="2"/>
    </row>
    <row r="168" spans="1:4" ht="14.25" customHeight="1" x14ac:dyDescent="0.25">
      <c r="A168" s="65"/>
      <c r="B168" s="2"/>
      <c r="C168" s="63"/>
      <c r="D168" s="2"/>
    </row>
    <row r="169" spans="1:4" ht="14.25" customHeight="1" x14ac:dyDescent="0.25">
      <c r="A169" s="65"/>
      <c r="B169" s="2"/>
      <c r="C169" s="63"/>
      <c r="D169" s="2"/>
    </row>
    <row r="170" spans="1:4" ht="14.25" customHeight="1" x14ac:dyDescent="0.25">
      <c r="A170" s="65"/>
      <c r="B170" s="2"/>
      <c r="C170" s="63"/>
      <c r="D170" s="2"/>
    </row>
    <row r="171" spans="1:4" ht="14.25" customHeight="1" x14ac:dyDescent="0.25">
      <c r="A171" s="65"/>
      <c r="B171" s="2"/>
      <c r="C171" s="63"/>
      <c r="D171" s="2"/>
    </row>
    <row r="172" spans="1:4" ht="14.25" customHeight="1" x14ac:dyDescent="0.25">
      <c r="A172" s="65"/>
      <c r="B172" s="2"/>
      <c r="C172" s="63"/>
      <c r="D172" s="2"/>
    </row>
    <row r="173" spans="1:4" ht="14.25" customHeight="1" x14ac:dyDescent="0.25">
      <c r="A173" s="65"/>
      <c r="B173" s="2"/>
      <c r="C173" s="63"/>
      <c r="D173" s="2"/>
    </row>
    <row r="174" spans="1:4" ht="14.25" customHeight="1" x14ac:dyDescent="0.25">
      <c r="A174" s="65"/>
      <c r="B174" s="2"/>
      <c r="C174" s="63"/>
      <c r="D174" s="2"/>
    </row>
    <row r="175" spans="1:4" ht="14.25" customHeight="1" x14ac:dyDescent="0.25">
      <c r="A175" s="65"/>
      <c r="B175" s="2"/>
      <c r="C175" s="63"/>
      <c r="D175" s="2"/>
    </row>
    <row r="176" spans="1:4" ht="14.25" customHeight="1" x14ac:dyDescent="0.25">
      <c r="A176" s="65"/>
      <c r="B176" s="2"/>
      <c r="C176" s="63"/>
      <c r="D176" s="2"/>
    </row>
    <row r="177" spans="1:4" ht="14.25" customHeight="1" x14ac:dyDescent="0.25">
      <c r="A177" s="65"/>
      <c r="B177" s="2"/>
      <c r="C177" s="63"/>
      <c r="D177" s="2"/>
    </row>
    <row r="178" spans="1:4" ht="14.25" customHeight="1" x14ac:dyDescent="0.25">
      <c r="A178" s="65"/>
      <c r="B178" s="2"/>
      <c r="C178" s="63"/>
      <c r="D178" s="2"/>
    </row>
    <row r="179" spans="1:4" ht="14.25" customHeight="1" x14ac:dyDescent="0.25">
      <c r="A179" s="65"/>
      <c r="B179" s="2"/>
      <c r="C179" s="63"/>
      <c r="D179" s="2"/>
    </row>
    <row r="180" spans="1:4" ht="14.25" customHeight="1" x14ac:dyDescent="0.25">
      <c r="A180" s="65"/>
      <c r="B180" s="2"/>
      <c r="C180" s="63"/>
      <c r="D180" s="2"/>
    </row>
    <row r="181" spans="1:4" ht="14.25" customHeight="1" x14ac:dyDescent="0.25">
      <c r="A181" s="65"/>
      <c r="B181" s="2"/>
      <c r="C181" s="63"/>
      <c r="D181" s="2"/>
    </row>
    <row r="182" spans="1:4" ht="14.25" customHeight="1" x14ac:dyDescent="0.25">
      <c r="A182" s="65"/>
      <c r="B182" s="2"/>
      <c r="C182" s="63"/>
      <c r="D182" s="2"/>
    </row>
    <row r="183" spans="1:4" ht="14.25" customHeight="1" x14ac:dyDescent="0.25">
      <c r="A183" s="65"/>
      <c r="B183" s="2"/>
      <c r="C183" s="63"/>
      <c r="D183" s="2"/>
    </row>
    <row r="184" spans="1:4" ht="14.25" customHeight="1" x14ac:dyDescent="0.25">
      <c r="A184" s="65"/>
      <c r="B184" s="2"/>
      <c r="C184" s="63"/>
      <c r="D184" s="2"/>
    </row>
    <row r="185" spans="1:4" ht="14.25" customHeight="1" x14ac:dyDescent="0.25">
      <c r="A185" s="65"/>
      <c r="B185" s="2"/>
      <c r="C185" s="63"/>
      <c r="D185" s="2"/>
    </row>
    <row r="186" spans="1:4" ht="14.25" customHeight="1" x14ac:dyDescent="0.25">
      <c r="A186" s="65"/>
      <c r="B186" s="2"/>
      <c r="C186" s="63"/>
      <c r="D186" s="2"/>
    </row>
    <row r="187" spans="1:4" ht="14.25" customHeight="1" x14ac:dyDescent="0.25">
      <c r="A187" s="65"/>
      <c r="B187" s="2"/>
      <c r="C187" s="63"/>
      <c r="D187" s="2"/>
    </row>
    <row r="188" spans="1:4" ht="14.25" customHeight="1" x14ac:dyDescent="0.25">
      <c r="A188" s="65"/>
      <c r="B188" s="2"/>
      <c r="C188" s="63"/>
      <c r="D188" s="2"/>
    </row>
    <row r="189" spans="1:4" ht="14.25" customHeight="1" x14ac:dyDescent="0.25">
      <c r="A189" s="65"/>
      <c r="B189" s="2"/>
      <c r="C189" s="63"/>
      <c r="D189" s="2"/>
    </row>
    <row r="190" spans="1:4" ht="14.25" customHeight="1" x14ac:dyDescent="0.25">
      <c r="A190" s="65"/>
      <c r="B190" s="2"/>
      <c r="C190" s="63"/>
      <c r="D190" s="2"/>
    </row>
    <row r="191" spans="1:4" ht="14.25" customHeight="1" x14ac:dyDescent="0.25">
      <c r="A191" s="65"/>
      <c r="B191" s="2"/>
      <c r="C191" s="63"/>
      <c r="D191" s="2"/>
    </row>
    <row r="192" spans="1:4" ht="14.25" customHeight="1" x14ac:dyDescent="0.25">
      <c r="A192" s="65"/>
      <c r="B192" s="2"/>
      <c r="C192" s="63"/>
      <c r="D192" s="2"/>
    </row>
    <row r="193" spans="1:4" ht="14.25" customHeight="1" x14ac:dyDescent="0.25">
      <c r="A193" s="65"/>
      <c r="B193" s="2"/>
      <c r="C193" s="63"/>
      <c r="D193" s="2"/>
    </row>
    <row r="194" spans="1:4" ht="14.25" customHeight="1" x14ac:dyDescent="0.25">
      <c r="A194" s="65"/>
      <c r="B194" s="2"/>
      <c r="C194" s="63"/>
      <c r="D194" s="2"/>
    </row>
    <row r="195" spans="1:4" ht="14.25" customHeight="1" x14ac:dyDescent="0.25">
      <c r="A195" s="65"/>
      <c r="B195" s="2"/>
      <c r="C195" s="63"/>
      <c r="D195" s="2"/>
    </row>
    <row r="196" spans="1:4" ht="14.25" customHeight="1" x14ac:dyDescent="0.25">
      <c r="A196" s="65"/>
      <c r="B196" s="2"/>
      <c r="C196" s="63"/>
      <c r="D196" s="2"/>
    </row>
    <row r="197" spans="1:4" ht="14.25" customHeight="1" x14ac:dyDescent="0.25">
      <c r="A197" s="65"/>
      <c r="B197" s="2"/>
      <c r="C197" s="63"/>
      <c r="D197" s="2"/>
    </row>
    <row r="198" spans="1:4" ht="14.25" customHeight="1" x14ac:dyDescent="0.25">
      <c r="A198" s="65"/>
      <c r="B198" s="2"/>
      <c r="C198" s="63"/>
      <c r="D198" s="2"/>
    </row>
    <row r="199" spans="1:4" ht="14.25" customHeight="1" x14ac:dyDescent="0.25">
      <c r="A199" s="65"/>
      <c r="B199" s="2"/>
      <c r="C199" s="63"/>
      <c r="D199" s="2"/>
    </row>
    <row r="200" spans="1:4" ht="14.25" customHeight="1" x14ac:dyDescent="0.25">
      <c r="A200" s="65"/>
      <c r="B200" s="2"/>
      <c r="C200" s="63"/>
      <c r="D200" s="2"/>
    </row>
    <row r="201" spans="1:4" ht="14.25" customHeight="1" x14ac:dyDescent="0.25">
      <c r="A201" s="65"/>
      <c r="B201" s="2"/>
      <c r="C201" s="63"/>
      <c r="D201" s="2"/>
    </row>
    <row r="202" spans="1:4" ht="14.25" customHeight="1" x14ac:dyDescent="0.25">
      <c r="A202" s="65"/>
      <c r="B202" s="2"/>
      <c r="C202" s="63"/>
      <c r="D202" s="2"/>
    </row>
    <row r="203" spans="1:4" ht="14.25" customHeight="1" x14ac:dyDescent="0.25">
      <c r="A203" s="65"/>
      <c r="B203" s="2"/>
      <c r="C203" s="63"/>
      <c r="D203" s="2"/>
    </row>
    <row r="204" spans="1:4" ht="14.25" customHeight="1" x14ac:dyDescent="0.25">
      <c r="A204" s="65"/>
      <c r="B204" s="2"/>
      <c r="C204" s="63"/>
      <c r="D204" s="2"/>
    </row>
    <row r="205" spans="1:4" ht="14.25" customHeight="1" x14ac:dyDescent="0.25">
      <c r="A205" s="65"/>
      <c r="B205" s="2"/>
      <c r="C205" s="63"/>
      <c r="D205" s="2"/>
    </row>
    <row r="206" spans="1:4" ht="14.25" customHeight="1" x14ac:dyDescent="0.25">
      <c r="A206" s="65"/>
      <c r="B206" s="2"/>
      <c r="C206" s="63"/>
      <c r="D206" s="2"/>
    </row>
    <row r="207" spans="1:4" ht="14.25" customHeight="1" x14ac:dyDescent="0.25">
      <c r="A207" s="65"/>
      <c r="B207" s="2"/>
      <c r="C207" s="63"/>
      <c r="D207" s="2"/>
    </row>
    <row r="208" spans="1:4" ht="14.25" customHeight="1" x14ac:dyDescent="0.25">
      <c r="A208" s="65"/>
      <c r="B208" s="2"/>
      <c r="C208" s="63"/>
      <c r="D208" s="2"/>
    </row>
    <row r="209" spans="1:4" ht="14.25" customHeight="1" x14ac:dyDescent="0.25">
      <c r="A209" s="65"/>
      <c r="B209" s="2"/>
      <c r="C209" s="63"/>
      <c r="D209" s="2"/>
    </row>
    <row r="210" spans="1:4" ht="14.25" customHeight="1" x14ac:dyDescent="0.25">
      <c r="A210" s="65"/>
      <c r="B210" s="2"/>
      <c r="C210" s="63"/>
      <c r="D210" s="2"/>
    </row>
    <row r="211" spans="1:4" ht="14.25" customHeight="1" x14ac:dyDescent="0.25">
      <c r="A211" s="65"/>
      <c r="B211" s="2"/>
      <c r="C211" s="63"/>
      <c r="D211" s="2"/>
    </row>
    <row r="212" spans="1:4" ht="14.25" customHeight="1" x14ac:dyDescent="0.25">
      <c r="A212" s="65"/>
      <c r="B212" s="2"/>
      <c r="C212" s="63"/>
      <c r="D212" s="2"/>
    </row>
    <row r="213" spans="1:4" ht="14.25" customHeight="1" x14ac:dyDescent="0.25">
      <c r="A213" s="65"/>
      <c r="B213" s="2"/>
      <c r="C213" s="63"/>
      <c r="D213" s="2"/>
    </row>
    <row r="214" spans="1:4" ht="14.25" customHeight="1" x14ac:dyDescent="0.25">
      <c r="A214" s="65"/>
      <c r="B214" s="2"/>
      <c r="C214" s="63"/>
      <c r="D214" s="2"/>
    </row>
    <row r="215" spans="1:4" ht="14.25" customHeight="1" x14ac:dyDescent="0.25">
      <c r="A215" s="65"/>
      <c r="B215" s="2"/>
      <c r="C215" s="63"/>
      <c r="D215" s="2"/>
    </row>
    <row r="216" spans="1:4" ht="14.25" customHeight="1" x14ac:dyDescent="0.25">
      <c r="A216" s="65"/>
      <c r="B216" s="2"/>
      <c r="C216" s="63"/>
      <c r="D216" s="2"/>
    </row>
    <row r="217" spans="1:4" ht="14.25" customHeight="1" x14ac:dyDescent="0.25">
      <c r="A217" s="65"/>
      <c r="B217" s="2"/>
      <c r="C217" s="63"/>
      <c r="D217" s="2"/>
    </row>
    <row r="218" spans="1:4" ht="14.25" customHeight="1" x14ac:dyDescent="0.25">
      <c r="A218" s="65"/>
      <c r="B218" s="2"/>
      <c r="C218" s="63"/>
      <c r="D218" s="2"/>
    </row>
    <row r="219" spans="1:4" ht="14.25" customHeight="1" x14ac:dyDescent="0.25">
      <c r="A219" s="65"/>
      <c r="B219" s="2"/>
      <c r="C219" s="63"/>
      <c r="D219" s="2"/>
    </row>
    <row r="220" spans="1:4" ht="14.25" customHeight="1" x14ac:dyDescent="0.25">
      <c r="A220" s="65"/>
      <c r="B220" s="2"/>
      <c r="C220" s="63"/>
      <c r="D220" s="2"/>
    </row>
    <row r="221" spans="1:4" ht="14.25" customHeight="1" x14ac:dyDescent="0.25">
      <c r="A221" s="65"/>
      <c r="B221" s="2"/>
      <c r="C221" s="63"/>
      <c r="D221" s="2"/>
    </row>
    <row r="222" spans="1:4" ht="14.25" customHeight="1" x14ac:dyDescent="0.25">
      <c r="A222" s="65"/>
      <c r="B222" s="2"/>
      <c r="C222" s="63"/>
      <c r="D222" s="2"/>
    </row>
    <row r="223" spans="1:4" ht="14.25" customHeight="1" x14ac:dyDescent="0.25">
      <c r="A223" s="65"/>
      <c r="B223" s="2"/>
      <c r="C223" s="63"/>
      <c r="D223" s="2"/>
    </row>
    <row r="224" spans="1:4" ht="14.25" customHeight="1" x14ac:dyDescent="0.25">
      <c r="A224" s="65"/>
      <c r="B224" s="2"/>
      <c r="C224" s="63"/>
      <c r="D224" s="2"/>
    </row>
    <row r="225" spans="1:4" ht="14.25" customHeight="1" x14ac:dyDescent="0.25">
      <c r="A225" s="65"/>
      <c r="B225" s="2"/>
      <c r="C225" s="63"/>
      <c r="D225" s="2"/>
    </row>
    <row r="226" spans="1:4" ht="14.25" customHeight="1" x14ac:dyDescent="0.25">
      <c r="A226" s="65"/>
      <c r="B226" s="2"/>
      <c r="C226" s="63"/>
      <c r="D226" s="2"/>
    </row>
    <row r="227" spans="1:4" ht="14.25" customHeight="1" x14ac:dyDescent="0.25">
      <c r="A227" s="65"/>
      <c r="B227" s="2"/>
      <c r="C227" s="63"/>
      <c r="D227" s="2"/>
    </row>
    <row r="228" spans="1:4" ht="14.25" customHeight="1" x14ac:dyDescent="0.25">
      <c r="A228" s="65"/>
      <c r="B228" s="2"/>
      <c r="C228" s="63"/>
      <c r="D228" s="2"/>
    </row>
    <row r="229" spans="1:4" ht="14.25" customHeight="1" x14ac:dyDescent="0.25">
      <c r="A229" s="65"/>
      <c r="B229" s="2"/>
      <c r="C229" s="63"/>
      <c r="D229" s="2"/>
    </row>
    <row r="230" spans="1:4" ht="14.25" customHeight="1" x14ac:dyDescent="0.25">
      <c r="A230" s="65"/>
      <c r="B230" s="2"/>
      <c r="C230" s="63"/>
      <c r="D230" s="2"/>
    </row>
    <row r="231" spans="1:4" ht="14.25" customHeight="1" x14ac:dyDescent="0.25">
      <c r="A231" s="65"/>
      <c r="B231" s="2"/>
      <c r="C231" s="63"/>
      <c r="D231" s="2"/>
    </row>
    <row r="232" spans="1:4" ht="14.25" customHeight="1" x14ac:dyDescent="0.25">
      <c r="A232" s="65"/>
      <c r="B232" s="2"/>
      <c r="C232" s="63"/>
      <c r="D232" s="2"/>
    </row>
    <row r="233" spans="1:4" ht="14.25" customHeight="1" x14ac:dyDescent="0.25">
      <c r="A233" s="65"/>
      <c r="B233" s="2"/>
      <c r="C233" s="63"/>
      <c r="D233" s="2"/>
    </row>
    <row r="234" spans="1:4" ht="14.25" customHeight="1" x14ac:dyDescent="0.25">
      <c r="A234" s="65"/>
      <c r="B234" s="2"/>
      <c r="C234" s="63"/>
      <c r="D234" s="2"/>
    </row>
    <row r="235" spans="1:4" ht="14.25" customHeight="1" x14ac:dyDescent="0.25">
      <c r="A235" s="65"/>
      <c r="B235" s="2"/>
      <c r="C235" s="63"/>
      <c r="D235" s="2"/>
    </row>
    <row r="236" spans="1:4" ht="14.25" customHeight="1" x14ac:dyDescent="0.25">
      <c r="A236" s="65"/>
      <c r="B236" s="2"/>
      <c r="C236" s="63"/>
      <c r="D236" s="2"/>
    </row>
    <row r="237" spans="1:4" ht="14.25" customHeight="1" x14ac:dyDescent="0.25">
      <c r="A237" s="65"/>
      <c r="B237" s="2"/>
      <c r="C237" s="63"/>
      <c r="D237" s="2"/>
    </row>
    <row r="238" spans="1:4" ht="14.25" customHeight="1" x14ac:dyDescent="0.25">
      <c r="A238" s="65"/>
      <c r="B238" s="2"/>
      <c r="C238" s="63"/>
      <c r="D238" s="2"/>
    </row>
    <row r="239" spans="1:4" ht="14.25" customHeight="1" x14ac:dyDescent="0.25">
      <c r="A239" s="65"/>
      <c r="B239" s="2"/>
      <c r="C239" s="63"/>
      <c r="D239" s="2"/>
    </row>
    <row r="240" spans="1:4" ht="14.25" customHeight="1" x14ac:dyDescent="0.25">
      <c r="A240" s="65"/>
      <c r="B240" s="2"/>
      <c r="C240" s="63"/>
      <c r="D240" s="2"/>
    </row>
    <row r="241" spans="1:4" ht="14.25" customHeight="1" x14ac:dyDescent="0.25">
      <c r="A241" s="65"/>
      <c r="B241" s="2"/>
      <c r="C241" s="63"/>
      <c r="D241" s="2"/>
    </row>
    <row r="242" spans="1:4" ht="14.25" customHeight="1" x14ac:dyDescent="0.25">
      <c r="A242" s="65"/>
      <c r="B242" s="2"/>
      <c r="C242" s="63"/>
      <c r="D242" s="2"/>
    </row>
    <row r="243" spans="1:4" ht="14.25" customHeight="1" x14ac:dyDescent="0.25">
      <c r="A243" s="65"/>
      <c r="B243" s="2"/>
      <c r="C243" s="63"/>
      <c r="D243" s="2"/>
    </row>
    <row r="244" spans="1:4" ht="14.25" customHeight="1" x14ac:dyDescent="0.25">
      <c r="A244" s="65"/>
      <c r="B244" s="2"/>
      <c r="C244" s="63"/>
      <c r="D244" s="2"/>
    </row>
    <row r="245" spans="1:4" ht="14.25" customHeight="1" x14ac:dyDescent="0.25">
      <c r="A245" s="65"/>
      <c r="B245" s="2"/>
      <c r="C245" s="63"/>
      <c r="D245" s="2"/>
    </row>
    <row r="246" spans="1:4" ht="14.25" customHeight="1" x14ac:dyDescent="0.25">
      <c r="A246" s="65"/>
      <c r="B246" s="2"/>
      <c r="C246" s="63"/>
      <c r="D246" s="2"/>
    </row>
    <row r="247" spans="1:4" ht="14.25" customHeight="1" x14ac:dyDescent="0.25">
      <c r="A247" s="65"/>
      <c r="B247" s="2"/>
      <c r="C247" s="63"/>
      <c r="D247" s="2"/>
    </row>
    <row r="248" spans="1:4" ht="14.25" customHeight="1" x14ac:dyDescent="0.25">
      <c r="A248" s="65"/>
      <c r="B248" s="2"/>
      <c r="C248" s="63"/>
      <c r="D248" s="2"/>
    </row>
    <row r="249" spans="1:4" ht="14.25" customHeight="1" x14ac:dyDescent="0.25">
      <c r="A249" s="66"/>
      <c r="B249" s="4"/>
      <c r="C249" s="67"/>
      <c r="D249" s="2"/>
    </row>
    <row r="250" spans="1:4" ht="14.25" customHeight="1" x14ac:dyDescent="0.25">
      <c r="A250" s="65"/>
      <c r="B250" s="2"/>
      <c r="C250" s="63"/>
      <c r="D250" s="2"/>
    </row>
    <row r="251" spans="1:4" ht="14.25" customHeight="1" x14ac:dyDescent="0.25">
      <c r="A251" s="65"/>
      <c r="B251" s="2"/>
      <c r="C251" s="63"/>
      <c r="D251" s="2"/>
    </row>
    <row r="252" spans="1:4" ht="14.25" customHeight="1" x14ac:dyDescent="0.25">
      <c r="A252" s="66" t="s">
        <v>201</v>
      </c>
      <c r="B252" s="4"/>
      <c r="C252" s="68">
        <f>SUBTOTAL(109,Added_Stock!$C$2:$C$251)</f>
        <v>1045</v>
      </c>
      <c r="D252" s="66">
        <f>SUBTOTAL(103,Added_Stock!$D$2:$D$251)</f>
        <v>42</v>
      </c>
    </row>
    <row r="253" spans="1:4" ht="14.25" customHeight="1" x14ac:dyDescent="0.25">
      <c r="C253" s="64"/>
      <c r="D253" s="18"/>
    </row>
    <row r="254" spans="1:4" ht="14.25" customHeight="1" x14ac:dyDescent="0.25">
      <c r="C254" s="64"/>
      <c r="D254" s="18"/>
    </row>
    <row r="255" spans="1:4" ht="14.25" customHeight="1" x14ac:dyDescent="0.25">
      <c r="C255" s="64"/>
      <c r="D255" s="18"/>
    </row>
    <row r="256" spans="1:4" ht="14.25" customHeight="1" x14ac:dyDescent="0.25">
      <c r="C256" s="64"/>
      <c r="D256" s="18"/>
    </row>
    <row r="257" spans="3:4" ht="14.25" customHeight="1" x14ac:dyDescent="0.25">
      <c r="C257" s="64"/>
      <c r="D257" s="18"/>
    </row>
    <row r="258" spans="3:4" ht="14.25" customHeight="1" x14ac:dyDescent="0.25">
      <c r="C258" s="64"/>
      <c r="D258" s="18"/>
    </row>
    <row r="259" spans="3:4" ht="14.25" customHeight="1" x14ac:dyDescent="0.25">
      <c r="C259" s="64"/>
      <c r="D259" s="18"/>
    </row>
    <row r="260" spans="3:4" ht="14.25" customHeight="1" x14ac:dyDescent="0.25">
      <c r="C260" s="64"/>
      <c r="D260" s="18"/>
    </row>
    <row r="261" spans="3:4" ht="14.25" customHeight="1" x14ac:dyDescent="0.25">
      <c r="C261" s="64"/>
      <c r="D261" s="18"/>
    </row>
    <row r="262" spans="3:4" ht="14.25" customHeight="1" x14ac:dyDescent="0.25">
      <c r="C262" s="64"/>
      <c r="D262" s="18"/>
    </row>
    <row r="263" spans="3:4" ht="14.25" customHeight="1" x14ac:dyDescent="0.25">
      <c r="C263" s="64"/>
      <c r="D263" s="18"/>
    </row>
    <row r="264" spans="3:4" ht="14.25" customHeight="1" x14ac:dyDescent="0.25">
      <c r="C264" s="64"/>
      <c r="D264" s="18"/>
    </row>
    <row r="265" spans="3:4" ht="14.25" customHeight="1" x14ac:dyDescent="0.25">
      <c r="C265" s="64"/>
      <c r="D265" s="18"/>
    </row>
    <row r="266" spans="3:4" ht="14.25" customHeight="1" x14ac:dyDescent="0.25">
      <c r="C266" s="64"/>
      <c r="D266" s="18"/>
    </row>
    <row r="267" spans="3:4" ht="14.25" customHeight="1" x14ac:dyDescent="0.25">
      <c r="C267" s="64"/>
      <c r="D267" s="18"/>
    </row>
    <row r="268" spans="3:4" ht="14.25" customHeight="1" x14ac:dyDescent="0.25">
      <c r="C268" s="64"/>
      <c r="D268" s="18"/>
    </row>
    <row r="269" spans="3:4" ht="14.25" customHeight="1" x14ac:dyDescent="0.25">
      <c r="C269" s="64"/>
      <c r="D269" s="18"/>
    </row>
    <row r="270" spans="3:4" ht="14.25" customHeight="1" x14ac:dyDescent="0.25">
      <c r="C270" s="64"/>
      <c r="D270" s="18"/>
    </row>
    <row r="271" spans="3:4" ht="14.25" customHeight="1" x14ac:dyDescent="0.25">
      <c r="C271" s="64"/>
      <c r="D271" s="18"/>
    </row>
    <row r="272" spans="3:4" ht="14.25" customHeight="1" x14ac:dyDescent="0.25">
      <c r="C272" s="64"/>
      <c r="D272" s="18"/>
    </row>
    <row r="273" spans="3:4" ht="14.25" customHeight="1" x14ac:dyDescent="0.25">
      <c r="C273" s="64"/>
      <c r="D273" s="18"/>
    </row>
    <row r="274" spans="3:4" ht="14.25" customHeight="1" x14ac:dyDescent="0.25">
      <c r="C274" s="64"/>
      <c r="D274" s="18"/>
    </row>
    <row r="275" spans="3:4" ht="14.25" customHeight="1" x14ac:dyDescent="0.25">
      <c r="C275" s="64"/>
      <c r="D275" s="18"/>
    </row>
    <row r="276" spans="3:4" ht="14.25" customHeight="1" x14ac:dyDescent="0.25">
      <c r="C276" s="64"/>
      <c r="D276" s="18"/>
    </row>
    <row r="277" spans="3:4" ht="14.25" customHeight="1" x14ac:dyDescent="0.25">
      <c r="C277" s="64"/>
      <c r="D277" s="18"/>
    </row>
    <row r="278" spans="3:4" ht="14.25" customHeight="1" x14ac:dyDescent="0.25">
      <c r="C278" s="64"/>
      <c r="D278" s="18"/>
    </row>
    <row r="279" spans="3:4" ht="14.25" customHeight="1" x14ac:dyDescent="0.25">
      <c r="C279" s="64"/>
      <c r="D279" s="18"/>
    </row>
    <row r="280" spans="3:4" ht="14.25" customHeight="1" x14ac:dyDescent="0.25">
      <c r="C280" s="64"/>
      <c r="D280" s="18"/>
    </row>
    <row r="281" spans="3:4" ht="14.25" customHeight="1" x14ac:dyDescent="0.25">
      <c r="C281" s="64"/>
      <c r="D281" s="18"/>
    </row>
    <row r="282" spans="3:4" ht="14.25" customHeight="1" x14ac:dyDescent="0.25">
      <c r="C282" s="64"/>
      <c r="D282" s="18"/>
    </row>
    <row r="283" spans="3:4" ht="14.25" customHeight="1" x14ac:dyDescent="0.25">
      <c r="C283" s="64"/>
      <c r="D283" s="18"/>
    </row>
    <row r="284" spans="3:4" ht="14.25" customHeight="1" x14ac:dyDescent="0.25">
      <c r="C284" s="64"/>
      <c r="D284" s="18"/>
    </row>
    <row r="285" spans="3:4" ht="14.25" customHeight="1" x14ac:dyDescent="0.25">
      <c r="C285" s="64"/>
      <c r="D285" s="18"/>
    </row>
    <row r="286" spans="3:4" ht="14.25" customHeight="1" x14ac:dyDescent="0.25">
      <c r="C286" s="64"/>
      <c r="D286" s="18"/>
    </row>
    <row r="287" spans="3:4" ht="14.25" customHeight="1" x14ac:dyDescent="0.25">
      <c r="C287" s="64"/>
      <c r="D287" s="18"/>
    </row>
    <row r="288" spans="3:4" ht="14.25" customHeight="1" x14ac:dyDescent="0.25">
      <c r="C288" s="64"/>
      <c r="D288" s="18"/>
    </row>
    <row r="289" spans="3:4" ht="14.25" customHeight="1" x14ac:dyDescent="0.25">
      <c r="C289" s="64"/>
      <c r="D289" s="18"/>
    </row>
    <row r="290" spans="3:4" ht="14.25" customHeight="1" x14ac:dyDescent="0.25">
      <c r="C290" s="64"/>
      <c r="D290" s="18"/>
    </row>
    <row r="291" spans="3:4" ht="14.25" customHeight="1" x14ac:dyDescent="0.25">
      <c r="C291" s="64"/>
      <c r="D291" s="18"/>
    </row>
    <row r="292" spans="3:4" ht="14.25" customHeight="1" x14ac:dyDescent="0.25">
      <c r="C292" s="64"/>
      <c r="D292" s="18"/>
    </row>
    <row r="293" spans="3:4" ht="14.25" customHeight="1" x14ac:dyDescent="0.25">
      <c r="C293" s="64"/>
      <c r="D293" s="18"/>
    </row>
    <row r="294" spans="3:4" ht="14.25" customHeight="1" x14ac:dyDescent="0.25">
      <c r="C294" s="64"/>
      <c r="D294" s="18"/>
    </row>
    <row r="295" spans="3:4" ht="14.25" customHeight="1" x14ac:dyDescent="0.25">
      <c r="C295" s="64"/>
      <c r="D295" s="18"/>
    </row>
    <row r="296" spans="3:4" ht="14.25" customHeight="1" x14ac:dyDescent="0.25">
      <c r="C296" s="64"/>
      <c r="D296" s="18"/>
    </row>
    <row r="297" spans="3:4" ht="14.25" customHeight="1" x14ac:dyDescent="0.25">
      <c r="C297" s="64"/>
      <c r="D297" s="18"/>
    </row>
    <row r="298" spans="3:4" ht="14.25" customHeight="1" x14ac:dyDescent="0.25">
      <c r="C298" s="64"/>
      <c r="D298" s="18"/>
    </row>
    <row r="299" spans="3:4" ht="14.25" customHeight="1" x14ac:dyDescent="0.25">
      <c r="C299" s="64"/>
      <c r="D299" s="18"/>
    </row>
    <row r="300" spans="3:4" ht="14.25" customHeight="1" x14ac:dyDescent="0.25">
      <c r="C300" s="64"/>
      <c r="D300" s="18"/>
    </row>
    <row r="301" spans="3:4" ht="14.25" customHeight="1" x14ac:dyDescent="0.25">
      <c r="C301" s="64"/>
      <c r="D301" s="18"/>
    </row>
    <row r="302" spans="3:4" ht="14.25" customHeight="1" x14ac:dyDescent="0.25">
      <c r="C302" s="64"/>
      <c r="D302" s="18"/>
    </row>
    <row r="303" spans="3:4" ht="14.25" customHeight="1" x14ac:dyDescent="0.25">
      <c r="C303" s="64"/>
      <c r="D303" s="18"/>
    </row>
    <row r="304" spans="3:4" ht="14.25" customHeight="1" x14ac:dyDescent="0.25">
      <c r="C304" s="64"/>
      <c r="D304" s="18"/>
    </row>
    <row r="305" spans="3:4" ht="14.25" customHeight="1" x14ac:dyDescent="0.25">
      <c r="C305" s="64"/>
      <c r="D305" s="18"/>
    </row>
    <row r="306" spans="3:4" ht="14.25" customHeight="1" x14ac:dyDescent="0.25">
      <c r="C306" s="64"/>
      <c r="D306" s="18"/>
    </row>
    <row r="307" spans="3:4" ht="14.25" customHeight="1" x14ac:dyDescent="0.25">
      <c r="C307" s="64"/>
      <c r="D307" s="18"/>
    </row>
    <row r="308" spans="3:4" ht="14.25" customHeight="1" x14ac:dyDescent="0.25">
      <c r="C308" s="64"/>
      <c r="D308" s="18"/>
    </row>
    <row r="309" spans="3:4" ht="14.25" customHeight="1" x14ac:dyDescent="0.25">
      <c r="C309" s="64"/>
      <c r="D309" s="18"/>
    </row>
    <row r="310" spans="3:4" ht="14.25" customHeight="1" x14ac:dyDescent="0.25">
      <c r="C310" s="64"/>
      <c r="D310" s="18"/>
    </row>
    <row r="311" spans="3:4" ht="14.25" customHeight="1" x14ac:dyDescent="0.25">
      <c r="C311" s="64"/>
      <c r="D311" s="18"/>
    </row>
    <row r="312" spans="3:4" ht="14.25" customHeight="1" x14ac:dyDescent="0.25">
      <c r="C312" s="64"/>
      <c r="D312" s="18"/>
    </row>
    <row r="313" spans="3:4" ht="14.25" customHeight="1" x14ac:dyDescent="0.25">
      <c r="C313" s="64"/>
      <c r="D313" s="18"/>
    </row>
    <row r="314" spans="3:4" ht="14.25" customHeight="1" x14ac:dyDescent="0.25">
      <c r="C314" s="64"/>
      <c r="D314" s="18"/>
    </row>
    <row r="315" spans="3:4" ht="14.25" customHeight="1" x14ac:dyDescent="0.25">
      <c r="C315" s="64"/>
      <c r="D315" s="18"/>
    </row>
    <row r="316" spans="3:4" ht="14.25" customHeight="1" x14ac:dyDescent="0.25">
      <c r="C316" s="64"/>
      <c r="D316" s="18"/>
    </row>
    <row r="317" spans="3:4" ht="14.25" customHeight="1" x14ac:dyDescent="0.25">
      <c r="C317" s="64"/>
      <c r="D317" s="18"/>
    </row>
    <row r="318" spans="3:4" ht="14.25" customHeight="1" x14ac:dyDescent="0.25">
      <c r="C318" s="64"/>
      <c r="D318" s="18"/>
    </row>
    <row r="319" spans="3:4" ht="14.25" customHeight="1" x14ac:dyDescent="0.25">
      <c r="C319" s="64"/>
      <c r="D319" s="18"/>
    </row>
    <row r="320" spans="3:4" ht="14.25" customHeight="1" x14ac:dyDescent="0.25">
      <c r="C320" s="64"/>
      <c r="D320" s="18"/>
    </row>
    <row r="321" spans="3:4" ht="14.25" customHeight="1" x14ac:dyDescent="0.25">
      <c r="C321" s="64"/>
      <c r="D321" s="18"/>
    </row>
    <row r="322" spans="3:4" ht="14.25" customHeight="1" x14ac:dyDescent="0.25">
      <c r="C322" s="64"/>
      <c r="D322" s="18"/>
    </row>
    <row r="323" spans="3:4" ht="14.25" customHeight="1" x14ac:dyDescent="0.25">
      <c r="C323" s="64"/>
      <c r="D323" s="18"/>
    </row>
    <row r="324" spans="3:4" ht="14.25" customHeight="1" x14ac:dyDescent="0.25">
      <c r="C324" s="64"/>
      <c r="D324" s="18"/>
    </row>
    <row r="325" spans="3:4" ht="14.25" customHeight="1" x14ac:dyDescent="0.25">
      <c r="C325" s="64"/>
      <c r="D325" s="18"/>
    </row>
    <row r="326" spans="3:4" ht="14.25" customHeight="1" x14ac:dyDescent="0.25">
      <c r="C326" s="64"/>
      <c r="D326" s="18"/>
    </row>
    <row r="327" spans="3:4" ht="14.25" customHeight="1" x14ac:dyDescent="0.25">
      <c r="C327" s="64"/>
      <c r="D327" s="18"/>
    </row>
    <row r="328" spans="3:4" ht="14.25" customHeight="1" x14ac:dyDescent="0.25">
      <c r="C328" s="64"/>
      <c r="D328" s="18"/>
    </row>
    <row r="329" spans="3:4" ht="14.25" customHeight="1" x14ac:dyDescent="0.25">
      <c r="C329" s="64"/>
      <c r="D329" s="18"/>
    </row>
    <row r="330" spans="3:4" ht="14.25" customHeight="1" x14ac:dyDescent="0.25">
      <c r="C330" s="64"/>
      <c r="D330" s="18"/>
    </row>
    <row r="331" spans="3:4" ht="14.25" customHeight="1" x14ac:dyDescent="0.25">
      <c r="C331" s="64"/>
      <c r="D331" s="18"/>
    </row>
    <row r="332" spans="3:4" ht="14.25" customHeight="1" x14ac:dyDescent="0.25">
      <c r="C332" s="64"/>
      <c r="D332" s="18"/>
    </row>
    <row r="333" spans="3:4" ht="14.25" customHeight="1" x14ac:dyDescent="0.25">
      <c r="C333" s="64"/>
      <c r="D333" s="18"/>
    </row>
    <row r="334" spans="3:4" ht="14.25" customHeight="1" x14ac:dyDescent="0.25">
      <c r="C334" s="64"/>
      <c r="D334" s="18"/>
    </row>
    <row r="335" spans="3:4" ht="14.25" customHeight="1" x14ac:dyDescent="0.25">
      <c r="C335" s="64"/>
      <c r="D335" s="18"/>
    </row>
    <row r="336" spans="3:4" ht="14.25" customHeight="1" x14ac:dyDescent="0.25">
      <c r="C336" s="64"/>
      <c r="D336" s="18"/>
    </row>
    <row r="337" spans="3:4" ht="14.25" customHeight="1" x14ac:dyDescent="0.25">
      <c r="C337" s="64"/>
      <c r="D337" s="18"/>
    </row>
    <row r="338" spans="3:4" ht="14.25" customHeight="1" x14ac:dyDescent="0.25">
      <c r="C338" s="64"/>
      <c r="D338" s="18"/>
    </row>
    <row r="339" spans="3:4" ht="14.25" customHeight="1" x14ac:dyDescent="0.25">
      <c r="C339" s="64"/>
      <c r="D339" s="18"/>
    </row>
    <row r="340" spans="3:4" ht="14.25" customHeight="1" x14ac:dyDescent="0.25">
      <c r="C340" s="64"/>
      <c r="D340" s="18"/>
    </row>
    <row r="341" spans="3:4" ht="14.25" customHeight="1" x14ac:dyDescent="0.25">
      <c r="C341" s="64"/>
      <c r="D341" s="18"/>
    </row>
    <row r="342" spans="3:4" ht="14.25" customHeight="1" x14ac:dyDescent="0.25">
      <c r="C342" s="64"/>
      <c r="D342" s="18"/>
    </row>
    <row r="343" spans="3:4" ht="14.25" customHeight="1" x14ac:dyDescent="0.25">
      <c r="C343" s="64"/>
      <c r="D343" s="18"/>
    </row>
    <row r="344" spans="3:4" ht="14.25" customHeight="1" x14ac:dyDescent="0.25">
      <c r="C344" s="64"/>
      <c r="D344" s="18"/>
    </row>
    <row r="345" spans="3:4" ht="14.25" customHeight="1" x14ac:dyDescent="0.25">
      <c r="C345" s="64"/>
      <c r="D345" s="18"/>
    </row>
    <row r="346" spans="3:4" ht="14.25" customHeight="1" x14ac:dyDescent="0.25">
      <c r="C346" s="64"/>
      <c r="D346" s="18"/>
    </row>
    <row r="347" spans="3:4" ht="14.25" customHeight="1" x14ac:dyDescent="0.25">
      <c r="C347" s="64"/>
      <c r="D347" s="18"/>
    </row>
    <row r="348" spans="3:4" ht="14.25" customHeight="1" x14ac:dyDescent="0.25">
      <c r="C348" s="64"/>
      <c r="D348" s="18"/>
    </row>
    <row r="349" spans="3:4" ht="14.25" customHeight="1" x14ac:dyDescent="0.25">
      <c r="C349" s="64"/>
      <c r="D349" s="18"/>
    </row>
    <row r="350" spans="3:4" ht="14.25" customHeight="1" x14ac:dyDescent="0.25">
      <c r="C350" s="64"/>
      <c r="D350" s="18"/>
    </row>
    <row r="351" spans="3:4" ht="14.25" customHeight="1" x14ac:dyDescent="0.25">
      <c r="C351" s="64"/>
      <c r="D351" s="18"/>
    </row>
    <row r="352" spans="3:4" ht="14.25" customHeight="1" x14ac:dyDescent="0.25">
      <c r="C352" s="64"/>
      <c r="D352" s="18"/>
    </row>
    <row r="353" spans="3:4" ht="14.25" customHeight="1" x14ac:dyDescent="0.25">
      <c r="C353" s="64"/>
      <c r="D353" s="18"/>
    </row>
    <row r="354" spans="3:4" ht="14.25" customHeight="1" x14ac:dyDescent="0.25">
      <c r="C354" s="64"/>
      <c r="D354" s="18"/>
    </row>
    <row r="355" spans="3:4" ht="14.25" customHeight="1" x14ac:dyDescent="0.25">
      <c r="C355" s="64"/>
      <c r="D355" s="18"/>
    </row>
    <row r="356" spans="3:4" ht="14.25" customHeight="1" x14ac:dyDescent="0.25">
      <c r="C356" s="64"/>
      <c r="D356" s="18"/>
    </row>
    <row r="357" spans="3:4" ht="14.25" customHeight="1" x14ac:dyDescent="0.25">
      <c r="C357" s="64"/>
      <c r="D357" s="18"/>
    </row>
    <row r="358" spans="3:4" ht="14.25" customHeight="1" x14ac:dyDescent="0.25">
      <c r="C358" s="64"/>
      <c r="D358" s="18"/>
    </row>
    <row r="359" spans="3:4" ht="14.25" customHeight="1" x14ac:dyDescent="0.25">
      <c r="C359" s="64"/>
      <c r="D359" s="18"/>
    </row>
    <row r="360" spans="3:4" ht="14.25" customHeight="1" x14ac:dyDescent="0.25">
      <c r="C360" s="64"/>
      <c r="D360" s="18"/>
    </row>
    <row r="361" spans="3:4" ht="14.25" customHeight="1" x14ac:dyDescent="0.25">
      <c r="C361" s="64"/>
      <c r="D361" s="18"/>
    </row>
    <row r="362" spans="3:4" ht="14.25" customHeight="1" x14ac:dyDescent="0.25">
      <c r="C362" s="64"/>
      <c r="D362" s="18"/>
    </row>
    <row r="363" spans="3:4" ht="14.25" customHeight="1" x14ac:dyDescent="0.25">
      <c r="C363" s="64"/>
      <c r="D363" s="18"/>
    </row>
    <row r="364" spans="3:4" ht="14.25" customHeight="1" x14ac:dyDescent="0.25">
      <c r="C364" s="64"/>
      <c r="D364" s="18"/>
    </row>
    <row r="365" spans="3:4" ht="14.25" customHeight="1" x14ac:dyDescent="0.25">
      <c r="C365" s="64"/>
      <c r="D365" s="18"/>
    </row>
    <row r="366" spans="3:4" ht="14.25" customHeight="1" x14ac:dyDescent="0.25">
      <c r="C366" s="64"/>
      <c r="D366" s="18"/>
    </row>
    <row r="367" spans="3:4" ht="14.25" customHeight="1" x14ac:dyDescent="0.25">
      <c r="C367" s="64"/>
      <c r="D367" s="18"/>
    </row>
    <row r="368" spans="3:4" ht="14.25" customHeight="1" x14ac:dyDescent="0.25">
      <c r="C368" s="64"/>
      <c r="D368" s="18"/>
    </row>
    <row r="369" spans="3:4" ht="14.25" customHeight="1" x14ac:dyDescent="0.25">
      <c r="C369" s="64"/>
      <c r="D369" s="18"/>
    </row>
    <row r="370" spans="3:4" ht="14.25" customHeight="1" x14ac:dyDescent="0.25">
      <c r="C370" s="64"/>
      <c r="D370" s="18"/>
    </row>
    <row r="371" spans="3:4" ht="14.25" customHeight="1" x14ac:dyDescent="0.25">
      <c r="C371" s="64"/>
      <c r="D371" s="18"/>
    </row>
    <row r="372" spans="3:4" ht="14.25" customHeight="1" x14ac:dyDescent="0.25">
      <c r="C372" s="64"/>
      <c r="D372" s="18"/>
    </row>
    <row r="373" spans="3:4" ht="14.25" customHeight="1" x14ac:dyDescent="0.25">
      <c r="C373" s="64"/>
      <c r="D373" s="18"/>
    </row>
    <row r="374" spans="3:4" ht="14.25" customHeight="1" x14ac:dyDescent="0.25">
      <c r="C374" s="64"/>
      <c r="D374" s="18"/>
    </row>
    <row r="375" spans="3:4" ht="14.25" customHeight="1" x14ac:dyDescent="0.25">
      <c r="C375" s="64"/>
      <c r="D375" s="18"/>
    </row>
    <row r="376" spans="3:4" ht="14.25" customHeight="1" x14ac:dyDescent="0.25">
      <c r="C376" s="64"/>
      <c r="D376" s="18"/>
    </row>
    <row r="377" spans="3:4" ht="14.25" customHeight="1" x14ac:dyDescent="0.25">
      <c r="C377" s="64"/>
      <c r="D377" s="18"/>
    </row>
    <row r="378" spans="3:4" ht="14.25" customHeight="1" x14ac:dyDescent="0.25">
      <c r="C378" s="64"/>
      <c r="D378" s="18"/>
    </row>
    <row r="379" spans="3:4" ht="14.25" customHeight="1" x14ac:dyDescent="0.25">
      <c r="C379" s="64"/>
      <c r="D379" s="18"/>
    </row>
    <row r="380" spans="3:4" ht="14.25" customHeight="1" x14ac:dyDescent="0.25">
      <c r="C380" s="64"/>
      <c r="D380" s="18"/>
    </row>
    <row r="381" spans="3:4" ht="14.25" customHeight="1" x14ac:dyDescent="0.25">
      <c r="C381" s="64"/>
      <c r="D381" s="18"/>
    </row>
    <row r="382" spans="3:4" ht="14.25" customHeight="1" x14ac:dyDescent="0.25">
      <c r="C382" s="64"/>
      <c r="D382" s="18"/>
    </row>
    <row r="383" spans="3:4" ht="14.25" customHeight="1" x14ac:dyDescent="0.25">
      <c r="C383" s="64"/>
      <c r="D383" s="18"/>
    </row>
    <row r="384" spans="3:4" ht="14.25" customHeight="1" x14ac:dyDescent="0.25">
      <c r="C384" s="64"/>
      <c r="D384" s="18"/>
    </row>
    <row r="385" spans="3:4" ht="14.25" customHeight="1" x14ac:dyDescent="0.25">
      <c r="C385" s="64"/>
      <c r="D385" s="18"/>
    </row>
    <row r="386" spans="3:4" ht="14.25" customHeight="1" x14ac:dyDescent="0.25">
      <c r="C386" s="64"/>
      <c r="D386" s="18"/>
    </row>
    <row r="387" spans="3:4" ht="14.25" customHeight="1" x14ac:dyDescent="0.25">
      <c r="C387" s="64"/>
      <c r="D387" s="18"/>
    </row>
    <row r="388" spans="3:4" ht="14.25" customHeight="1" x14ac:dyDescent="0.25">
      <c r="C388" s="64"/>
      <c r="D388" s="18"/>
    </row>
    <row r="389" spans="3:4" ht="14.25" customHeight="1" x14ac:dyDescent="0.25">
      <c r="C389" s="64"/>
      <c r="D389" s="18"/>
    </row>
    <row r="390" spans="3:4" ht="14.25" customHeight="1" x14ac:dyDescent="0.25">
      <c r="C390" s="64"/>
      <c r="D390" s="18"/>
    </row>
    <row r="391" spans="3:4" ht="14.25" customHeight="1" x14ac:dyDescent="0.25">
      <c r="C391" s="64"/>
      <c r="D391" s="18"/>
    </row>
    <row r="392" spans="3:4" ht="14.25" customHeight="1" x14ac:dyDescent="0.25">
      <c r="C392" s="64"/>
      <c r="D392" s="18"/>
    </row>
    <row r="393" spans="3:4" ht="14.25" customHeight="1" x14ac:dyDescent="0.25">
      <c r="C393" s="64"/>
      <c r="D393" s="18"/>
    </row>
    <row r="394" spans="3:4" ht="14.25" customHeight="1" x14ac:dyDescent="0.25">
      <c r="C394" s="64"/>
      <c r="D394" s="18"/>
    </row>
    <row r="395" spans="3:4" ht="14.25" customHeight="1" x14ac:dyDescent="0.25">
      <c r="C395" s="64"/>
      <c r="D395" s="18"/>
    </row>
    <row r="396" spans="3:4" ht="14.25" customHeight="1" x14ac:dyDescent="0.25">
      <c r="C396" s="64"/>
      <c r="D396" s="18"/>
    </row>
    <row r="397" spans="3:4" ht="14.25" customHeight="1" x14ac:dyDescent="0.25">
      <c r="C397" s="64"/>
      <c r="D397" s="18"/>
    </row>
    <row r="398" spans="3:4" ht="14.25" customHeight="1" x14ac:dyDescent="0.25">
      <c r="C398" s="64"/>
      <c r="D398" s="18"/>
    </row>
    <row r="399" spans="3:4" ht="14.25" customHeight="1" x14ac:dyDescent="0.25">
      <c r="C399" s="64"/>
      <c r="D399" s="18"/>
    </row>
    <row r="400" spans="3:4" ht="14.25" customHeight="1" x14ac:dyDescent="0.25">
      <c r="C400" s="64"/>
      <c r="D400" s="18"/>
    </row>
    <row r="401" spans="3:4" ht="14.25" customHeight="1" x14ac:dyDescent="0.25">
      <c r="C401" s="64"/>
      <c r="D401" s="18"/>
    </row>
    <row r="402" spans="3:4" ht="14.25" customHeight="1" x14ac:dyDescent="0.25">
      <c r="C402" s="64"/>
      <c r="D402" s="18"/>
    </row>
    <row r="403" spans="3:4" ht="14.25" customHeight="1" x14ac:dyDescent="0.25">
      <c r="C403" s="64"/>
      <c r="D403" s="18"/>
    </row>
    <row r="404" spans="3:4" ht="14.25" customHeight="1" x14ac:dyDescent="0.25">
      <c r="C404" s="64"/>
      <c r="D404" s="18"/>
    </row>
    <row r="405" spans="3:4" ht="14.25" customHeight="1" x14ac:dyDescent="0.25">
      <c r="C405" s="64"/>
      <c r="D405" s="18"/>
    </row>
    <row r="406" spans="3:4" ht="14.25" customHeight="1" x14ac:dyDescent="0.25">
      <c r="C406" s="64"/>
      <c r="D406" s="18"/>
    </row>
    <row r="407" spans="3:4" ht="14.25" customHeight="1" x14ac:dyDescent="0.25">
      <c r="C407" s="64"/>
      <c r="D407" s="18"/>
    </row>
    <row r="408" spans="3:4" ht="14.25" customHeight="1" x14ac:dyDescent="0.25">
      <c r="C408" s="64"/>
      <c r="D408" s="18"/>
    </row>
    <row r="409" spans="3:4" ht="14.25" customHeight="1" x14ac:dyDescent="0.25">
      <c r="C409" s="64"/>
      <c r="D409" s="18"/>
    </row>
    <row r="410" spans="3:4" ht="14.25" customHeight="1" x14ac:dyDescent="0.25">
      <c r="C410" s="64"/>
      <c r="D410" s="18"/>
    </row>
    <row r="411" spans="3:4" ht="14.25" customHeight="1" x14ac:dyDescent="0.25">
      <c r="C411" s="64"/>
      <c r="D411" s="18"/>
    </row>
    <row r="412" spans="3:4" ht="14.25" customHeight="1" x14ac:dyDescent="0.25">
      <c r="C412" s="64"/>
      <c r="D412" s="18"/>
    </row>
    <row r="413" spans="3:4" ht="14.25" customHeight="1" x14ac:dyDescent="0.25">
      <c r="C413" s="64"/>
      <c r="D413" s="18"/>
    </row>
    <row r="414" spans="3:4" ht="14.25" customHeight="1" x14ac:dyDescent="0.25">
      <c r="C414" s="64"/>
      <c r="D414" s="18"/>
    </row>
    <row r="415" spans="3:4" ht="14.25" customHeight="1" x14ac:dyDescent="0.25">
      <c r="C415" s="64"/>
      <c r="D415" s="18"/>
    </row>
    <row r="416" spans="3:4" ht="14.25" customHeight="1" x14ac:dyDescent="0.25">
      <c r="C416" s="64"/>
      <c r="D416" s="18"/>
    </row>
    <row r="417" spans="3:4" ht="14.25" customHeight="1" x14ac:dyDescent="0.25">
      <c r="C417" s="64"/>
      <c r="D417" s="18"/>
    </row>
    <row r="418" spans="3:4" ht="14.25" customHeight="1" x14ac:dyDescent="0.25">
      <c r="C418" s="64"/>
      <c r="D418" s="18"/>
    </row>
    <row r="419" spans="3:4" ht="14.25" customHeight="1" x14ac:dyDescent="0.25">
      <c r="C419" s="64"/>
      <c r="D419" s="18"/>
    </row>
    <row r="420" spans="3:4" ht="14.25" customHeight="1" x14ac:dyDescent="0.25">
      <c r="C420" s="64"/>
      <c r="D420" s="18"/>
    </row>
    <row r="421" spans="3:4" ht="14.25" customHeight="1" x14ac:dyDescent="0.25">
      <c r="C421" s="64"/>
      <c r="D421" s="18"/>
    </row>
    <row r="422" spans="3:4" ht="14.25" customHeight="1" x14ac:dyDescent="0.25">
      <c r="C422" s="64"/>
      <c r="D422" s="18"/>
    </row>
    <row r="423" spans="3:4" ht="14.25" customHeight="1" x14ac:dyDescent="0.25">
      <c r="C423" s="64"/>
      <c r="D423" s="18"/>
    </row>
    <row r="424" spans="3:4" ht="14.25" customHeight="1" x14ac:dyDescent="0.25">
      <c r="C424" s="64"/>
      <c r="D424" s="18"/>
    </row>
    <row r="425" spans="3:4" ht="14.25" customHeight="1" x14ac:dyDescent="0.25">
      <c r="C425" s="64"/>
      <c r="D425" s="18"/>
    </row>
    <row r="426" spans="3:4" ht="14.25" customHeight="1" x14ac:dyDescent="0.25">
      <c r="C426" s="64"/>
      <c r="D426" s="18"/>
    </row>
    <row r="427" spans="3:4" ht="14.25" customHeight="1" x14ac:dyDescent="0.25">
      <c r="C427" s="64"/>
      <c r="D427" s="18"/>
    </row>
    <row r="428" spans="3:4" ht="14.25" customHeight="1" x14ac:dyDescent="0.25">
      <c r="C428" s="64"/>
      <c r="D428" s="18"/>
    </row>
    <row r="429" spans="3:4" ht="14.25" customHeight="1" x14ac:dyDescent="0.25">
      <c r="C429" s="64"/>
      <c r="D429" s="18"/>
    </row>
    <row r="430" spans="3:4" ht="14.25" customHeight="1" x14ac:dyDescent="0.25">
      <c r="C430" s="64"/>
      <c r="D430" s="18"/>
    </row>
    <row r="431" spans="3:4" ht="14.25" customHeight="1" x14ac:dyDescent="0.25">
      <c r="C431" s="64"/>
      <c r="D431" s="18"/>
    </row>
    <row r="432" spans="3:4" ht="14.25" customHeight="1" x14ac:dyDescent="0.25">
      <c r="C432" s="64"/>
      <c r="D432" s="18"/>
    </row>
    <row r="433" spans="3:4" ht="14.25" customHeight="1" x14ac:dyDescent="0.25">
      <c r="C433" s="64"/>
      <c r="D433" s="18"/>
    </row>
    <row r="434" spans="3:4" ht="14.25" customHeight="1" x14ac:dyDescent="0.25">
      <c r="C434" s="64"/>
      <c r="D434" s="18"/>
    </row>
    <row r="435" spans="3:4" ht="14.25" customHeight="1" x14ac:dyDescent="0.25">
      <c r="C435" s="64"/>
      <c r="D435" s="18"/>
    </row>
    <row r="436" spans="3:4" ht="14.25" customHeight="1" x14ac:dyDescent="0.25">
      <c r="C436" s="64"/>
      <c r="D436" s="18"/>
    </row>
    <row r="437" spans="3:4" ht="14.25" customHeight="1" x14ac:dyDescent="0.25">
      <c r="C437" s="64"/>
      <c r="D437" s="18"/>
    </row>
    <row r="438" spans="3:4" ht="14.25" customHeight="1" x14ac:dyDescent="0.25">
      <c r="C438" s="64"/>
      <c r="D438" s="18"/>
    </row>
    <row r="439" spans="3:4" ht="14.25" customHeight="1" x14ac:dyDescent="0.25">
      <c r="C439" s="64"/>
      <c r="D439" s="18"/>
    </row>
    <row r="440" spans="3:4" ht="14.25" customHeight="1" x14ac:dyDescent="0.25">
      <c r="C440" s="64"/>
      <c r="D440" s="18"/>
    </row>
    <row r="441" spans="3:4" ht="14.25" customHeight="1" x14ac:dyDescent="0.25">
      <c r="C441" s="64"/>
      <c r="D441" s="18"/>
    </row>
    <row r="442" spans="3:4" ht="14.25" customHeight="1" x14ac:dyDescent="0.25">
      <c r="C442" s="64"/>
      <c r="D442" s="18"/>
    </row>
    <row r="443" spans="3:4" ht="14.25" customHeight="1" x14ac:dyDescent="0.25">
      <c r="C443" s="64"/>
      <c r="D443" s="18"/>
    </row>
    <row r="444" spans="3:4" ht="14.25" customHeight="1" x14ac:dyDescent="0.25">
      <c r="C444" s="64"/>
      <c r="D444" s="18"/>
    </row>
    <row r="445" spans="3:4" ht="14.25" customHeight="1" x14ac:dyDescent="0.25">
      <c r="C445" s="64"/>
      <c r="D445" s="18"/>
    </row>
    <row r="446" spans="3:4" ht="14.25" customHeight="1" x14ac:dyDescent="0.25">
      <c r="C446" s="64"/>
      <c r="D446" s="18"/>
    </row>
    <row r="447" spans="3:4" ht="14.25" customHeight="1" x14ac:dyDescent="0.25">
      <c r="C447" s="64"/>
      <c r="D447" s="18"/>
    </row>
    <row r="448" spans="3:4" ht="14.25" customHeight="1" x14ac:dyDescent="0.25">
      <c r="C448" s="64"/>
      <c r="D448" s="18"/>
    </row>
    <row r="449" spans="3:4" ht="14.25" customHeight="1" x14ac:dyDescent="0.25">
      <c r="C449" s="64"/>
      <c r="D449" s="18"/>
    </row>
    <row r="450" spans="3:4" ht="14.25" customHeight="1" x14ac:dyDescent="0.25">
      <c r="C450" s="64"/>
      <c r="D450" s="18"/>
    </row>
    <row r="451" spans="3:4" ht="14.25" customHeight="1" x14ac:dyDescent="0.25">
      <c r="C451" s="64"/>
      <c r="D451" s="18"/>
    </row>
    <row r="452" spans="3:4" ht="14.25" customHeight="1" x14ac:dyDescent="0.25">
      <c r="C452" s="64"/>
      <c r="D452" s="18"/>
    </row>
    <row r="453" spans="3:4" ht="14.25" customHeight="1" x14ac:dyDescent="0.25">
      <c r="C453" s="64"/>
      <c r="D453" s="18"/>
    </row>
    <row r="454" spans="3:4" ht="14.25" customHeight="1" x14ac:dyDescent="0.25">
      <c r="C454" s="64"/>
      <c r="D454" s="18"/>
    </row>
    <row r="455" spans="3:4" ht="14.25" customHeight="1" x14ac:dyDescent="0.25">
      <c r="C455" s="64"/>
      <c r="D455" s="18"/>
    </row>
    <row r="456" spans="3:4" ht="14.25" customHeight="1" x14ac:dyDescent="0.25">
      <c r="C456" s="64"/>
      <c r="D456" s="18"/>
    </row>
    <row r="457" spans="3:4" ht="14.25" customHeight="1" x14ac:dyDescent="0.25">
      <c r="C457" s="64"/>
      <c r="D457" s="18"/>
    </row>
    <row r="458" spans="3:4" ht="14.25" customHeight="1" x14ac:dyDescent="0.25">
      <c r="C458" s="64"/>
      <c r="D458" s="18"/>
    </row>
    <row r="459" spans="3:4" ht="14.25" customHeight="1" x14ac:dyDescent="0.25">
      <c r="C459" s="64"/>
      <c r="D459" s="18"/>
    </row>
    <row r="460" spans="3:4" ht="14.25" customHeight="1" x14ac:dyDescent="0.25">
      <c r="C460" s="64"/>
      <c r="D460" s="18"/>
    </row>
    <row r="461" spans="3:4" ht="14.25" customHeight="1" x14ac:dyDescent="0.25">
      <c r="C461" s="64"/>
      <c r="D461" s="18"/>
    </row>
    <row r="462" spans="3:4" ht="14.25" customHeight="1" x14ac:dyDescent="0.25">
      <c r="C462" s="64"/>
      <c r="D462" s="18"/>
    </row>
    <row r="463" spans="3:4" ht="14.25" customHeight="1" x14ac:dyDescent="0.25">
      <c r="C463" s="64"/>
      <c r="D463" s="18"/>
    </row>
    <row r="464" spans="3:4" ht="14.25" customHeight="1" x14ac:dyDescent="0.25">
      <c r="C464" s="64"/>
      <c r="D464" s="18"/>
    </row>
    <row r="465" spans="3:4" ht="14.25" customHeight="1" x14ac:dyDescent="0.25">
      <c r="C465" s="64"/>
      <c r="D465" s="18"/>
    </row>
    <row r="466" spans="3:4" ht="14.25" customHeight="1" x14ac:dyDescent="0.25">
      <c r="C466" s="64"/>
      <c r="D466" s="18"/>
    </row>
    <row r="467" spans="3:4" ht="14.25" customHeight="1" x14ac:dyDescent="0.25">
      <c r="C467" s="64"/>
      <c r="D467" s="18"/>
    </row>
    <row r="468" spans="3:4" ht="14.25" customHeight="1" x14ac:dyDescent="0.25">
      <c r="C468" s="64"/>
      <c r="D468" s="18"/>
    </row>
    <row r="469" spans="3:4" ht="14.25" customHeight="1" x14ac:dyDescent="0.25">
      <c r="C469" s="64"/>
      <c r="D469" s="18"/>
    </row>
    <row r="470" spans="3:4" ht="14.25" customHeight="1" x14ac:dyDescent="0.25">
      <c r="C470" s="64"/>
      <c r="D470" s="18"/>
    </row>
    <row r="471" spans="3:4" ht="14.25" customHeight="1" x14ac:dyDescent="0.25">
      <c r="C471" s="64"/>
      <c r="D471" s="18"/>
    </row>
    <row r="472" spans="3:4" ht="14.25" customHeight="1" x14ac:dyDescent="0.25">
      <c r="C472" s="64"/>
      <c r="D472" s="18"/>
    </row>
    <row r="473" spans="3:4" ht="14.25" customHeight="1" x14ac:dyDescent="0.25">
      <c r="C473" s="64"/>
      <c r="D473" s="18"/>
    </row>
    <row r="474" spans="3:4" ht="14.25" customHeight="1" x14ac:dyDescent="0.25">
      <c r="C474" s="64"/>
      <c r="D474" s="18"/>
    </row>
    <row r="475" spans="3:4" ht="14.25" customHeight="1" x14ac:dyDescent="0.25">
      <c r="C475" s="64"/>
      <c r="D475" s="18"/>
    </row>
    <row r="476" spans="3:4" ht="14.25" customHeight="1" x14ac:dyDescent="0.25">
      <c r="C476" s="64"/>
      <c r="D476" s="18"/>
    </row>
    <row r="477" spans="3:4" ht="14.25" customHeight="1" x14ac:dyDescent="0.25">
      <c r="C477" s="64"/>
      <c r="D477" s="18"/>
    </row>
    <row r="478" spans="3:4" ht="14.25" customHeight="1" x14ac:dyDescent="0.25">
      <c r="C478" s="64"/>
      <c r="D478" s="18"/>
    </row>
    <row r="479" spans="3:4" ht="14.25" customHeight="1" x14ac:dyDescent="0.25">
      <c r="C479" s="64"/>
      <c r="D479" s="18"/>
    </row>
    <row r="480" spans="3:4" ht="14.25" customHeight="1" x14ac:dyDescent="0.25">
      <c r="C480" s="64"/>
      <c r="D480" s="18"/>
    </row>
    <row r="481" spans="3:4" ht="14.25" customHeight="1" x14ac:dyDescent="0.25">
      <c r="C481" s="64"/>
      <c r="D481" s="18"/>
    </row>
    <row r="482" spans="3:4" ht="14.25" customHeight="1" x14ac:dyDescent="0.25">
      <c r="C482" s="64"/>
      <c r="D482" s="18"/>
    </row>
    <row r="483" spans="3:4" ht="14.25" customHeight="1" x14ac:dyDescent="0.25">
      <c r="C483" s="64"/>
      <c r="D483" s="18"/>
    </row>
    <row r="484" spans="3:4" ht="14.25" customHeight="1" x14ac:dyDescent="0.25">
      <c r="C484" s="64"/>
      <c r="D484" s="18"/>
    </row>
    <row r="485" spans="3:4" ht="14.25" customHeight="1" x14ac:dyDescent="0.25">
      <c r="C485" s="64"/>
      <c r="D485" s="18"/>
    </row>
    <row r="486" spans="3:4" ht="14.25" customHeight="1" x14ac:dyDescent="0.25">
      <c r="C486" s="64"/>
      <c r="D486" s="18"/>
    </row>
    <row r="487" spans="3:4" ht="14.25" customHeight="1" x14ac:dyDescent="0.25">
      <c r="C487" s="64"/>
      <c r="D487" s="18"/>
    </row>
    <row r="488" spans="3:4" ht="14.25" customHeight="1" x14ac:dyDescent="0.25">
      <c r="C488" s="64"/>
      <c r="D488" s="18"/>
    </row>
    <row r="489" spans="3:4" ht="14.25" customHeight="1" x14ac:dyDescent="0.25">
      <c r="C489" s="64"/>
      <c r="D489" s="18"/>
    </row>
    <row r="490" spans="3:4" ht="14.25" customHeight="1" x14ac:dyDescent="0.25">
      <c r="C490" s="64"/>
      <c r="D490" s="18"/>
    </row>
    <row r="491" spans="3:4" ht="14.25" customHeight="1" x14ac:dyDescent="0.25">
      <c r="C491" s="64"/>
      <c r="D491" s="18"/>
    </row>
    <row r="492" spans="3:4" ht="14.25" customHeight="1" x14ac:dyDescent="0.25">
      <c r="C492" s="64"/>
      <c r="D492" s="18"/>
    </row>
    <row r="493" spans="3:4" ht="14.25" customHeight="1" x14ac:dyDescent="0.25">
      <c r="C493" s="64"/>
      <c r="D493" s="18"/>
    </row>
    <row r="494" spans="3:4" ht="14.25" customHeight="1" x14ac:dyDescent="0.25">
      <c r="C494" s="64"/>
      <c r="D494" s="18"/>
    </row>
    <row r="495" spans="3:4" ht="14.25" customHeight="1" x14ac:dyDescent="0.25">
      <c r="C495" s="64"/>
      <c r="D495" s="18"/>
    </row>
    <row r="496" spans="3:4" ht="14.25" customHeight="1" x14ac:dyDescent="0.25">
      <c r="C496" s="64"/>
      <c r="D496" s="18"/>
    </row>
    <row r="497" spans="3:4" ht="14.25" customHeight="1" x14ac:dyDescent="0.25">
      <c r="C497" s="64"/>
      <c r="D497" s="18"/>
    </row>
    <row r="498" spans="3:4" ht="14.25" customHeight="1" x14ac:dyDescent="0.25">
      <c r="C498" s="64"/>
      <c r="D498" s="18"/>
    </row>
    <row r="499" spans="3:4" ht="14.25" customHeight="1" x14ac:dyDescent="0.25">
      <c r="C499" s="64"/>
      <c r="D499" s="18"/>
    </row>
    <row r="500" spans="3:4" ht="14.25" customHeight="1" x14ac:dyDescent="0.25">
      <c r="C500" s="64"/>
      <c r="D500" s="18"/>
    </row>
    <row r="501" spans="3:4" ht="14.25" customHeight="1" x14ac:dyDescent="0.25">
      <c r="C501" s="64"/>
      <c r="D501" s="18"/>
    </row>
    <row r="502" spans="3:4" ht="14.25" customHeight="1" x14ac:dyDescent="0.25">
      <c r="C502" s="64"/>
      <c r="D502" s="18"/>
    </row>
    <row r="503" spans="3:4" ht="14.25" customHeight="1" x14ac:dyDescent="0.25">
      <c r="C503" s="64"/>
      <c r="D503" s="18"/>
    </row>
    <row r="504" spans="3:4" ht="14.25" customHeight="1" x14ac:dyDescent="0.25">
      <c r="C504" s="64"/>
      <c r="D504" s="18"/>
    </row>
    <row r="505" spans="3:4" ht="14.25" customHeight="1" x14ac:dyDescent="0.25">
      <c r="C505" s="64"/>
      <c r="D505" s="18"/>
    </row>
    <row r="506" spans="3:4" ht="14.25" customHeight="1" x14ac:dyDescent="0.25">
      <c r="C506" s="64"/>
      <c r="D506" s="18"/>
    </row>
    <row r="507" spans="3:4" ht="14.25" customHeight="1" x14ac:dyDescent="0.25">
      <c r="C507" s="64"/>
      <c r="D507" s="18"/>
    </row>
    <row r="508" spans="3:4" ht="14.25" customHeight="1" x14ac:dyDescent="0.25">
      <c r="C508" s="64"/>
      <c r="D508" s="18"/>
    </row>
    <row r="509" spans="3:4" ht="14.25" customHeight="1" x14ac:dyDescent="0.25">
      <c r="C509" s="64"/>
      <c r="D509" s="18"/>
    </row>
    <row r="510" spans="3:4" ht="14.25" customHeight="1" x14ac:dyDescent="0.25">
      <c r="C510" s="64"/>
      <c r="D510" s="18"/>
    </row>
    <row r="511" spans="3:4" ht="14.25" customHeight="1" x14ac:dyDescent="0.25">
      <c r="C511" s="64"/>
      <c r="D511" s="18"/>
    </row>
    <row r="512" spans="3:4" ht="14.25" customHeight="1" x14ac:dyDescent="0.25">
      <c r="C512" s="64"/>
      <c r="D512" s="18"/>
    </row>
    <row r="513" spans="3:4" ht="14.25" customHeight="1" x14ac:dyDescent="0.25">
      <c r="C513" s="64"/>
      <c r="D513" s="18"/>
    </row>
    <row r="514" spans="3:4" ht="14.25" customHeight="1" x14ac:dyDescent="0.25">
      <c r="C514" s="64"/>
      <c r="D514" s="18"/>
    </row>
    <row r="515" spans="3:4" ht="14.25" customHeight="1" x14ac:dyDescent="0.25">
      <c r="C515" s="64"/>
      <c r="D515" s="18"/>
    </row>
    <row r="516" spans="3:4" ht="14.25" customHeight="1" x14ac:dyDescent="0.25">
      <c r="C516" s="64"/>
      <c r="D516" s="18"/>
    </row>
    <row r="517" spans="3:4" ht="14.25" customHeight="1" x14ac:dyDescent="0.25">
      <c r="C517" s="64"/>
      <c r="D517" s="18"/>
    </row>
    <row r="518" spans="3:4" ht="14.25" customHeight="1" x14ac:dyDescent="0.25">
      <c r="C518" s="64"/>
      <c r="D518" s="18"/>
    </row>
    <row r="519" spans="3:4" ht="14.25" customHeight="1" x14ac:dyDescent="0.25">
      <c r="C519" s="64"/>
      <c r="D519" s="18"/>
    </row>
    <row r="520" spans="3:4" ht="14.25" customHeight="1" x14ac:dyDescent="0.25">
      <c r="C520" s="64"/>
      <c r="D520" s="18"/>
    </row>
    <row r="521" spans="3:4" ht="14.25" customHeight="1" x14ac:dyDescent="0.25">
      <c r="C521" s="64"/>
      <c r="D521" s="18"/>
    </row>
    <row r="522" spans="3:4" ht="14.25" customHeight="1" x14ac:dyDescent="0.25">
      <c r="C522" s="64"/>
      <c r="D522" s="18"/>
    </row>
    <row r="523" spans="3:4" ht="14.25" customHeight="1" x14ac:dyDescent="0.25">
      <c r="C523" s="64"/>
      <c r="D523" s="18"/>
    </row>
    <row r="524" spans="3:4" ht="14.25" customHeight="1" x14ac:dyDescent="0.25">
      <c r="C524" s="64"/>
      <c r="D524" s="18"/>
    </row>
    <row r="525" spans="3:4" ht="14.25" customHeight="1" x14ac:dyDescent="0.25">
      <c r="C525" s="64"/>
      <c r="D525" s="18"/>
    </row>
    <row r="526" spans="3:4" ht="14.25" customHeight="1" x14ac:dyDescent="0.25">
      <c r="C526" s="64"/>
      <c r="D526" s="18"/>
    </row>
    <row r="527" spans="3:4" ht="14.25" customHeight="1" x14ac:dyDescent="0.25">
      <c r="C527" s="64"/>
      <c r="D527" s="18"/>
    </row>
    <row r="528" spans="3:4" ht="14.25" customHeight="1" x14ac:dyDescent="0.25">
      <c r="C528" s="64"/>
      <c r="D528" s="18"/>
    </row>
    <row r="529" spans="3:4" ht="14.25" customHeight="1" x14ac:dyDescent="0.25">
      <c r="C529" s="64"/>
      <c r="D529" s="18"/>
    </row>
    <row r="530" spans="3:4" ht="14.25" customHeight="1" x14ac:dyDescent="0.25">
      <c r="C530" s="64"/>
      <c r="D530" s="18"/>
    </row>
    <row r="531" spans="3:4" ht="14.25" customHeight="1" x14ac:dyDescent="0.25">
      <c r="C531" s="64"/>
      <c r="D531" s="18"/>
    </row>
    <row r="532" spans="3:4" ht="14.25" customHeight="1" x14ac:dyDescent="0.25">
      <c r="C532" s="64"/>
      <c r="D532" s="18"/>
    </row>
    <row r="533" spans="3:4" ht="14.25" customHeight="1" x14ac:dyDescent="0.25">
      <c r="C533" s="64"/>
      <c r="D533" s="18"/>
    </row>
    <row r="534" spans="3:4" ht="14.25" customHeight="1" x14ac:dyDescent="0.25">
      <c r="C534" s="64"/>
      <c r="D534" s="18"/>
    </row>
    <row r="535" spans="3:4" ht="14.25" customHeight="1" x14ac:dyDescent="0.25">
      <c r="C535" s="64"/>
      <c r="D535" s="18"/>
    </row>
    <row r="536" spans="3:4" ht="14.25" customHeight="1" x14ac:dyDescent="0.25">
      <c r="C536" s="64"/>
      <c r="D536" s="18"/>
    </row>
    <row r="537" spans="3:4" ht="14.25" customHeight="1" x14ac:dyDescent="0.25">
      <c r="C537" s="64"/>
      <c r="D537" s="18"/>
    </row>
    <row r="538" spans="3:4" ht="14.25" customHeight="1" x14ac:dyDescent="0.25">
      <c r="C538" s="64"/>
      <c r="D538" s="18"/>
    </row>
    <row r="539" spans="3:4" ht="14.25" customHeight="1" x14ac:dyDescent="0.25">
      <c r="C539" s="64"/>
      <c r="D539" s="18"/>
    </row>
    <row r="540" spans="3:4" ht="14.25" customHeight="1" x14ac:dyDescent="0.25">
      <c r="C540" s="64"/>
      <c r="D540" s="18"/>
    </row>
    <row r="541" spans="3:4" ht="14.25" customHeight="1" x14ac:dyDescent="0.25">
      <c r="C541" s="64"/>
      <c r="D541" s="18"/>
    </row>
    <row r="542" spans="3:4" ht="14.25" customHeight="1" x14ac:dyDescent="0.25">
      <c r="C542" s="64"/>
      <c r="D542" s="18"/>
    </row>
    <row r="543" spans="3:4" ht="14.25" customHeight="1" x14ac:dyDescent="0.25">
      <c r="C543" s="64"/>
      <c r="D543" s="18"/>
    </row>
    <row r="544" spans="3:4" ht="14.25" customHeight="1" x14ac:dyDescent="0.25">
      <c r="C544" s="64"/>
      <c r="D544" s="18"/>
    </row>
    <row r="545" spans="3:4" ht="14.25" customHeight="1" x14ac:dyDescent="0.25">
      <c r="C545" s="64"/>
      <c r="D545" s="18"/>
    </row>
    <row r="546" spans="3:4" ht="14.25" customHeight="1" x14ac:dyDescent="0.25">
      <c r="C546" s="64"/>
      <c r="D546" s="18"/>
    </row>
    <row r="547" spans="3:4" ht="14.25" customHeight="1" x14ac:dyDescent="0.25">
      <c r="C547" s="64"/>
      <c r="D547" s="18"/>
    </row>
    <row r="548" spans="3:4" ht="14.25" customHeight="1" x14ac:dyDescent="0.25">
      <c r="C548" s="64"/>
      <c r="D548" s="18"/>
    </row>
    <row r="549" spans="3:4" ht="14.25" customHeight="1" x14ac:dyDescent="0.25">
      <c r="C549" s="64"/>
      <c r="D549" s="18"/>
    </row>
    <row r="550" spans="3:4" ht="14.25" customHeight="1" x14ac:dyDescent="0.25">
      <c r="C550" s="64"/>
      <c r="D550" s="18"/>
    </row>
    <row r="551" spans="3:4" ht="14.25" customHeight="1" x14ac:dyDescent="0.25">
      <c r="C551" s="64"/>
      <c r="D551" s="18"/>
    </row>
    <row r="552" spans="3:4" ht="14.25" customHeight="1" x14ac:dyDescent="0.25">
      <c r="C552" s="64"/>
      <c r="D552" s="18"/>
    </row>
    <row r="553" spans="3:4" ht="14.25" customHeight="1" x14ac:dyDescent="0.25">
      <c r="C553" s="64"/>
      <c r="D553" s="18"/>
    </row>
    <row r="554" spans="3:4" ht="14.25" customHeight="1" x14ac:dyDescent="0.25">
      <c r="C554" s="64"/>
      <c r="D554" s="18"/>
    </row>
    <row r="555" spans="3:4" ht="14.25" customHeight="1" x14ac:dyDescent="0.25">
      <c r="C555" s="64"/>
      <c r="D555" s="18"/>
    </row>
    <row r="556" spans="3:4" ht="14.25" customHeight="1" x14ac:dyDescent="0.25">
      <c r="C556" s="64"/>
      <c r="D556" s="18"/>
    </row>
    <row r="557" spans="3:4" ht="14.25" customHeight="1" x14ac:dyDescent="0.25">
      <c r="C557" s="64"/>
      <c r="D557" s="18"/>
    </row>
    <row r="558" spans="3:4" ht="14.25" customHeight="1" x14ac:dyDescent="0.25">
      <c r="C558" s="64"/>
      <c r="D558" s="18"/>
    </row>
    <row r="559" spans="3:4" ht="14.25" customHeight="1" x14ac:dyDescent="0.25">
      <c r="C559" s="64"/>
      <c r="D559" s="18"/>
    </row>
    <row r="560" spans="3:4" ht="14.25" customHeight="1" x14ac:dyDescent="0.25">
      <c r="C560" s="64"/>
      <c r="D560" s="18"/>
    </row>
    <row r="561" spans="3:4" ht="14.25" customHeight="1" x14ac:dyDescent="0.25">
      <c r="C561" s="64"/>
      <c r="D561" s="18"/>
    </row>
    <row r="562" spans="3:4" ht="14.25" customHeight="1" x14ac:dyDescent="0.25">
      <c r="C562" s="64"/>
      <c r="D562" s="18"/>
    </row>
    <row r="563" spans="3:4" ht="14.25" customHeight="1" x14ac:dyDescent="0.25">
      <c r="C563" s="64"/>
      <c r="D563" s="18"/>
    </row>
    <row r="564" spans="3:4" ht="14.25" customHeight="1" x14ac:dyDescent="0.25">
      <c r="C564" s="64"/>
      <c r="D564" s="18"/>
    </row>
    <row r="565" spans="3:4" ht="14.25" customHeight="1" x14ac:dyDescent="0.25">
      <c r="C565" s="64"/>
      <c r="D565" s="18"/>
    </row>
    <row r="566" spans="3:4" ht="14.25" customHeight="1" x14ac:dyDescent="0.25">
      <c r="C566" s="64"/>
      <c r="D566" s="18"/>
    </row>
    <row r="567" spans="3:4" ht="14.25" customHeight="1" x14ac:dyDescent="0.25">
      <c r="C567" s="64"/>
      <c r="D567" s="18"/>
    </row>
    <row r="568" spans="3:4" ht="14.25" customHeight="1" x14ac:dyDescent="0.25">
      <c r="C568" s="64"/>
      <c r="D568" s="18"/>
    </row>
    <row r="569" spans="3:4" ht="14.25" customHeight="1" x14ac:dyDescent="0.25">
      <c r="C569" s="64"/>
      <c r="D569" s="18"/>
    </row>
    <row r="570" spans="3:4" ht="14.25" customHeight="1" x14ac:dyDescent="0.25">
      <c r="C570" s="64"/>
      <c r="D570" s="18"/>
    </row>
    <row r="571" spans="3:4" ht="14.25" customHeight="1" x14ac:dyDescent="0.25">
      <c r="C571" s="64"/>
      <c r="D571" s="18"/>
    </row>
    <row r="572" spans="3:4" ht="14.25" customHeight="1" x14ac:dyDescent="0.25">
      <c r="C572" s="64"/>
      <c r="D572" s="18"/>
    </row>
    <row r="573" spans="3:4" ht="14.25" customHeight="1" x14ac:dyDescent="0.25">
      <c r="C573" s="64"/>
      <c r="D573" s="18"/>
    </row>
    <row r="574" spans="3:4" ht="14.25" customHeight="1" x14ac:dyDescent="0.25">
      <c r="C574" s="64"/>
      <c r="D574" s="18"/>
    </row>
    <row r="575" spans="3:4" ht="14.25" customHeight="1" x14ac:dyDescent="0.25">
      <c r="C575" s="64"/>
      <c r="D575" s="18"/>
    </row>
    <row r="576" spans="3:4" ht="14.25" customHeight="1" x14ac:dyDescent="0.25">
      <c r="C576" s="64"/>
      <c r="D576" s="18"/>
    </row>
    <row r="577" spans="3:4" ht="14.25" customHeight="1" x14ac:dyDescent="0.25">
      <c r="C577" s="64"/>
      <c r="D577" s="18"/>
    </row>
    <row r="578" spans="3:4" ht="14.25" customHeight="1" x14ac:dyDescent="0.25">
      <c r="C578" s="64"/>
      <c r="D578" s="18"/>
    </row>
    <row r="579" spans="3:4" ht="14.25" customHeight="1" x14ac:dyDescent="0.25">
      <c r="C579" s="64"/>
      <c r="D579" s="18"/>
    </row>
    <row r="580" spans="3:4" ht="14.25" customHeight="1" x14ac:dyDescent="0.25">
      <c r="C580" s="64"/>
      <c r="D580" s="18"/>
    </row>
    <row r="581" spans="3:4" ht="14.25" customHeight="1" x14ac:dyDescent="0.25">
      <c r="C581" s="64"/>
      <c r="D581" s="18"/>
    </row>
    <row r="582" spans="3:4" ht="14.25" customHeight="1" x14ac:dyDescent="0.25">
      <c r="C582" s="64"/>
      <c r="D582" s="18"/>
    </row>
    <row r="583" spans="3:4" ht="14.25" customHeight="1" x14ac:dyDescent="0.25">
      <c r="C583" s="64"/>
      <c r="D583" s="18"/>
    </row>
    <row r="584" spans="3:4" ht="14.25" customHeight="1" x14ac:dyDescent="0.25">
      <c r="C584" s="64"/>
      <c r="D584" s="18"/>
    </row>
    <row r="585" spans="3:4" ht="14.25" customHeight="1" x14ac:dyDescent="0.25">
      <c r="C585" s="64"/>
      <c r="D585" s="18"/>
    </row>
    <row r="586" spans="3:4" ht="14.25" customHeight="1" x14ac:dyDescent="0.25">
      <c r="C586" s="64"/>
      <c r="D586" s="18"/>
    </row>
    <row r="587" spans="3:4" ht="14.25" customHeight="1" x14ac:dyDescent="0.25">
      <c r="C587" s="64"/>
      <c r="D587" s="18"/>
    </row>
    <row r="588" spans="3:4" ht="14.25" customHeight="1" x14ac:dyDescent="0.25">
      <c r="C588" s="64"/>
      <c r="D588" s="18"/>
    </row>
    <row r="589" spans="3:4" ht="14.25" customHeight="1" x14ac:dyDescent="0.25">
      <c r="C589" s="64"/>
      <c r="D589" s="18"/>
    </row>
    <row r="590" spans="3:4" ht="14.25" customHeight="1" x14ac:dyDescent="0.25">
      <c r="C590" s="64"/>
      <c r="D590" s="18"/>
    </row>
    <row r="591" spans="3:4" ht="14.25" customHeight="1" x14ac:dyDescent="0.25">
      <c r="C591" s="64"/>
      <c r="D591" s="18"/>
    </row>
    <row r="592" spans="3:4" ht="14.25" customHeight="1" x14ac:dyDescent="0.25">
      <c r="C592" s="64"/>
      <c r="D592" s="18"/>
    </row>
    <row r="593" spans="3:4" ht="14.25" customHeight="1" x14ac:dyDescent="0.25">
      <c r="C593" s="64"/>
      <c r="D593" s="18"/>
    </row>
    <row r="594" spans="3:4" ht="14.25" customHeight="1" x14ac:dyDescent="0.25">
      <c r="C594" s="64"/>
      <c r="D594" s="18"/>
    </row>
    <row r="595" spans="3:4" ht="14.25" customHeight="1" x14ac:dyDescent="0.25">
      <c r="C595" s="64"/>
      <c r="D595" s="18"/>
    </row>
    <row r="596" spans="3:4" ht="14.25" customHeight="1" x14ac:dyDescent="0.25">
      <c r="C596" s="64"/>
      <c r="D596" s="18"/>
    </row>
    <row r="597" spans="3:4" ht="14.25" customHeight="1" x14ac:dyDescent="0.25">
      <c r="C597" s="64"/>
      <c r="D597" s="18"/>
    </row>
    <row r="598" spans="3:4" ht="14.25" customHeight="1" x14ac:dyDescent="0.25">
      <c r="C598" s="64"/>
      <c r="D598" s="18"/>
    </row>
    <row r="599" spans="3:4" ht="14.25" customHeight="1" x14ac:dyDescent="0.25">
      <c r="C599" s="64"/>
      <c r="D599" s="18"/>
    </row>
    <row r="600" spans="3:4" ht="14.25" customHeight="1" x14ac:dyDescent="0.25">
      <c r="C600" s="64"/>
      <c r="D600" s="18"/>
    </row>
    <row r="601" spans="3:4" ht="14.25" customHeight="1" x14ac:dyDescent="0.25">
      <c r="C601" s="64"/>
      <c r="D601" s="18"/>
    </row>
    <row r="602" spans="3:4" ht="14.25" customHeight="1" x14ac:dyDescent="0.25">
      <c r="C602" s="64"/>
      <c r="D602" s="18"/>
    </row>
    <row r="603" spans="3:4" ht="14.25" customHeight="1" x14ac:dyDescent="0.25">
      <c r="C603" s="64"/>
      <c r="D603" s="18"/>
    </row>
    <row r="604" spans="3:4" ht="14.25" customHeight="1" x14ac:dyDescent="0.25">
      <c r="C604" s="64"/>
      <c r="D604" s="18"/>
    </row>
    <row r="605" spans="3:4" ht="14.25" customHeight="1" x14ac:dyDescent="0.25">
      <c r="C605" s="64"/>
      <c r="D605" s="18"/>
    </row>
    <row r="606" spans="3:4" ht="14.25" customHeight="1" x14ac:dyDescent="0.25">
      <c r="C606" s="64"/>
      <c r="D606" s="18"/>
    </row>
    <row r="607" spans="3:4" ht="14.25" customHeight="1" x14ac:dyDescent="0.25">
      <c r="C607" s="64"/>
      <c r="D607" s="18"/>
    </row>
    <row r="608" spans="3:4" ht="14.25" customHeight="1" x14ac:dyDescent="0.25">
      <c r="C608" s="64"/>
      <c r="D608" s="18"/>
    </row>
    <row r="609" spans="3:4" ht="14.25" customHeight="1" x14ac:dyDescent="0.25">
      <c r="C609" s="64"/>
      <c r="D609" s="18"/>
    </row>
    <row r="610" spans="3:4" ht="14.25" customHeight="1" x14ac:dyDescent="0.25">
      <c r="C610" s="64"/>
      <c r="D610" s="18"/>
    </row>
    <row r="611" spans="3:4" ht="14.25" customHeight="1" x14ac:dyDescent="0.25">
      <c r="C611" s="64"/>
      <c r="D611" s="18"/>
    </row>
    <row r="612" spans="3:4" ht="14.25" customHeight="1" x14ac:dyDescent="0.25">
      <c r="C612" s="64"/>
      <c r="D612" s="18"/>
    </row>
    <row r="613" spans="3:4" ht="14.25" customHeight="1" x14ac:dyDescent="0.25">
      <c r="C613" s="64"/>
      <c r="D613" s="18"/>
    </row>
    <row r="614" spans="3:4" ht="14.25" customHeight="1" x14ac:dyDescent="0.25">
      <c r="C614" s="64"/>
      <c r="D614" s="18"/>
    </row>
    <row r="615" spans="3:4" ht="14.25" customHeight="1" x14ac:dyDescent="0.25">
      <c r="C615" s="64"/>
      <c r="D615" s="18"/>
    </row>
    <row r="616" spans="3:4" ht="14.25" customHeight="1" x14ac:dyDescent="0.25">
      <c r="C616" s="64"/>
      <c r="D616" s="18"/>
    </row>
    <row r="617" spans="3:4" ht="14.25" customHeight="1" x14ac:dyDescent="0.25">
      <c r="C617" s="64"/>
      <c r="D617" s="18"/>
    </row>
    <row r="618" spans="3:4" ht="14.25" customHeight="1" x14ac:dyDescent="0.25">
      <c r="C618" s="64"/>
      <c r="D618" s="18"/>
    </row>
    <row r="619" spans="3:4" ht="14.25" customHeight="1" x14ac:dyDescent="0.25">
      <c r="C619" s="64"/>
      <c r="D619" s="18"/>
    </row>
    <row r="620" spans="3:4" ht="14.25" customHeight="1" x14ac:dyDescent="0.25">
      <c r="C620" s="64"/>
      <c r="D620" s="18"/>
    </row>
    <row r="621" spans="3:4" ht="14.25" customHeight="1" x14ac:dyDescent="0.25">
      <c r="C621" s="64"/>
      <c r="D621" s="18"/>
    </row>
    <row r="622" spans="3:4" ht="14.25" customHeight="1" x14ac:dyDescent="0.25">
      <c r="C622" s="64"/>
      <c r="D622" s="18"/>
    </row>
    <row r="623" spans="3:4" ht="14.25" customHeight="1" x14ac:dyDescent="0.25">
      <c r="C623" s="64"/>
      <c r="D623" s="18"/>
    </row>
    <row r="624" spans="3:4" ht="14.25" customHeight="1" x14ac:dyDescent="0.25">
      <c r="C624" s="64"/>
      <c r="D624" s="18"/>
    </row>
    <row r="625" spans="3:4" ht="14.25" customHeight="1" x14ac:dyDescent="0.25">
      <c r="C625" s="64"/>
      <c r="D625" s="18"/>
    </row>
    <row r="626" spans="3:4" ht="14.25" customHeight="1" x14ac:dyDescent="0.25">
      <c r="C626" s="64"/>
      <c r="D626" s="18"/>
    </row>
    <row r="627" spans="3:4" ht="14.25" customHeight="1" x14ac:dyDescent="0.25">
      <c r="C627" s="64"/>
      <c r="D627" s="18"/>
    </row>
    <row r="628" spans="3:4" ht="14.25" customHeight="1" x14ac:dyDescent="0.25">
      <c r="C628" s="64"/>
      <c r="D628" s="18"/>
    </row>
    <row r="629" spans="3:4" ht="14.25" customHeight="1" x14ac:dyDescent="0.25">
      <c r="C629" s="64"/>
      <c r="D629" s="18"/>
    </row>
    <row r="630" spans="3:4" ht="14.25" customHeight="1" x14ac:dyDescent="0.25">
      <c r="C630" s="64"/>
      <c r="D630" s="18"/>
    </row>
    <row r="631" spans="3:4" ht="14.25" customHeight="1" x14ac:dyDescent="0.25">
      <c r="C631" s="64"/>
      <c r="D631" s="18"/>
    </row>
    <row r="632" spans="3:4" ht="14.25" customHeight="1" x14ac:dyDescent="0.25">
      <c r="C632" s="64"/>
      <c r="D632" s="18"/>
    </row>
    <row r="633" spans="3:4" ht="14.25" customHeight="1" x14ac:dyDescent="0.25">
      <c r="C633" s="64"/>
      <c r="D633" s="18"/>
    </row>
    <row r="634" spans="3:4" ht="14.25" customHeight="1" x14ac:dyDescent="0.25">
      <c r="C634" s="64"/>
      <c r="D634" s="18"/>
    </row>
    <row r="635" spans="3:4" ht="14.25" customHeight="1" x14ac:dyDescent="0.25">
      <c r="C635" s="64"/>
      <c r="D635" s="18"/>
    </row>
    <row r="636" spans="3:4" ht="14.25" customHeight="1" x14ac:dyDescent="0.25">
      <c r="C636" s="64"/>
      <c r="D636" s="18"/>
    </row>
    <row r="637" spans="3:4" ht="14.25" customHeight="1" x14ac:dyDescent="0.25">
      <c r="C637" s="64"/>
      <c r="D637" s="18"/>
    </row>
    <row r="638" spans="3:4" ht="14.25" customHeight="1" x14ac:dyDescent="0.25">
      <c r="C638" s="64"/>
      <c r="D638" s="18"/>
    </row>
    <row r="639" spans="3:4" ht="14.25" customHeight="1" x14ac:dyDescent="0.25">
      <c r="C639" s="64"/>
      <c r="D639" s="18"/>
    </row>
    <row r="640" spans="3:4" ht="14.25" customHeight="1" x14ac:dyDescent="0.25">
      <c r="C640" s="64"/>
      <c r="D640" s="18"/>
    </row>
    <row r="641" spans="3:4" ht="14.25" customHeight="1" x14ac:dyDescent="0.25">
      <c r="C641" s="64"/>
      <c r="D641" s="18"/>
    </row>
    <row r="642" spans="3:4" ht="14.25" customHeight="1" x14ac:dyDescent="0.25">
      <c r="C642" s="64"/>
      <c r="D642" s="18"/>
    </row>
    <row r="643" spans="3:4" ht="14.25" customHeight="1" x14ac:dyDescent="0.25">
      <c r="C643" s="64"/>
      <c r="D643" s="18"/>
    </row>
    <row r="644" spans="3:4" ht="14.25" customHeight="1" x14ac:dyDescent="0.25">
      <c r="C644" s="64"/>
      <c r="D644" s="18"/>
    </row>
    <row r="645" spans="3:4" ht="14.25" customHeight="1" x14ac:dyDescent="0.25">
      <c r="C645" s="64"/>
      <c r="D645" s="18"/>
    </row>
    <row r="646" spans="3:4" ht="14.25" customHeight="1" x14ac:dyDescent="0.25">
      <c r="C646" s="64"/>
      <c r="D646" s="18"/>
    </row>
    <row r="647" spans="3:4" ht="14.25" customHeight="1" x14ac:dyDescent="0.25">
      <c r="C647" s="64"/>
      <c r="D647" s="18"/>
    </row>
    <row r="648" spans="3:4" ht="14.25" customHeight="1" x14ac:dyDescent="0.25">
      <c r="C648" s="64"/>
      <c r="D648" s="18"/>
    </row>
    <row r="649" spans="3:4" ht="14.25" customHeight="1" x14ac:dyDescent="0.25">
      <c r="C649" s="64"/>
      <c r="D649" s="18"/>
    </row>
    <row r="650" spans="3:4" ht="14.25" customHeight="1" x14ac:dyDescent="0.25">
      <c r="C650" s="64"/>
      <c r="D650" s="18"/>
    </row>
    <row r="651" spans="3:4" ht="14.25" customHeight="1" x14ac:dyDescent="0.25">
      <c r="C651" s="64"/>
      <c r="D651" s="18"/>
    </row>
    <row r="652" spans="3:4" ht="14.25" customHeight="1" x14ac:dyDescent="0.25">
      <c r="C652" s="64"/>
      <c r="D652" s="18"/>
    </row>
    <row r="653" spans="3:4" ht="14.25" customHeight="1" x14ac:dyDescent="0.25">
      <c r="C653" s="64"/>
      <c r="D653" s="18"/>
    </row>
    <row r="654" spans="3:4" ht="14.25" customHeight="1" x14ac:dyDescent="0.25">
      <c r="C654" s="64"/>
      <c r="D654" s="18"/>
    </row>
    <row r="655" spans="3:4" ht="14.25" customHeight="1" x14ac:dyDescent="0.25">
      <c r="C655" s="64"/>
      <c r="D655" s="18"/>
    </row>
    <row r="656" spans="3:4" ht="14.25" customHeight="1" x14ac:dyDescent="0.25">
      <c r="C656" s="64"/>
      <c r="D656" s="18"/>
    </row>
    <row r="657" spans="3:4" ht="14.25" customHeight="1" x14ac:dyDescent="0.25">
      <c r="C657" s="64"/>
      <c r="D657" s="18"/>
    </row>
    <row r="658" spans="3:4" ht="14.25" customHeight="1" x14ac:dyDescent="0.25">
      <c r="C658" s="64"/>
      <c r="D658" s="18"/>
    </row>
    <row r="659" spans="3:4" ht="14.25" customHeight="1" x14ac:dyDescent="0.25">
      <c r="C659" s="64"/>
      <c r="D659" s="18"/>
    </row>
    <row r="660" spans="3:4" ht="14.25" customHeight="1" x14ac:dyDescent="0.25">
      <c r="C660" s="64"/>
      <c r="D660" s="18"/>
    </row>
    <row r="661" spans="3:4" ht="14.25" customHeight="1" x14ac:dyDescent="0.25">
      <c r="C661" s="64"/>
      <c r="D661" s="18"/>
    </row>
    <row r="662" spans="3:4" ht="14.25" customHeight="1" x14ac:dyDescent="0.25">
      <c r="C662" s="64"/>
      <c r="D662" s="18"/>
    </row>
    <row r="663" spans="3:4" ht="14.25" customHeight="1" x14ac:dyDescent="0.25">
      <c r="C663" s="64"/>
      <c r="D663" s="18"/>
    </row>
    <row r="664" spans="3:4" ht="14.25" customHeight="1" x14ac:dyDescent="0.25">
      <c r="C664" s="64"/>
      <c r="D664" s="18"/>
    </row>
    <row r="665" spans="3:4" ht="14.25" customHeight="1" x14ac:dyDescent="0.25">
      <c r="C665" s="64"/>
      <c r="D665" s="18"/>
    </row>
    <row r="666" spans="3:4" ht="14.25" customHeight="1" x14ac:dyDescent="0.25">
      <c r="C666" s="64"/>
      <c r="D666" s="18"/>
    </row>
    <row r="667" spans="3:4" ht="14.25" customHeight="1" x14ac:dyDescent="0.25">
      <c r="C667" s="64"/>
      <c r="D667" s="18"/>
    </row>
    <row r="668" spans="3:4" ht="14.25" customHeight="1" x14ac:dyDescent="0.25">
      <c r="C668" s="64"/>
      <c r="D668" s="18"/>
    </row>
    <row r="669" spans="3:4" ht="14.25" customHeight="1" x14ac:dyDescent="0.25">
      <c r="C669" s="64"/>
      <c r="D669" s="18"/>
    </row>
    <row r="670" spans="3:4" ht="14.25" customHeight="1" x14ac:dyDescent="0.25">
      <c r="C670" s="64"/>
      <c r="D670" s="18"/>
    </row>
    <row r="671" spans="3:4" ht="14.25" customHeight="1" x14ac:dyDescent="0.25">
      <c r="C671" s="64"/>
      <c r="D671" s="18"/>
    </row>
    <row r="672" spans="3:4" ht="14.25" customHeight="1" x14ac:dyDescent="0.25">
      <c r="C672" s="64"/>
      <c r="D672" s="18"/>
    </row>
    <row r="673" spans="3:4" ht="14.25" customHeight="1" x14ac:dyDescent="0.25">
      <c r="C673" s="64"/>
      <c r="D673" s="18"/>
    </row>
    <row r="674" spans="3:4" ht="14.25" customHeight="1" x14ac:dyDescent="0.25">
      <c r="C674" s="64"/>
      <c r="D674" s="18"/>
    </row>
    <row r="675" spans="3:4" ht="14.25" customHeight="1" x14ac:dyDescent="0.25">
      <c r="C675" s="64"/>
      <c r="D675" s="18"/>
    </row>
    <row r="676" spans="3:4" ht="14.25" customHeight="1" x14ac:dyDescent="0.25">
      <c r="C676" s="64"/>
      <c r="D676" s="18"/>
    </row>
    <row r="677" spans="3:4" ht="14.25" customHeight="1" x14ac:dyDescent="0.25">
      <c r="C677" s="64"/>
      <c r="D677" s="18"/>
    </row>
    <row r="678" spans="3:4" ht="14.25" customHeight="1" x14ac:dyDescent="0.25">
      <c r="C678" s="64"/>
      <c r="D678" s="18"/>
    </row>
    <row r="679" spans="3:4" ht="14.25" customHeight="1" x14ac:dyDescent="0.25">
      <c r="C679" s="64"/>
      <c r="D679" s="18"/>
    </row>
    <row r="680" spans="3:4" ht="14.25" customHeight="1" x14ac:dyDescent="0.25">
      <c r="C680" s="64"/>
      <c r="D680" s="18"/>
    </row>
    <row r="681" spans="3:4" ht="14.25" customHeight="1" x14ac:dyDescent="0.25">
      <c r="C681" s="64"/>
      <c r="D681" s="18"/>
    </row>
    <row r="682" spans="3:4" ht="14.25" customHeight="1" x14ac:dyDescent="0.25">
      <c r="C682" s="64"/>
      <c r="D682" s="18"/>
    </row>
    <row r="683" spans="3:4" ht="14.25" customHeight="1" x14ac:dyDescent="0.25">
      <c r="C683" s="64"/>
      <c r="D683" s="18"/>
    </row>
    <row r="684" spans="3:4" ht="14.25" customHeight="1" x14ac:dyDescent="0.25">
      <c r="C684" s="64"/>
      <c r="D684" s="18"/>
    </row>
    <row r="685" spans="3:4" ht="14.25" customHeight="1" x14ac:dyDescent="0.25">
      <c r="C685" s="64"/>
      <c r="D685" s="18"/>
    </row>
    <row r="686" spans="3:4" ht="14.25" customHeight="1" x14ac:dyDescent="0.25">
      <c r="C686" s="64"/>
      <c r="D686" s="18"/>
    </row>
    <row r="687" spans="3:4" ht="14.25" customHeight="1" x14ac:dyDescent="0.25">
      <c r="C687" s="64"/>
      <c r="D687" s="18"/>
    </row>
    <row r="688" spans="3:4" ht="14.25" customHeight="1" x14ac:dyDescent="0.25">
      <c r="C688" s="64"/>
      <c r="D688" s="18"/>
    </row>
    <row r="689" spans="3:4" ht="14.25" customHeight="1" x14ac:dyDescent="0.25">
      <c r="C689" s="64"/>
      <c r="D689" s="18"/>
    </row>
    <row r="690" spans="3:4" ht="14.25" customHeight="1" x14ac:dyDescent="0.25">
      <c r="C690" s="64"/>
      <c r="D690" s="18"/>
    </row>
    <row r="691" spans="3:4" ht="14.25" customHeight="1" x14ac:dyDescent="0.25">
      <c r="C691" s="64"/>
      <c r="D691" s="18"/>
    </row>
    <row r="692" spans="3:4" ht="14.25" customHeight="1" x14ac:dyDescent="0.25">
      <c r="C692" s="64"/>
      <c r="D692" s="18"/>
    </row>
    <row r="693" spans="3:4" ht="14.25" customHeight="1" x14ac:dyDescent="0.25">
      <c r="C693" s="64"/>
      <c r="D693" s="18"/>
    </row>
    <row r="694" spans="3:4" ht="14.25" customHeight="1" x14ac:dyDescent="0.25">
      <c r="C694" s="64"/>
      <c r="D694" s="18"/>
    </row>
    <row r="695" spans="3:4" ht="14.25" customHeight="1" x14ac:dyDescent="0.25">
      <c r="C695" s="64"/>
      <c r="D695" s="18"/>
    </row>
    <row r="696" spans="3:4" ht="14.25" customHeight="1" x14ac:dyDescent="0.25">
      <c r="C696" s="64"/>
      <c r="D696" s="18"/>
    </row>
    <row r="697" spans="3:4" ht="14.25" customHeight="1" x14ac:dyDescent="0.25">
      <c r="C697" s="64"/>
      <c r="D697" s="18"/>
    </row>
    <row r="698" spans="3:4" ht="14.25" customHeight="1" x14ac:dyDescent="0.25">
      <c r="C698" s="64"/>
      <c r="D698" s="18"/>
    </row>
    <row r="699" spans="3:4" ht="14.25" customHeight="1" x14ac:dyDescent="0.25">
      <c r="C699" s="64"/>
      <c r="D699" s="18"/>
    </row>
    <row r="700" spans="3:4" ht="14.25" customHeight="1" x14ac:dyDescent="0.25">
      <c r="C700" s="64"/>
      <c r="D700" s="18"/>
    </row>
    <row r="701" spans="3:4" ht="14.25" customHeight="1" x14ac:dyDescent="0.25">
      <c r="C701" s="64"/>
      <c r="D701" s="18"/>
    </row>
    <row r="702" spans="3:4" ht="14.25" customHeight="1" x14ac:dyDescent="0.25">
      <c r="C702" s="64"/>
      <c r="D702" s="18"/>
    </row>
    <row r="703" spans="3:4" ht="14.25" customHeight="1" x14ac:dyDescent="0.25">
      <c r="C703" s="64"/>
      <c r="D703" s="18"/>
    </row>
    <row r="704" spans="3:4" ht="14.25" customHeight="1" x14ac:dyDescent="0.25">
      <c r="C704" s="64"/>
      <c r="D704" s="18"/>
    </row>
    <row r="705" spans="3:4" ht="14.25" customHeight="1" x14ac:dyDescent="0.25">
      <c r="C705" s="64"/>
      <c r="D705" s="18"/>
    </row>
    <row r="706" spans="3:4" ht="14.25" customHeight="1" x14ac:dyDescent="0.25">
      <c r="C706" s="64"/>
      <c r="D706" s="18"/>
    </row>
    <row r="707" spans="3:4" ht="14.25" customHeight="1" x14ac:dyDescent="0.25">
      <c r="C707" s="64"/>
      <c r="D707" s="18"/>
    </row>
    <row r="708" spans="3:4" ht="14.25" customHeight="1" x14ac:dyDescent="0.25">
      <c r="C708" s="64"/>
      <c r="D708" s="18"/>
    </row>
    <row r="709" spans="3:4" ht="14.25" customHeight="1" x14ac:dyDescent="0.25">
      <c r="C709" s="64"/>
      <c r="D709" s="18"/>
    </row>
    <row r="710" spans="3:4" ht="14.25" customHeight="1" x14ac:dyDescent="0.25">
      <c r="C710" s="64"/>
      <c r="D710" s="18"/>
    </row>
    <row r="711" spans="3:4" ht="14.25" customHeight="1" x14ac:dyDescent="0.25">
      <c r="C711" s="64"/>
      <c r="D711" s="18"/>
    </row>
    <row r="712" spans="3:4" ht="14.25" customHeight="1" x14ac:dyDescent="0.25">
      <c r="C712" s="64"/>
      <c r="D712" s="18"/>
    </row>
    <row r="713" spans="3:4" ht="14.25" customHeight="1" x14ac:dyDescent="0.25">
      <c r="C713" s="64"/>
      <c r="D713" s="18"/>
    </row>
    <row r="714" spans="3:4" ht="14.25" customHeight="1" x14ac:dyDescent="0.25">
      <c r="C714" s="64"/>
      <c r="D714" s="18"/>
    </row>
    <row r="715" spans="3:4" ht="14.25" customHeight="1" x14ac:dyDescent="0.25">
      <c r="C715" s="64"/>
      <c r="D715" s="18"/>
    </row>
    <row r="716" spans="3:4" ht="14.25" customHeight="1" x14ac:dyDescent="0.25">
      <c r="C716" s="64"/>
      <c r="D716" s="18"/>
    </row>
    <row r="717" spans="3:4" ht="14.25" customHeight="1" x14ac:dyDescent="0.25">
      <c r="C717" s="64"/>
      <c r="D717" s="18"/>
    </row>
    <row r="718" spans="3:4" ht="14.25" customHeight="1" x14ac:dyDescent="0.25">
      <c r="C718" s="64"/>
      <c r="D718" s="18"/>
    </row>
    <row r="719" spans="3:4" ht="14.25" customHeight="1" x14ac:dyDescent="0.25">
      <c r="C719" s="64"/>
      <c r="D719" s="18"/>
    </row>
    <row r="720" spans="3:4" ht="14.25" customHeight="1" x14ac:dyDescent="0.25">
      <c r="C720" s="64"/>
      <c r="D720" s="18"/>
    </row>
    <row r="721" spans="3:4" ht="14.25" customHeight="1" x14ac:dyDescent="0.25">
      <c r="C721" s="64"/>
      <c r="D721" s="18"/>
    </row>
    <row r="722" spans="3:4" ht="14.25" customHeight="1" x14ac:dyDescent="0.25">
      <c r="C722" s="64"/>
      <c r="D722" s="18"/>
    </row>
    <row r="723" spans="3:4" ht="14.25" customHeight="1" x14ac:dyDescent="0.25">
      <c r="C723" s="64"/>
      <c r="D723" s="18"/>
    </row>
    <row r="724" spans="3:4" ht="14.25" customHeight="1" x14ac:dyDescent="0.25">
      <c r="C724" s="64"/>
      <c r="D724" s="18"/>
    </row>
    <row r="725" spans="3:4" ht="14.25" customHeight="1" x14ac:dyDescent="0.25">
      <c r="C725" s="64"/>
      <c r="D725" s="18"/>
    </row>
    <row r="726" spans="3:4" ht="14.25" customHeight="1" x14ac:dyDescent="0.25">
      <c r="C726" s="64"/>
      <c r="D726" s="18"/>
    </row>
    <row r="727" spans="3:4" ht="14.25" customHeight="1" x14ac:dyDescent="0.25">
      <c r="C727" s="64"/>
      <c r="D727" s="18"/>
    </row>
    <row r="728" spans="3:4" ht="14.25" customHeight="1" x14ac:dyDescent="0.25">
      <c r="C728" s="64"/>
      <c r="D728" s="18"/>
    </row>
    <row r="729" spans="3:4" ht="14.25" customHeight="1" x14ac:dyDescent="0.25">
      <c r="C729" s="64"/>
      <c r="D729" s="18"/>
    </row>
    <row r="730" spans="3:4" ht="14.25" customHeight="1" x14ac:dyDescent="0.25">
      <c r="C730" s="64"/>
      <c r="D730" s="18"/>
    </row>
    <row r="731" spans="3:4" ht="14.25" customHeight="1" x14ac:dyDescent="0.25">
      <c r="C731" s="64"/>
      <c r="D731" s="18"/>
    </row>
    <row r="732" spans="3:4" ht="14.25" customHeight="1" x14ac:dyDescent="0.25">
      <c r="C732" s="64"/>
      <c r="D732" s="18"/>
    </row>
    <row r="733" spans="3:4" ht="14.25" customHeight="1" x14ac:dyDescent="0.25">
      <c r="C733" s="64"/>
      <c r="D733" s="18"/>
    </row>
    <row r="734" spans="3:4" ht="14.25" customHeight="1" x14ac:dyDescent="0.25">
      <c r="C734" s="64"/>
      <c r="D734" s="18"/>
    </row>
    <row r="735" spans="3:4" ht="14.25" customHeight="1" x14ac:dyDescent="0.25">
      <c r="C735" s="64"/>
      <c r="D735" s="18"/>
    </row>
    <row r="736" spans="3:4" ht="14.25" customHeight="1" x14ac:dyDescent="0.25">
      <c r="C736" s="64"/>
      <c r="D736" s="18"/>
    </row>
    <row r="737" spans="3:4" ht="14.25" customHeight="1" x14ac:dyDescent="0.25">
      <c r="C737" s="64"/>
      <c r="D737" s="18"/>
    </row>
    <row r="738" spans="3:4" ht="14.25" customHeight="1" x14ac:dyDescent="0.25">
      <c r="C738" s="64"/>
      <c r="D738" s="18"/>
    </row>
    <row r="739" spans="3:4" ht="14.25" customHeight="1" x14ac:dyDescent="0.25">
      <c r="C739" s="64"/>
      <c r="D739" s="18"/>
    </row>
    <row r="740" spans="3:4" ht="14.25" customHeight="1" x14ac:dyDescent="0.25">
      <c r="C740" s="64"/>
      <c r="D740" s="18"/>
    </row>
    <row r="741" spans="3:4" ht="14.25" customHeight="1" x14ac:dyDescent="0.25">
      <c r="C741" s="64"/>
      <c r="D741" s="18"/>
    </row>
    <row r="742" spans="3:4" ht="14.25" customHeight="1" x14ac:dyDescent="0.25">
      <c r="C742" s="64"/>
      <c r="D742" s="18"/>
    </row>
    <row r="743" spans="3:4" ht="14.25" customHeight="1" x14ac:dyDescent="0.25">
      <c r="C743" s="64"/>
      <c r="D743" s="18"/>
    </row>
    <row r="744" spans="3:4" ht="14.25" customHeight="1" x14ac:dyDescent="0.25">
      <c r="C744" s="64"/>
      <c r="D744" s="18"/>
    </row>
    <row r="745" spans="3:4" ht="14.25" customHeight="1" x14ac:dyDescent="0.25">
      <c r="C745" s="64"/>
      <c r="D745" s="18"/>
    </row>
    <row r="746" spans="3:4" ht="14.25" customHeight="1" x14ac:dyDescent="0.25">
      <c r="C746" s="64"/>
      <c r="D746" s="18"/>
    </row>
    <row r="747" spans="3:4" ht="14.25" customHeight="1" x14ac:dyDescent="0.25">
      <c r="C747" s="64"/>
      <c r="D747" s="18"/>
    </row>
    <row r="748" spans="3:4" ht="14.25" customHeight="1" x14ac:dyDescent="0.25">
      <c r="C748" s="64"/>
      <c r="D748" s="18"/>
    </row>
    <row r="749" spans="3:4" ht="14.25" customHeight="1" x14ac:dyDescent="0.25">
      <c r="C749" s="64"/>
      <c r="D749" s="18"/>
    </row>
    <row r="750" spans="3:4" ht="14.25" customHeight="1" x14ac:dyDescent="0.25">
      <c r="C750" s="64"/>
      <c r="D750" s="18"/>
    </row>
    <row r="751" spans="3:4" ht="14.25" customHeight="1" x14ac:dyDescent="0.25">
      <c r="C751" s="64"/>
      <c r="D751" s="18"/>
    </row>
    <row r="752" spans="3:4" ht="14.25" customHeight="1" x14ac:dyDescent="0.25">
      <c r="C752" s="64"/>
      <c r="D752" s="18"/>
    </row>
    <row r="753" spans="3:4" ht="14.25" customHeight="1" x14ac:dyDescent="0.25">
      <c r="C753" s="64"/>
      <c r="D753" s="18"/>
    </row>
    <row r="754" spans="3:4" ht="14.25" customHeight="1" x14ac:dyDescent="0.25">
      <c r="C754" s="64"/>
      <c r="D754" s="18"/>
    </row>
    <row r="755" spans="3:4" ht="14.25" customHeight="1" x14ac:dyDescent="0.25">
      <c r="C755" s="64"/>
      <c r="D755" s="18"/>
    </row>
    <row r="756" spans="3:4" ht="14.25" customHeight="1" x14ac:dyDescent="0.25">
      <c r="C756" s="64"/>
      <c r="D756" s="18"/>
    </row>
    <row r="757" spans="3:4" ht="14.25" customHeight="1" x14ac:dyDescent="0.25">
      <c r="C757" s="64"/>
      <c r="D757" s="18"/>
    </row>
    <row r="758" spans="3:4" ht="14.25" customHeight="1" x14ac:dyDescent="0.25">
      <c r="C758" s="64"/>
      <c r="D758" s="18"/>
    </row>
    <row r="759" spans="3:4" ht="14.25" customHeight="1" x14ac:dyDescent="0.25">
      <c r="C759" s="64"/>
      <c r="D759" s="18"/>
    </row>
    <row r="760" spans="3:4" ht="14.25" customHeight="1" x14ac:dyDescent="0.25">
      <c r="C760" s="64"/>
      <c r="D760" s="18"/>
    </row>
    <row r="761" spans="3:4" ht="14.25" customHeight="1" x14ac:dyDescent="0.25">
      <c r="C761" s="64"/>
      <c r="D761" s="18"/>
    </row>
    <row r="762" spans="3:4" ht="14.25" customHeight="1" x14ac:dyDescent="0.25">
      <c r="C762" s="64"/>
      <c r="D762" s="18"/>
    </row>
    <row r="763" spans="3:4" ht="14.25" customHeight="1" x14ac:dyDescent="0.25">
      <c r="C763" s="64"/>
      <c r="D763" s="18"/>
    </row>
    <row r="764" spans="3:4" ht="14.25" customHeight="1" x14ac:dyDescent="0.25">
      <c r="C764" s="64"/>
      <c r="D764" s="18"/>
    </row>
    <row r="765" spans="3:4" ht="14.25" customHeight="1" x14ac:dyDescent="0.25">
      <c r="C765" s="64"/>
      <c r="D765" s="18"/>
    </row>
    <row r="766" spans="3:4" ht="14.25" customHeight="1" x14ac:dyDescent="0.25">
      <c r="C766" s="64"/>
      <c r="D766" s="18"/>
    </row>
    <row r="767" spans="3:4" ht="14.25" customHeight="1" x14ac:dyDescent="0.25">
      <c r="C767" s="64"/>
      <c r="D767" s="18"/>
    </row>
    <row r="768" spans="3:4" ht="14.25" customHeight="1" x14ac:dyDescent="0.25">
      <c r="C768" s="64"/>
      <c r="D768" s="18"/>
    </row>
    <row r="769" spans="3:4" ht="14.25" customHeight="1" x14ac:dyDescent="0.25">
      <c r="C769" s="64"/>
      <c r="D769" s="18"/>
    </row>
    <row r="770" spans="3:4" ht="14.25" customHeight="1" x14ac:dyDescent="0.25">
      <c r="C770" s="64"/>
      <c r="D770" s="18"/>
    </row>
    <row r="771" spans="3:4" ht="14.25" customHeight="1" x14ac:dyDescent="0.25">
      <c r="C771" s="64"/>
      <c r="D771" s="18"/>
    </row>
    <row r="772" spans="3:4" ht="14.25" customHeight="1" x14ac:dyDescent="0.25">
      <c r="C772" s="64"/>
      <c r="D772" s="18"/>
    </row>
    <row r="773" spans="3:4" ht="14.25" customHeight="1" x14ac:dyDescent="0.25">
      <c r="C773" s="64"/>
      <c r="D773" s="18"/>
    </row>
    <row r="774" spans="3:4" ht="14.25" customHeight="1" x14ac:dyDescent="0.25">
      <c r="C774" s="64"/>
      <c r="D774" s="18"/>
    </row>
    <row r="775" spans="3:4" ht="14.25" customHeight="1" x14ac:dyDescent="0.25">
      <c r="C775" s="64"/>
      <c r="D775" s="18"/>
    </row>
    <row r="776" spans="3:4" ht="14.25" customHeight="1" x14ac:dyDescent="0.25">
      <c r="C776" s="64"/>
      <c r="D776" s="18"/>
    </row>
    <row r="777" spans="3:4" ht="14.25" customHeight="1" x14ac:dyDescent="0.25">
      <c r="C777" s="64"/>
      <c r="D777" s="18"/>
    </row>
    <row r="778" spans="3:4" ht="14.25" customHeight="1" x14ac:dyDescent="0.25">
      <c r="C778" s="64"/>
      <c r="D778" s="18"/>
    </row>
    <row r="779" spans="3:4" ht="14.25" customHeight="1" x14ac:dyDescent="0.25">
      <c r="C779" s="64"/>
      <c r="D779" s="18"/>
    </row>
    <row r="780" spans="3:4" ht="14.25" customHeight="1" x14ac:dyDescent="0.25">
      <c r="C780" s="64"/>
      <c r="D780" s="18"/>
    </row>
    <row r="781" spans="3:4" ht="14.25" customHeight="1" x14ac:dyDescent="0.25">
      <c r="C781" s="64"/>
      <c r="D781" s="18"/>
    </row>
    <row r="782" spans="3:4" ht="14.25" customHeight="1" x14ac:dyDescent="0.25">
      <c r="C782" s="64"/>
      <c r="D782" s="18"/>
    </row>
    <row r="783" spans="3:4" ht="14.25" customHeight="1" x14ac:dyDescent="0.25">
      <c r="C783" s="64"/>
      <c r="D783" s="18"/>
    </row>
    <row r="784" spans="3:4" ht="14.25" customHeight="1" x14ac:dyDescent="0.25">
      <c r="C784" s="64"/>
      <c r="D784" s="18"/>
    </row>
    <row r="785" spans="3:4" ht="14.25" customHeight="1" x14ac:dyDescent="0.25">
      <c r="C785" s="64"/>
      <c r="D785" s="18"/>
    </row>
    <row r="786" spans="3:4" ht="14.25" customHeight="1" x14ac:dyDescent="0.25">
      <c r="C786" s="64"/>
      <c r="D786" s="18"/>
    </row>
    <row r="787" spans="3:4" ht="14.25" customHeight="1" x14ac:dyDescent="0.25">
      <c r="C787" s="64"/>
      <c r="D787" s="18"/>
    </row>
    <row r="788" spans="3:4" ht="14.25" customHeight="1" x14ac:dyDescent="0.25">
      <c r="C788" s="64"/>
      <c r="D788" s="18"/>
    </row>
    <row r="789" spans="3:4" ht="14.25" customHeight="1" x14ac:dyDescent="0.25">
      <c r="C789" s="64"/>
      <c r="D789" s="18"/>
    </row>
    <row r="790" spans="3:4" ht="14.25" customHeight="1" x14ac:dyDescent="0.25">
      <c r="C790" s="64"/>
      <c r="D790" s="18"/>
    </row>
    <row r="791" spans="3:4" ht="14.25" customHeight="1" x14ac:dyDescent="0.25">
      <c r="C791" s="64"/>
      <c r="D791" s="18"/>
    </row>
    <row r="792" spans="3:4" ht="14.25" customHeight="1" x14ac:dyDescent="0.25">
      <c r="C792" s="64"/>
      <c r="D792" s="18"/>
    </row>
    <row r="793" spans="3:4" ht="14.25" customHeight="1" x14ac:dyDescent="0.25">
      <c r="C793" s="64"/>
      <c r="D793" s="18"/>
    </row>
    <row r="794" spans="3:4" ht="14.25" customHeight="1" x14ac:dyDescent="0.25">
      <c r="C794" s="64"/>
      <c r="D794" s="18"/>
    </row>
    <row r="795" spans="3:4" ht="14.25" customHeight="1" x14ac:dyDescent="0.25">
      <c r="C795" s="64"/>
      <c r="D795" s="18"/>
    </row>
    <row r="796" spans="3:4" ht="14.25" customHeight="1" x14ac:dyDescent="0.25">
      <c r="C796" s="64"/>
      <c r="D796" s="18"/>
    </row>
    <row r="797" spans="3:4" ht="14.25" customHeight="1" x14ac:dyDescent="0.25">
      <c r="C797" s="64"/>
      <c r="D797" s="18"/>
    </row>
    <row r="798" spans="3:4" ht="14.25" customHeight="1" x14ac:dyDescent="0.25">
      <c r="C798" s="64"/>
      <c r="D798" s="18"/>
    </row>
    <row r="799" spans="3:4" ht="14.25" customHeight="1" x14ac:dyDescent="0.25">
      <c r="C799" s="64"/>
      <c r="D799" s="18"/>
    </row>
    <row r="800" spans="3:4" ht="14.25" customHeight="1" x14ac:dyDescent="0.25">
      <c r="C800" s="64"/>
      <c r="D800" s="18"/>
    </row>
    <row r="801" spans="3:4" ht="14.25" customHeight="1" x14ac:dyDescent="0.25">
      <c r="C801" s="64"/>
      <c r="D801" s="18"/>
    </row>
    <row r="802" spans="3:4" ht="14.25" customHeight="1" x14ac:dyDescent="0.25">
      <c r="C802" s="64"/>
      <c r="D802" s="18"/>
    </row>
    <row r="803" spans="3:4" ht="14.25" customHeight="1" x14ac:dyDescent="0.25">
      <c r="C803" s="64"/>
      <c r="D803" s="18"/>
    </row>
    <row r="804" spans="3:4" ht="14.25" customHeight="1" x14ac:dyDescent="0.25">
      <c r="C804" s="64"/>
      <c r="D804" s="18"/>
    </row>
    <row r="805" spans="3:4" ht="14.25" customHeight="1" x14ac:dyDescent="0.25">
      <c r="C805" s="64"/>
      <c r="D805" s="18"/>
    </row>
    <row r="806" spans="3:4" ht="14.25" customHeight="1" x14ac:dyDescent="0.25">
      <c r="C806" s="64"/>
      <c r="D806" s="18"/>
    </row>
    <row r="807" spans="3:4" ht="14.25" customHeight="1" x14ac:dyDescent="0.25">
      <c r="C807" s="64"/>
      <c r="D807" s="18"/>
    </row>
    <row r="808" spans="3:4" ht="14.25" customHeight="1" x14ac:dyDescent="0.25">
      <c r="C808" s="64"/>
      <c r="D808" s="18"/>
    </row>
    <row r="809" spans="3:4" ht="14.25" customHeight="1" x14ac:dyDescent="0.25">
      <c r="C809" s="64"/>
      <c r="D809" s="18"/>
    </row>
    <row r="810" spans="3:4" ht="14.25" customHeight="1" x14ac:dyDescent="0.25">
      <c r="C810" s="64"/>
      <c r="D810" s="18"/>
    </row>
    <row r="811" spans="3:4" ht="14.25" customHeight="1" x14ac:dyDescent="0.25">
      <c r="C811" s="64"/>
      <c r="D811" s="18"/>
    </row>
    <row r="812" spans="3:4" ht="14.25" customHeight="1" x14ac:dyDescent="0.25">
      <c r="C812" s="64"/>
      <c r="D812" s="18"/>
    </row>
    <row r="813" spans="3:4" ht="14.25" customHeight="1" x14ac:dyDescent="0.25">
      <c r="C813" s="64"/>
      <c r="D813" s="18"/>
    </row>
    <row r="814" spans="3:4" ht="14.25" customHeight="1" x14ac:dyDescent="0.25">
      <c r="C814" s="64"/>
      <c r="D814" s="18"/>
    </row>
    <row r="815" spans="3:4" ht="14.25" customHeight="1" x14ac:dyDescent="0.25">
      <c r="C815" s="64"/>
      <c r="D815" s="18"/>
    </row>
    <row r="816" spans="3:4" ht="14.25" customHeight="1" x14ac:dyDescent="0.25">
      <c r="C816" s="64"/>
      <c r="D816" s="18"/>
    </row>
    <row r="817" spans="3:4" ht="14.25" customHeight="1" x14ac:dyDescent="0.25">
      <c r="C817" s="64"/>
      <c r="D817" s="18"/>
    </row>
    <row r="818" spans="3:4" ht="14.25" customHeight="1" x14ac:dyDescent="0.25">
      <c r="C818" s="64"/>
      <c r="D818" s="18"/>
    </row>
    <row r="819" spans="3:4" ht="14.25" customHeight="1" x14ac:dyDescent="0.25">
      <c r="C819" s="64"/>
      <c r="D819" s="18"/>
    </row>
    <row r="820" spans="3:4" ht="14.25" customHeight="1" x14ac:dyDescent="0.25">
      <c r="C820" s="64"/>
      <c r="D820" s="18"/>
    </row>
    <row r="821" spans="3:4" ht="14.25" customHeight="1" x14ac:dyDescent="0.25">
      <c r="C821" s="64"/>
      <c r="D821" s="18"/>
    </row>
    <row r="822" spans="3:4" ht="14.25" customHeight="1" x14ac:dyDescent="0.25">
      <c r="C822" s="64"/>
      <c r="D822" s="18"/>
    </row>
    <row r="823" spans="3:4" ht="14.25" customHeight="1" x14ac:dyDescent="0.25">
      <c r="C823" s="64"/>
      <c r="D823" s="18"/>
    </row>
    <row r="824" spans="3:4" ht="14.25" customHeight="1" x14ac:dyDescent="0.25">
      <c r="C824" s="64"/>
      <c r="D824" s="18"/>
    </row>
    <row r="825" spans="3:4" ht="14.25" customHeight="1" x14ac:dyDescent="0.25">
      <c r="C825" s="64"/>
      <c r="D825" s="18"/>
    </row>
    <row r="826" spans="3:4" ht="14.25" customHeight="1" x14ac:dyDescent="0.25">
      <c r="C826" s="64"/>
      <c r="D826" s="18"/>
    </row>
    <row r="827" spans="3:4" ht="14.25" customHeight="1" x14ac:dyDescent="0.25">
      <c r="C827" s="64"/>
      <c r="D827" s="18"/>
    </row>
    <row r="828" spans="3:4" ht="14.25" customHeight="1" x14ac:dyDescent="0.25">
      <c r="C828" s="64"/>
      <c r="D828" s="18"/>
    </row>
    <row r="829" spans="3:4" ht="14.25" customHeight="1" x14ac:dyDescent="0.25">
      <c r="C829" s="64"/>
      <c r="D829" s="18"/>
    </row>
    <row r="830" spans="3:4" ht="14.25" customHeight="1" x14ac:dyDescent="0.25">
      <c r="C830" s="64"/>
      <c r="D830" s="18"/>
    </row>
    <row r="831" spans="3:4" ht="14.25" customHeight="1" x14ac:dyDescent="0.25">
      <c r="C831" s="64"/>
      <c r="D831" s="18"/>
    </row>
    <row r="832" spans="3:4" ht="14.25" customHeight="1" x14ac:dyDescent="0.25">
      <c r="C832" s="64"/>
      <c r="D832" s="18"/>
    </row>
    <row r="833" spans="3:4" ht="14.25" customHeight="1" x14ac:dyDescent="0.25">
      <c r="C833" s="64"/>
      <c r="D833" s="18"/>
    </row>
    <row r="834" spans="3:4" ht="14.25" customHeight="1" x14ac:dyDescent="0.25">
      <c r="C834" s="64"/>
      <c r="D834" s="18"/>
    </row>
    <row r="835" spans="3:4" ht="14.25" customHeight="1" x14ac:dyDescent="0.25">
      <c r="C835" s="64"/>
      <c r="D835" s="18"/>
    </row>
    <row r="836" spans="3:4" ht="14.25" customHeight="1" x14ac:dyDescent="0.25">
      <c r="C836" s="64"/>
      <c r="D836" s="18"/>
    </row>
    <row r="837" spans="3:4" ht="14.25" customHeight="1" x14ac:dyDescent="0.25">
      <c r="C837" s="64"/>
      <c r="D837" s="18"/>
    </row>
    <row r="838" spans="3:4" ht="14.25" customHeight="1" x14ac:dyDescent="0.25">
      <c r="C838" s="64"/>
      <c r="D838" s="18"/>
    </row>
    <row r="839" spans="3:4" ht="14.25" customHeight="1" x14ac:dyDescent="0.25">
      <c r="C839" s="64"/>
      <c r="D839" s="18"/>
    </row>
    <row r="840" spans="3:4" ht="14.25" customHeight="1" x14ac:dyDescent="0.25">
      <c r="C840" s="64"/>
      <c r="D840" s="18"/>
    </row>
    <row r="841" spans="3:4" ht="14.25" customHeight="1" x14ac:dyDescent="0.25">
      <c r="C841" s="64"/>
      <c r="D841" s="18"/>
    </row>
    <row r="842" spans="3:4" ht="14.25" customHeight="1" x14ac:dyDescent="0.25">
      <c r="C842" s="64"/>
      <c r="D842" s="18"/>
    </row>
    <row r="843" spans="3:4" ht="14.25" customHeight="1" x14ac:dyDescent="0.25">
      <c r="C843" s="64"/>
      <c r="D843" s="18"/>
    </row>
    <row r="844" spans="3:4" ht="14.25" customHeight="1" x14ac:dyDescent="0.25">
      <c r="C844" s="64"/>
      <c r="D844" s="18"/>
    </row>
    <row r="845" spans="3:4" ht="14.25" customHeight="1" x14ac:dyDescent="0.25">
      <c r="C845" s="64"/>
      <c r="D845" s="18"/>
    </row>
    <row r="846" spans="3:4" ht="14.25" customHeight="1" x14ac:dyDescent="0.25">
      <c r="C846" s="64"/>
      <c r="D846" s="18"/>
    </row>
    <row r="847" spans="3:4" ht="14.25" customHeight="1" x14ac:dyDescent="0.25">
      <c r="C847" s="64"/>
      <c r="D847" s="18"/>
    </row>
    <row r="848" spans="3:4" ht="14.25" customHeight="1" x14ac:dyDescent="0.25">
      <c r="C848" s="64"/>
      <c r="D848" s="18"/>
    </row>
    <row r="849" spans="3:4" ht="14.25" customHeight="1" x14ac:dyDescent="0.25">
      <c r="C849" s="64"/>
      <c r="D849" s="18"/>
    </row>
    <row r="850" spans="3:4" ht="14.25" customHeight="1" x14ac:dyDescent="0.25">
      <c r="C850" s="64"/>
      <c r="D850" s="18"/>
    </row>
    <row r="851" spans="3:4" ht="14.25" customHeight="1" x14ac:dyDescent="0.25">
      <c r="C851" s="64"/>
      <c r="D851" s="18"/>
    </row>
    <row r="852" spans="3:4" ht="14.25" customHeight="1" x14ac:dyDescent="0.25">
      <c r="C852" s="64"/>
      <c r="D852" s="18"/>
    </row>
    <row r="853" spans="3:4" ht="14.25" customHeight="1" x14ac:dyDescent="0.25">
      <c r="C853" s="64"/>
      <c r="D853" s="18"/>
    </row>
    <row r="854" spans="3:4" ht="14.25" customHeight="1" x14ac:dyDescent="0.25">
      <c r="C854" s="64"/>
      <c r="D854" s="18"/>
    </row>
    <row r="855" spans="3:4" ht="14.25" customHeight="1" x14ac:dyDescent="0.25">
      <c r="C855" s="64"/>
      <c r="D855" s="18"/>
    </row>
    <row r="856" spans="3:4" ht="14.25" customHeight="1" x14ac:dyDescent="0.25">
      <c r="C856" s="64"/>
      <c r="D856" s="18"/>
    </row>
    <row r="857" spans="3:4" ht="14.25" customHeight="1" x14ac:dyDescent="0.25">
      <c r="C857" s="64"/>
      <c r="D857" s="18"/>
    </row>
    <row r="858" spans="3:4" ht="14.25" customHeight="1" x14ac:dyDescent="0.25">
      <c r="C858" s="64"/>
      <c r="D858" s="18"/>
    </row>
    <row r="859" spans="3:4" ht="14.25" customHeight="1" x14ac:dyDescent="0.25">
      <c r="C859" s="64"/>
      <c r="D859" s="18"/>
    </row>
    <row r="860" spans="3:4" ht="14.25" customHeight="1" x14ac:dyDescent="0.25">
      <c r="C860" s="64"/>
      <c r="D860" s="18"/>
    </row>
    <row r="861" spans="3:4" ht="14.25" customHeight="1" x14ac:dyDescent="0.25">
      <c r="C861" s="64"/>
      <c r="D861" s="18"/>
    </row>
    <row r="862" spans="3:4" ht="14.25" customHeight="1" x14ac:dyDescent="0.25">
      <c r="C862" s="64"/>
      <c r="D862" s="18"/>
    </row>
    <row r="863" spans="3:4" ht="14.25" customHeight="1" x14ac:dyDescent="0.25">
      <c r="C863" s="64"/>
      <c r="D863" s="18"/>
    </row>
    <row r="864" spans="3:4" ht="14.25" customHeight="1" x14ac:dyDescent="0.25">
      <c r="C864" s="64"/>
      <c r="D864" s="18"/>
    </row>
    <row r="865" spans="3:4" ht="14.25" customHeight="1" x14ac:dyDescent="0.25">
      <c r="C865" s="64"/>
      <c r="D865" s="18"/>
    </row>
    <row r="866" spans="3:4" ht="14.25" customHeight="1" x14ac:dyDescent="0.25">
      <c r="C866" s="64"/>
      <c r="D866" s="18"/>
    </row>
    <row r="867" spans="3:4" ht="14.25" customHeight="1" x14ac:dyDescent="0.25">
      <c r="C867" s="64"/>
      <c r="D867" s="18"/>
    </row>
    <row r="868" spans="3:4" ht="14.25" customHeight="1" x14ac:dyDescent="0.25">
      <c r="C868" s="64"/>
      <c r="D868" s="18"/>
    </row>
    <row r="869" spans="3:4" ht="14.25" customHeight="1" x14ac:dyDescent="0.25">
      <c r="C869" s="64"/>
      <c r="D869" s="18"/>
    </row>
    <row r="870" spans="3:4" ht="14.25" customHeight="1" x14ac:dyDescent="0.25">
      <c r="C870" s="64"/>
      <c r="D870" s="18"/>
    </row>
    <row r="871" spans="3:4" ht="14.25" customHeight="1" x14ac:dyDescent="0.25">
      <c r="C871" s="64"/>
      <c r="D871" s="18"/>
    </row>
    <row r="872" spans="3:4" ht="14.25" customHeight="1" x14ac:dyDescent="0.25">
      <c r="C872" s="64"/>
      <c r="D872" s="18"/>
    </row>
    <row r="873" spans="3:4" ht="14.25" customHeight="1" x14ac:dyDescent="0.25">
      <c r="C873" s="64"/>
      <c r="D873" s="18"/>
    </row>
    <row r="874" spans="3:4" ht="14.25" customHeight="1" x14ac:dyDescent="0.25">
      <c r="C874" s="64"/>
      <c r="D874" s="18"/>
    </row>
    <row r="875" spans="3:4" ht="14.25" customHeight="1" x14ac:dyDescent="0.25">
      <c r="C875" s="64"/>
      <c r="D875" s="18"/>
    </row>
    <row r="876" spans="3:4" ht="14.25" customHeight="1" x14ac:dyDescent="0.25">
      <c r="C876" s="64"/>
      <c r="D876" s="18"/>
    </row>
    <row r="877" spans="3:4" ht="14.25" customHeight="1" x14ac:dyDescent="0.25">
      <c r="C877" s="64"/>
      <c r="D877" s="18"/>
    </row>
    <row r="878" spans="3:4" ht="14.25" customHeight="1" x14ac:dyDescent="0.25">
      <c r="C878" s="64"/>
      <c r="D878" s="18"/>
    </row>
    <row r="879" spans="3:4" ht="14.25" customHeight="1" x14ac:dyDescent="0.25">
      <c r="C879" s="64"/>
      <c r="D879" s="18"/>
    </row>
    <row r="880" spans="3:4" ht="14.25" customHeight="1" x14ac:dyDescent="0.25">
      <c r="C880" s="64"/>
      <c r="D880" s="18"/>
    </row>
    <row r="881" spans="3:4" ht="14.25" customHeight="1" x14ac:dyDescent="0.25">
      <c r="C881" s="64"/>
      <c r="D881" s="18"/>
    </row>
    <row r="882" spans="3:4" ht="14.25" customHeight="1" x14ac:dyDescent="0.25">
      <c r="C882" s="64"/>
      <c r="D882" s="18"/>
    </row>
    <row r="883" spans="3:4" ht="14.25" customHeight="1" x14ac:dyDescent="0.25">
      <c r="C883" s="64"/>
      <c r="D883" s="18"/>
    </row>
    <row r="884" spans="3:4" ht="14.25" customHeight="1" x14ac:dyDescent="0.25">
      <c r="C884" s="64"/>
      <c r="D884" s="18"/>
    </row>
    <row r="885" spans="3:4" ht="14.25" customHeight="1" x14ac:dyDescent="0.25">
      <c r="C885" s="64"/>
      <c r="D885" s="18"/>
    </row>
    <row r="886" spans="3:4" ht="14.25" customHeight="1" x14ac:dyDescent="0.25">
      <c r="C886" s="64"/>
      <c r="D886" s="18"/>
    </row>
    <row r="887" spans="3:4" ht="14.25" customHeight="1" x14ac:dyDescent="0.25">
      <c r="C887" s="64"/>
      <c r="D887" s="18"/>
    </row>
    <row r="888" spans="3:4" ht="14.25" customHeight="1" x14ac:dyDescent="0.25">
      <c r="C888" s="64"/>
      <c r="D888" s="18"/>
    </row>
    <row r="889" spans="3:4" ht="14.25" customHeight="1" x14ac:dyDescent="0.25">
      <c r="C889" s="64"/>
      <c r="D889" s="18"/>
    </row>
    <row r="890" spans="3:4" ht="14.25" customHeight="1" x14ac:dyDescent="0.25">
      <c r="C890" s="64"/>
      <c r="D890" s="18"/>
    </row>
    <row r="891" spans="3:4" ht="14.25" customHeight="1" x14ac:dyDescent="0.25">
      <c r="C891" s="64"/>
      <c r="D891" s="18"/>
    </row>
    <row r="892" spans="3:4" ht="14.25" customHeight="1" x14ac:dyDescent="0.25">
      <c r="C892" s="64"/>
      <c r="D892" s="18"/>
    </row>
    <row r="893" spans="3:4" ht="14.25" customHeight="1" x14ac:dyDescent="0.25">
      <c r="C893" s="64"/>
      <c r="D893" s="18"/>
    </row>
    <row r="894" spans="3:4" ht="14.25" customHeight="1" x14ac:dyDescent="0.25">
      <c r="C894" s="64"/>
      <c r="D894" s="18"/>
    </row>
    <row r="895" spans="3:4" ht="14.25" customHeight="1" x14ac:dyDescent="0.25">
      <c r="C895" s="64"/>
      <c r="D895" s="18"/>
    </row>
    <row r="896" spans="3:4" ht="14.25" customHeight="1" x14ac:dyDescent="0.25">
      <c r="C896" s="64"/>
      <c r="D896" s="18"/>
    </row>
    <row r="897" spans="3:4" ht="14.25" customHeight="1" x14ac:dyDescent="0.25">
      <c r="C897" s="64"/>
      <c r="D897" s="18"/>
    </row>
    <row r="898" spans="3:4" ht="14.25" customHeight="1" x14ac:dyDescent="0.25">
      <c r="C898" s="64"/>
      <c r="D898" s="18"/>
    </row>
    <row r="899" spans="3:4" ht="14.25" customHeight="1" x14ac:dyDescent="0.25">
      <c r="C899" s="64"/>
      <c r="D899" s="18"/>
    </row>
    <row r="900" spans="3:4" ht="14.25" customHeight="1" x14ac:dyDescent="0.25">
      <c r="C900" s="64"/>
      <c r="D900" s="18"/>
    </row>
    <row r="901" spans="3:4" ht="14.25" customHeight="1" x14ac:dyDescent="0.25">
      <c r="C901" s="64"/>
      <c r="D901" s="18"/>
    </row>
    <row r="902" spans="3:4" ht="14.25" customHeight="1" x14ac:dyDescent="0.25">
      <c r="C902" s="64"/>
      <c r="D902" s="18"/>
    </row>
    <row r="903" spans="3:4" ht="14.25" customHeight="1" x14ac:dyDescent="0.25">
      <c r="C903" s="64"/>
      <c r="D903" s="18"/>
    </row>
    <row r="904" spans="3:4" ht="14.25" customHeight="1" x14ac:dyDescent="0.25">
      <c r="C904" s="64"/>
      <c r="D904" s="18"/>
    </row>
    <row r="905" spans="3:4" ht="14.25" customHeight="1" x14ac:dyDescent="0.25">
      <c r="C905" s="64"/>
      <c r="D905" s="18"/>
    </row>
    <row r="906" spans="3:4" ht="14.25" customHeight="1" x14ac:dyDescent="0.25">
      <c r="C906" s="64"/>
      <c r="D906" s="18"/>
    </row>
    <row r="907" spans="3:4" ht="14.25" customHeight="1" x14ac:dyDescent="0.25">
      <c r="C907" s="64"/>
      <c r="D907" s="18"/>
    </row>
    <row r="908" spans="3:4" ht="14.25" customHeight="1" x14ac:dyDescent="0.25">
      <c r="C908" s="64"/>
      <c r="D908" s="18"/>
    </row>
    <row r="909" spans="3:4" ht="14.25" customHeight="1" x14ac:dyDescent="0.25">
      <c r="C909" s="64"/>
      <c r="D909" s="18"/>
    </row>
    <row r="910" spans="3:4" ht="14.25" customHeight="1" x14ac:dyDescent="0.25">
      <c r="C910" s="64"/>
      <c r="D910" s="18"/>
    </row>
    <row r="911" spans="3:4" ht="14.25" customHeight="1" x14ac:dyDescent="0.25">
      <c r="C911" s="64"/>
      <c r="D911" s="18"/>
    </row>
    <row r="912" spans="3:4" ht="14.25" customHeight="1" x14ac:dyDescent="0.25">
      <c r="C912" s="64"/>
      <c r="D912" s="18"/>
    </row>
    <row r="913" spans="3:4" ht="14.25" customHeight="1" x14ac:dyDescent="0.25">
      <c r="C913" s="64"/>
      <c r="D913" s="18"/>
    </row>
    <row r="914" spans="3:4" ht="14.25" customHeight="1" x14ac:dyDescent="0.25">
      <c r="C914" s="64"/>
      <c r="D914" s="18"/>
    </row>
    <row r="915" spans="3:4" ht="14.25" customHeight="1" x14ac:dyDescent="0.25">
      <c r="C915" s="64"/>
      <c r="D915" s="18"/>
    </row>
    <row r="916" spans="3:4" ht="14.25" customHeight="1" x14ac:dyDescent="0.25">
      <c r="C916" s="64"/>
      <c r="D916" s="18"/>
    </row>
    <row r="917" spans="3:4" ht="14.25" customHeight="1" x14ac:dyDescent="0.25">
      <c r="C917" s="64"/>
      <c r="D917" s="18"/>
    </row>
    <row r="918" spans="3:4" ht="14.25" customHeight="1" x14ac:dyDescent="0.25">
      <c r="C918" s="64"/>
      <c r="D918" s="18"/>
    </row>
    <row r="919" spans="3:4" ht="14.25" customHeight="1" x14ac:dyDescent="0.25">
      <c r="C919" s="64"/>
      <c r="D919" s="18"/>
    </row>
    <row r="920" spans="3:4" ht="14.25" customHeight="1" x14ac:dyDescent="0.25">
      <c r="C920" s="64"/>
      <c r="D920" s="18"/>
    </row>
    <row r="921" spans="3:4" ht="14.25" customHeight="1" x14ac:dyDescent="0.25">
      <c r="C921" s="64"/>
      <c r="D921" s="18"/>
    </row>
    <row r="922" spans="3:4" ht="14.25" customHeight="1" x14ac:dyDescent="0.25">
      <c r="C922" s="64"/>
      <c r="D922" s="18"/>
    </row>
    <row r="923" spans="3:4" ht="14.25" customHeight="1" x14ac:dyDescent="0.25">
      <c r="C923" s="64"/>
      <c r="D923" s="18"/>
    </row>
    <row r="924" spans="3:4" ht="14.25" customHeight="1" x14ac:dyDescent="0.25">
      <c r="C924" s="64"/>
      <c r="D924" s="18"/>
    </row>
    <row r="925" spans="3:4" ht="14.25" customHeight="1" x14ac:dyDescent="0.25">
      <c r="C925" s="64"/>
      <c r="D925" s="18"/>
    </row>
    <row r="926" spans="3:4" ht="14.25" customHeight="1" x14ac:dyDescent="0.25">
      <c r="C926" s="64"/>
      <c r="D926" s="18"/>
    </row>
    <row r="927" spans="3:4" ht="14.25" customHeight="1" x14ac:dyDescent="0.25">
      <c r="C927" s="64"/>
      <c r="D927" s="18"/>
    </row>
    <row r="928" spans="3:4" ht="14.25" customHeight="1" x14ac:dyDescent="0.25">
      <c r="C928" s="64"/>
      <c r="D928" s="18"/>
    </row>
    <row r="929" spans="3:4" ht="14.25" customHeight="1" x14ac:dyDescent="0.25">
      <c r="C929" s="64"/>
      <c r="D929" s="18"/>
    </row>
    <row r="930" spans="3:4" ht="14.25" customHeight="1" x14ac:dyDescent="0.25">
      <c r="C930" s="64"/>
      <c r="D930" s="18"/>
    </row>
    <row r="931" spans="3:4" ht="14.25" customHeight="1" x14ac:dyDescent="0.25">
      <c r="C931" s="64"/>
      <c r="D931" s="18"/>
    </row>
    <row r="932" spans="3:4" ht="14.25" customHeight="1" x14ac:dyDescent="0.25">
      <c r="C932" s="64"/>
      <c r="D932" s="18"/>
    </row>
    <row r="933" spans="3:4" ht="14.25" customHeight="1" x14ac:dyDescent="0.25">
      <c r="C933" s="64"/>
      <c r="D933" s="18"/>
    </row>
    <row r="934" spans="3:4" ht="14.25" customHeight="1" x14ac:dyDescent="0.25">
      <c r="C934" s="64"/>
      <c r="D934" s="18"/>
    </row>
    <row r="935" spans="3:4" ht="14.25" customHeight="1" x14ac:dyDescent="0.25">
      <c r="C935" s="64"/>
      <c r="D935" s="18"/>
    </row>
    <row r="936" spans="3:4" ht="14.25" customHeight="1" x14ac:dyDescent="0.25">
      <c r="C936" s="64"/>
      <c r="D936" s="18"/>
    </row>
    <row r="937" spans="3:4" ht="14.25" customHeight="1" x14ac:dyDescent="0.25">
      <c r="C937" s="64"/>
      <c r="D937" s="18"/>
    </row>
    <row r="938" spans="3:4" ht="14.25" customHeight="1" x14ac:dyDescent="0.25">
      <c r="C938" s="64"/>
      <c r="D938" s="18"/>
    </row>
    <row r="939" spans="3:4" ht="14.25" customHeight="1" x14ac:dyDescent="0.25">
      <c r="C939" s="64"/>
      <c r="D939" s="18"/>
    </row>
    <row r="940" spans="3:4" ht="14.25" customHeight="1" x14ac:dyDescent="0.25">
      <c r="C940" s="64"/>
      <c r="D940" s="18"/>
    </row>
    <row r="941" spans="3:4" ht="14.25" customHeight="1" x14ac:dyDescent="0.25">
      <c r="C941" s="64"/>
      <c r="D941" s="18"/>
    </row>
    <row r="942" spans="3:4" ht="14.25" customHeight="1" x14ac:dyDescent="0.25">
      <c r="C942" s="64"/>
      <c r="D942" s="18"/>
    </row>
    <row r="943" spans="3:4" ht="14.25" customHeight="1" x14ac:dyDescent="0.25">
      <c r="C943" s="64"/>
      <c r="D943" s="18"/>
    </row>
    <row r="944" spans="3:4" ht="14.25" customHeight="1" x14ac:dyDescent="0.25">
      <c r="C944" s="64"/>
      <c r="D944" s="18"/>
    </row>
    <row r="945" spans="3:4" ht="14.25" customHeight="1" x14ac:dyDescent="0.25">
      <c r="C945" s="64"/>
      <c r="D945" s="18"/>
    </row>
    <row r="946" spans="3:4" ht="14.25" customHeight="1" x14ac:dyDescent="0.25">
      <c r="C946" s="64"/>
      <c r="D946" s="18"/>
    </row>
    <row r="947" spans="3:4" ht="14.25" customHeight="1" x14ac:dyDescent="0.25">
      <c r="C947" s="64"/>
      <c r="D947" s="18"/>
    </row>
    <row r="948" spans="3:4" ht="14.25" customHeight="1" x14ac:dyDescent="0.25">
      <c r="C948" s="64"/>
      <c r="D948" s="18"/>
    </row>
    <row r="949" spans="3:4" ht="14.25" customHeight="1" x14ac:dyDescent="0.25">
      <c r="C949" s="64"/>
      <c r="D949" s="18"/>
    </row>
    <row r="950" spans="3:4" ht="14.25" customHeight="1" x14ac:dyDescent="0.25">
      <c r="C950" s="64"/>
      <c r="D950" s="18"/>
    </row>
    <row r="951" spans="3:4" ht="14.25" customHeight="1" x14ac:dyDescent="0.25">
      <c r="C951" s="64"/>
      <c r="D951" s="18"/>
    </row>
    <row r="952" spans="3:4" ht="14.25" customHeight="1" x14ac:dyDescent="0.25">
      <c r="C952" s="64"/>
      <c r="D952" s="18"/>
    </row>
    <row r="953" spans="3:4" ht="14.25" customHeight="1" x14ac:dyDescent="0.25">
      <c r="C953" s="64"/>
      <c r="D953" s="18"/>
    </row>
    <row r="954" spans="3:4" ht="14.25" customHeight="1" x14ac:dyDescent="0.25">
      <c r="C954" s="64"/>
      <c r="D954" s="18"/>
    </row>
    <row r="955" spans="3:4" ht="14.25" customHeight="1" x14ac:dyDescent="0.25">
      <c r="C955" s="64"/>
      <c r="D955" s="18"/>
    </row>
    <row r="956" spans="3:4" ht="14.25" customHeight="1" x14ac:dyDescent="0.25">
      <c r="C956" s="64"/>
      <c r="D956" s="18"/>
    </row>
    <row r="957" spans="3:4" ht="14.25" customHeight="1" x14ac:dyDescent="0.25">
      <c r="C957" s="64"/>
      <c r="D957" s="18"/>
    </row>
    <row r="958" spans="3:4" ht="14.25" customHeight="1" x14ac:dyDescent="0.25">
      <c r="C958" s="64"/>
      <c r="D958" s="18"/>
    </row>
    <row r="959" spans="3:4" ht="14.25" customHeight="1" x14ac:dyDescent="0.25">
      <c r="C959" s="64"/>
      <c r="D959" s="18"/>
    </row>
    <row r="960" spans="3:4" ht="14.25" customHeight="1" x14ac:dyDescent="0.25">
      <c r="C960" s="64"/>
      <c r="D960" s="18"/>
    </row>
    <row r="961" spans="3:4" ht="14.25" customHeight="1" x14ac:dyDescent="0.25">
      <c r="C961" s="64"/>
      <c r="D961" s="18"/>
    </row>
    <row r="962" spans="3:4" ht="14.25" customHeight="1" x14ac:dyDescent="0.25">
      <c r="C962" s="64"/>
      <c r="D962" s="18"/>
    </row>
    <row r="963" spans="3:4" ht="14.25" customHeight="1" x14ac:dyDescent="0.25">
      <c r="C963" s="64"/>
      <c r="D963" s="18"/>
    </row>
    <row r="964" spans="3:4" ht="14.25" customHeight="1" x14ac:dyDescent="0.25">
      <c r="C964" s="64"/>
      <c r="D964" s="18"/>
    </row>
    <row r="965" spans="3:4" ht="14.25" customHeight="1" x14ac:dyDescent="0.25">
      <c r="C965" s="64"/>
      <c r="D965" s="18"/>
    </row>
    <row r="966" spans="3:4" ht="14.25" customHeight="1" x14ac:dyDescent="0.25">
      <c r="C966" s="64"/>
      <c r="D966" s="18"/>
    </row>
    <row r="967" spans="3:4" ht="14.25" customHeight="1" x14ac:dyDescent="0.25">
      <c r="C967" s="64"/>
      <c r="D967" s="18"/>
    </row>
    <row r="968" spans="3:4" ht="14.25" customHeight="1" x14ac:dyDescent="0.25">
      <c r="C968" s="64"/>
      <c r="D968" s="18"/>
    </row>
    <row r="969" spans="3:4" ht="14.25" customHeight="1" x14ac:dyDescent="0.25">
      <c r="C969" s="64"/>
      <c r="D969" s="18"/>
    </row>
    <row r="970" spans="3:4" ht="14.25" customHeight="1" x14ac:dyDescent="0.25">
      <c r="C970" s="64"/>
      <c r="D970" s="18"/>
    </row>
    <row r="971" spans="3:4" ht="14.25" customHeight="1" x14ac:dyDescent="0.25">
      <c r="C971" s="64"/>
      <c r="D971" s="18"/>
    </row>
    <row r="972" spans="3:4" ht="14.25" customHeight="1" x14ac:dyDescent="0.25">
      <c r="C972" s="64"/>
      <c r="D972" s="18"/>
    </row>
    <row r="973" spans="3:4" ht="14.25" customHeight="1" x14ac:dyDescent="0.25">
      <c r="C973" s="64"/>
      <c r="D973" s="18"/>
    </row>
    <row r="974" spans="3:4" ht="14.25" customHeight="1" x14ac:dyDescent="0.25">
      <c r="C974" s="64"/>
      <c r="D974" s="18"/>
    </row>
    <row r="975" spans="3:4" ht="14.25" customHeight="1" x14ac:dyDescent="0.25">
      <c r="C975" s="64"/>
      <c r="D975" s="18"/>
    </row>
    <row r="976" spans="3:4" ht="14.25" customHeight="1" x14ac:dyDescent="0.25">
      <c r="C976" s="64"/>
      <c r="D976" s="18"/>
    </row>
    <row r="977" spans="3:4" ht="14.25" customHeight="1" x14ac:dyDescent="0.25">
      <c r="C977" s="64"/>
      <c r="D977" s="18"/>
    </row>
    <row r="978" spans="3:4" ht="14.25" customHeight="1" x14ac:dyDescent="0.25">
      <c r="C978" s="64"/>
      <c r="D978" s="18"/>
    </row>
    <row r="979" spans="3:4" ht="14.25" customHeight="1" x14ac:dyDescent="0.25">
      <c r="C979" s="64"/>
      <c r="D979" s="18"/>
    </row>
    <row r="980" spans="3:4" ht="14.25" customHeight="1" x14ac:dyDescent="0.25">
      <c r="C980" s="64"/>
      <c r="D980" s="18"/>
    </row>
    <row r="981" spans="3:4" ht="14.25" customHeight="1" x14ac:dyDescent="0.25">
      <c r="C981" s="64"/>
      <c r="D981" s="18"/>
    </row>
    <row r="982" spans="3:4" ht="14.25" customHeight="1" x14ac:dyDescent="0.25">
      <c r="C982" s="64"/>
      <c r="D982" s="18"/>
    </row>
    <row r="983" spans="3:4" ht="14.25" customHeight="1" x14ac:dyDescent="0.25">
      <c r="C983" s="64"/>
      <c r="D983" s="18"/>
    </row>
    <row r="984" spans="3:4" ht="14.25" customHeight="1" x14ac:dyDescent="0.25">
      <c r="C984" s="64"/>
      <c r="D984" s="18"/>
    </row>
    <row r="985" spans="3:4" ht="14.25" customHeight="1" x14ac:dyDescent="0.25">
      <c r="C985" s="64"/>
      <c r="D985" s="18"/>
    </row>
    <row r="986" spans="3:4" ht="14.25" customHeight="1" x14ac:dyDescent="0.25">
      <c r="C986" s="64"/>
      <c r="D986" s="18"/>
    </row>
    <row r="987" spans="3:4" ht="14.25" customHeight="1" x14ac:dyDescent="0.25">
      <c r="C987" s="64"/>
      <c r="D987" s="18"/>
    </row>
    <row r="988" spans="3:4" ht="14.25" customHeight="1" x14ac:dyDescent="0.25">
      <c r="C988" s="64"/>
      <c r="D988" s="18"/>
    </row>
    <row r="989" spans="3:4" ht="14.25" customHeight="1" x14ac:dyDescent="0.25">
      <c r="C989" s="64"/>
      <c r="D989" s="18"/>
    </row>
    <row r="990" spans="3:4" ht="14.25" customHeight="1" x14ac:dyDescent="0.25">
      <c r="C990" s="64"/>
      <c r="D990" s="18"/>
    </row>
    <row r="991" spans="3:4" ht="14.25" customHeight="1" x14ac:dyDescent="0.25">
      <c r="C991" s="64"/>
      <c r="D991" s="18"/>
    </row>
    <row r="992" spans="3:4" ht="14.25" customHeight="1" x14ac:dyDescent="0.25">
      <c r="C992" s="64"/>
      <c r="D992" s="18"/>
    </row>
    <row r="993" spans="3:4" ht="14.25" customHeight="1" x14ac:dyDescent="0.25">
      <c r="C993" s="64"/>
      <c r="D993" s="18"/>
    </row>
    <row r="994" spans="3:4" ht="14.25" customHeight="1" x14ac:dyDescent="0.25">
      <c r="C994" s="64"/>
      <c r="D994" s="18"/>
    </row>
    <row r="995" spans="3:4" ht="14.25" customHeight="1" x14ac:dyDescent="0.25">
      <c r="C995" s="64"/>
      <c r="D995" s="18"/>
    </row>
    <row r="996" spans="3:4" ht="14.25" customHeight="1" x14ac:dyDescent="0.25">
      <c r="C996" s="64"/>
      <c r="D996" s="18"/>
    </row>
    <row r="997" spans="3:4" ht="14.25" customHeight="1" x14ac:dyDescent="0.25">
      <c r="C997" s="64"/>
      <c r="D997" s="18"/>
    </row>
    <row r="998" spans="3:4" ht="14.25" customHeight="1" x14ac:dyDescent="0.25">
      <c r="C998" s="64"/>
      <c r="D998" s="18"/>
    </row>
    <row r="999" spans="3:4" ht="14.25" customHeight="1" x14ac:dyDescent="0.25">
      <c r="C999" s="64"/>
      <c r="D999" s="18"/>
    </row>
    <row r="1000" spans="3:4" ht="14.25" customHeight="1" x14ac:dyDescent="0.25">
      <c r="C1000" s="64"/>
      <c r="D1000" s="18"/>
    </row>
  </sheetData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Data_Validation!$G$2:$G$27</xm:f>
          </x14:formula1>
          <xm:sqref>B36</xm:sqref>
        </x14:dataValidation>
        <x14:dataValidation type="list" allowBlank="1" showErrorMessage="1">
          <x14:formula1>
            <xm:f>Data_Validation!$G$2:$G$25</xm:f>
          </x14:formula1>
          <xm:sqref>B37 B40:B144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activeCell="D10" sqref="D10"/>
    </sheetView>
  </sheetViews>
  <sheetFormatPr defaultColWidth="14.42578125" defaultRowHeight="15" customHeight="1" x14ac:dyDescent="0.25"/>
  <cols>
    <col min="1" max="3" width="11" customWidth="1"/>
    <col min="4" max="4" width="16.140625" customWidth="1"/>
    <col min="5" max="26" width="8.7109375" customWidth="1"/>
  </cols>
  <sheetData>
    <row r="1" spans="1:4" ht="14.25" customHeight="1" x14ac:dyDescent="0.25">
      <c r="A1" s="16" t="s">
        <v>202</v>
      </c>
      <c r="B1" s="16" t="s">
        <v>203</v>
      </c>
      <c r="C1" s="16" t="s">
        <v>204</v>
      </c>
      <c r="D1" s="16" t="s">
        <v>205</v>
      </c>
    </row>
    <row r="2" spans="1:4" ht="14.25" customHeight="1" x14ac:dyDescent="0.25">
      <c r="A2" s="16" t="s">
        <v>206</v>
      </c>
      <c r="B2" s="16">
        <v>2025</v>
      </c>
      <c r="C2" s="16" t="s">
        <v>207</v>
      </c>
      <c r="D2" s="16"/>
    </row>
    <row r="3" spans="1:4" ht="14.25" customHeight="1" x14ac:dyDescent="0.25">
      <c r="A3" s="16" t="s">
        <v>208</v>
      </c>
      <c r="B3" s="16">
        <v>2025</v>
      </c>
      <c r="C3" s="16" t="s">
        <v>207</v>
      </c>
      <c r="D3" s="16">
        <v>200000</v>
      </c>
    </row>
    <row r="4" spans="1:4" ht="14.25" customHeight="1" x14ac:dyDescent="0.25">
      <c r="A4" s="16" t="s">
        <v>209</v>
      </c>
      <c r="B4" s="16">
        <v>2025</v>
      </c>
      <c r="C4" s="16" t="s">
        <v>207</v>
      </c>
      <c r="D4" s="16"/>
    </row>
    <row r="5" spans="1:4" ht="14.25" customHeight="1" x14ac:dyDescent="0.25">
      <c r="A5" s="16" t="s">
        <v>210</v>
      </c>
      <c r="B5" s="16">
        <v>2025</v>
      </c>
      <c r="C5" s="16" t="s">
        <v>207</v>
      </c>
      <c r="D5" s="16"/>
    </row>
    <row r="6" spans="1:4" ht="14.25" customHeight="1" x14ac:dyDescent="0.25">
      <c r="A6" s="16"/>
      <c r="B6" s="16"/>
      <c r="C6" s="16"/>
      <c r="D6" s="16"/>
    </row>
    <row r="7" spans="1:4" ht="14.25" customHeight="1" x14ac:dyDescent="0.25">
      <c r="A7" s="16"/>
      <c r="B7" s="16"/>
      <c r="C7" s="16"/>
      <c r="D7" s="16"/>
    </row>
    <row r="8" spans="1:4" ht="14.25" customHeight="1" x14ac:dyDescent="0.25">
      <c r="A8" s="16"/>
      <c r="B8" s="16"/>
      <c r="C8" s="16"/>
      <c r="D8" s="16"/>
    </row>
    <row r="9" spans="1:4" ht="14.25" customHeight="1" x14ac:dyDescent="0.25">
      <c r="A9" s="16"/>
      <c r="B9" s="16"/>
      <c r="C9" s="16"/>
      <c r="D9" s="16"/>
    </row>
    <row r="10" spans="1:4" ht="14.25" customHeight="1" x14ac:dyDescent="0.25">
      <c r="A10" s="16"/>
      <c r="B10" s="16"/>
      <c r="C10" s="16"/>
      <c r="D10" s="16"/>
    </row>
    <row r="11" spans="1:4" ht="14.25" customHeight="1" x14ac:dyDescent="0.25">
      <c r="A11" s="16"/>
      <c r="B11" s="16"/>
      <c r="C11" s="16"/>
      <c r="D11" s="16"/>
    </row>
    <row r="12" spans="1:4" ht="14.25" customHeight="1" x14ac:dyDescent="0.25">
      <c r="A12" s="16"/>
      <c r="B12" s="16"/>
      <c r="C12" s="16"/>
      <c r="D12" s="16"/>
    </row>
    <row r="13" spans="1:4" ht="14.25" customHeight="1" x14ac:dyDescent="0.25">
      <c r="A13" s="16"/>
      <c r="B13" s="16"/>
      <c r="C13" s="16"/>
      <c r="D13" s="16"/>
    </row>
    <row r="14" spans="1:4" ht="14.25" customHeight="1" x14ac:dyDescent="0.25">
      <c r="A14" s="16"/>
      <c r="B14" s="16"/>
      <c r="C14" s="16"/>
      <c r="D14" s="16"/>
    </row>
    <row r="15" spans="1:4" ht="14.25" customHeight="1" x14ac:dyDescent="0.25">
      <c r="A15" s="16"/>
      <c r="B15" s="16"/>
      <c r="C15" s="16"/>
      <c r="D15" s="16"/>
    </row>
    <row r="16" spans="1:4" ht="14.25" customHeight="1" x14ac:dyDescent="0.25">
      <c r="A16" s="16"/>
      <c r="B16" s="16"/>
      <c r="C16" s="16"/>
      <c r="D16" s="16"/>
    </row>
    <row r="17" spans="1:4" ht="14.25" customHeight="1" x14ac:dyDescent="0.25">
      <c r="A17" s="16"/>
      <c r="B17" s="16"/>
      <c r="C17" s="16"/>
      <c r="D17" s="16"/>
    </row>
    <row r="18" spans="1:4" ht="14.25" customHeight="1" x14ac:dyDescent="0.25">
      <c r="A18" s="16"/>
      <c r="B18" s="16"/>
      <c r="C18" s="16"/>
      <c r="D18" s="16"/>
    </row>
    <row r="19" spans="1:4" ht="14.25" customHeight="1" x14ac:dyDescent="0.25">
      <c r="A19" s="16"/>
      <c r="B19" s="16"/>
      <c r="C19" s="16"/>
      <c r="D19" s="16"/>
    </row>
    <row r="20" spans="1:4" ht="14.25" customHeight="1" x14ac:dyDescent="0.25">
      <c r="A20" s="16"/>
      <c r="B20" s="16"/>
      <c r="C20" s="16"/>
      <c r="D20" s="16"/>
    </row>
    <row r="21" spans="1:4" ht="14.25" customHeight="1" x14ac:dyDescent="0.25">
      <c r="A21" s="16"/>
      <c r="B21" s="16"/>
      <c r="C21" s="16"/>
      <c r="D21" s="16"/>
    </row>
    <row r="22" spans="1:4" ht="14.25" customHeight="1" x14ac:dyDescent="0.25">
      <c r="A22" s="16"/>
      <c r="B22" s="16"/>
      <c r="C22" s="16"/>
      <c r="D22" s="16"/>
    </row>
    <row r="23" spans="1:4" ht="14.25" customHeight="1" x14ac:dyDescent="0.25">
      <c r="A23" s="16"/>
      <c r="B23" s="16"/>
      <c r="C23" s="16"/>
      <c r="D23" s="16"/>
    </row>
    <row r="24" spans="1:4" ht="14.25" customHeight="1" x14ac:dyDescent="0.25">
      <c r="A24" s="16"/>
      <c r="B24" s="16"/>
      <c r="C24" s="16"/>
      <c r="D24" s="16"/>
    </row>
    <row r="25" spans="1:4" ht="14.25" customHeight="1" x14ac:dyDescent="0.25">
      <c r="A25" s="16"/>
      <c r="B25" s="16"/>
      <c r="C25" s="16"/>
      <c r="D25" s="16"/>
    </row>
    <row r="26" spans="1:4" ht="14.25" customHeight="1" x14ac:dyDescent="0.25">
      <c r="A26" s="16"/>
      <c r="B26" s="16"/>
      <c r="C26" s="16"/>
      <c r="D26" s="16"/>
    </row>
    <row r="27" spans="1:4" ht="14.25" customHeight="1" x14ac:dyDescent="0.25">
      <c r="A27" s="16"/>
      <c r="B27" s="16"/>
      <c r="C27" s="16"/>
      <c r="D27" s="16"/>
    </row>
    <row r="28" spans="1:4" ht="14.25" customHeight="1" x14ac:dyDescent="0.25">
      <c r="A28" s="16"/>
      <c r="B28" s="16"/>
      <c r="C28" s="16"/>
      <c r="D28" s="16"/>
    </row>
    <row r="29" spans="1:4" ht="14.25" customHeight="1" x14ac:dyDescent="0.25">
      <c r="A29" s="16"/>
      <c r="B29" s="16"/>
      <c r="C29" s="16"/>
      <c r="D29" s="16"/>
    </row>
    <row r="30" spans="1:4" ht="14.25" customHeight="1" x14ac:dyDescent="0.25">
      <c r="A30" s="16"/>
      <c r="B30" s="16"/>
      <c r="C30" s="16"/>
      <c r="D30" s="16"/>
    </row>
    <row r="31" spans="1:4" ht="14.25" customHeight="1" x14ac:dyDescent="0.25">
      <c r="A31" s="16"/>
      <c r="B31" s="16"/>
      <c r="C31" s="16"/>
      <c r="D31" s="16"/>
    </row>
    <row r="32" spans="1:4" ht="14.25" customHeight="1" x14ac:dyDescent="0.25">
      <c r="A32" s="16"/>
      <c r="B32" s="16"/>
      <c r="C32" s="16"/>
      <c r="D32" s="16"/>
    </row>
    <row r="33" spans="1:4" ht="14.25" customHeight="1" x14ac:dyDescent="0.25">
      <c r="A33" s="16"/>
      <c r="B33" s="16"/>
      <c r="C33" s="16"/>
      <c r="D33" s="16"/>
    </row>
    <row r="34" spans="1:4" ht="14.25" customHeight="1" x14ac:dyDescent="0.25">
      <c r="A34" s="16"/>
      <c r="B34" s="16"/>
      <c r="C34" s="16"/>
      <c r="D34" s="16"/>
    </row>
    <row r="35" spans="1:4" ht="14.25" customHeight="1" x14ac:dyDescent="0.25">
      <c r="A35" s="16"/>
      <c r="B35" s="16"/>
      <c r="C35" s="16"/>
      <c r="D35" s="16"/>
    </row>
    <row r="36" spans="1:4" ht="14.25" customHeight="1" x14ac:dyDescent="0.25">
      <c r="A36" s="16"/>
      <c r="B36" s="16"/>
      <c r="C36" s="16"/>
      <c r="D36" s="16"/>
    </row>
    <row r="37" spans="1:4" ht="14.25" customHeight="1" x14ac:dyDescent="0.25">
      <c r="A37" s="16"/>
      <c r="B37" s="16"/>
      <c r="C37" s="16"/>
      <c r="D37" s="16"/>
    </row>
    <row r="38" spans="1:4" ht="14.25" customHeight="1" x14ac:dyDescent="0.25">
      <c r="A38" s="16"/>
      <c r="B38" s="16"/>
      <c r="C38" s="16"/>
      <c r="D38" s="16"/>
    </row>
    <row r="39" spans="1:4" ht="14.25" customHeight="1" x14ac:dyDescent="0.25">
      <c r="A39" s="16"/>
      <c r="B39" s="16"/>
      <c r="C39" s="16"/>
      <c r="D39" s="16"/>
    </row>
    <row r="40" spans="1:4" ht="14.25" customHeight="1" x14ac:dyDescent="0.25">
      <c r="A40" s="16"/>
      <c r="B40" s="16"/>
      <c r="C40" s="16"/>
      <c r="D40" s="16"/>
    </row>
    <row r="41" spans="1:4" ht="14.25" customHeight="1" x14ac:dyDescent="0.25">
      <c r="A41" s="16"/>
      <c r="B41" s="16"/>
      <c r="C41" s="16"/>
      <c r="D41" s="16"/>
    </row>
    <row r="42" spans="1:4" ht="14.25" customHeight="1" x14ac:dyDescent="0.25">
      <c r="A42" s="16"/>
      <c r="B42" s="16"/>
      <c r="C42" s="16"/>
      <c r="D42" s="16"/>
    </row>
    <row r="43" spans="1:4" ht="14.25" customHeight="1" x14ac:dyDescent="0.25">
      <c r="A43" s="16"/>
      <c r="B43" s="16"/>
      <c r="C43" s="16"/>
      <c r="D43" s="16"/>
    </row>
    <row r="44" spans="1:4" ht="14.25" customHeight="1" x14ac:dyDescent="0.25">
      <c r="A44" s="16"/>
      <c r="B44" s="16"/>
      <c r="C44" s="16"/>
      <c r="D44" s="16"/>
    </row>
    <row r="45" spans="1:4" ht="14.25" customHeight="1" x14ac:dyDescent="0.25">
      <c r="A45" s="16"/>
      <c r="B45" s="16"/>
      <c r="C45" s="16"/>
      <c r="D45" s="16"/>
    </row>
    <row r="46" spans="1:4" ht="14.25" customHeight="1" x14ac:dyDescent="0.25">
      <c r="A46" s="16"/>
      <c r="B46" s="16"/>
      <c r="C46" s="16"/>
      <c r="D46" s="16"/>
    </row>
    <row r="47" spans="1:4" ht="14.25" customHeight="1" x14ac:dyDescent="0.25">
      <c r="A47" s="16"/>
      <c r="B47" s="16"/>
      <c r="C47" s="16"/>
      <c r="D47" s="16"/>
    </row>
    <row r="48" spans="1:4" ht="14.25" customHeight="1" x14ac:dyDescent="0.25">
      <c r="A48" s="16"/>
      <c r="B48" s="16"/>
      <c r="C48" s="16"/>
      <c r="D48" s="16"/>
    </row>
    <row r="49" spans="1:4" ht="14.25" customHeight="1" x14ac:dyDescent="0.25">
      <c r="A49" s="16"/>
      <c r="B49" s="16"/>
      <c r="C49" s="16"/>
      <c r="D49" s="16"/>
    </row>
    <row r="50" spans="1:4" ht="14.25" customHeight="1" x14ac:dyDescent="0.25">
      <c r="A50" s="16"/>
      <c r="B50" s="16"/>
      <c r="C50" s="16"/>
      <c r="D50" s="16"/>
    </row>
    <row r="51" spans="1:4" ht="14.25" customHeight="1" x14ac:dyDescent="0.25">
      <c r="A51" s="16"/>
      <c r="B51" s="16"/>
      <c r="C51" s="16"/>
      <c r="D51" s="16"/>
    </row>
    <row r="52" spans="1:4" ht="14.25" customHeight="1" x14ac:dyDescent="0.25">
      <c r="A52" s="16"/>
      <c r="B52" s="16"/>
      <c r="C52" s="16"/>
      <c r="D52" s="16"/>
    </row>
    <row r="53" spans="1:4" ht="14.25" customHeight="1" x14ac:dyDescent="0.25">
      <c r="A53" s="16"/>
      <c r="B53" s="16"/>
      <c r="C53" s="16"/>
      <c r="D53" s="16"/>
    </row>
    <row r="54" spans="1:4" ht="14.25" customHeight="1" x14ac:dyDescent="0.25">
      <c r="A54" s="16"/>
      <c r="B54" s="16"/>
      <c r="C54" s="16"/>
      <c r="D54" s="16"/>
    </row>
    <row r="55" spans="1:4" ht="14.25" customHeight="1" x14ac:dyDescent="0.25">
      <c r="A55" s="16"/>
      <c r="B55" s="16"/>
      <c r="C55" s="16"/>
      <c r="D55" s="16"/>
    </row>
    <row r="56" spans="1:4" ht="14.25" customHeight="1" x14ac:dyDescent="0.25">
      <c r="A56" s="16"/>
      <c r="B56" s="16"/>
      <c r="C56" s="16"/>
      <c r="D56" s="16"/>
    </row>
    <row r="57" spans="1:4" ht="14.25" customHeight="1" x14ac:dyDescent="0.25">
      <c r="A57" s="16"/>
      <c r="B57" s="16"/>
      <c r="C57" s="16"/>
      <c r="D57" s="16"/>
    </row>
    <row r="58" spans="1:4" ht="14.25" customHeight="1" x14ac:dyDescent="0.25">
      <c r="A58" s="16"/>
      <c r="B58" s="16"/>
      <c r="C58" s="16"/>
      <c r="D58" s="16"/>
    </row>
    <row r="59" spans="1:4" ht="14.25" customHeight="1" x14ac:dyDescent="0.25">
      <c r="A59" s="16"/>
      <c r="B59" s="16"/>
      <c r="C59" s="16"/>
      <c r="D59" s="16"/>
    </row>
    <row r="60" spans="1:4" ht="14.25" customHeight="1" x14ac:dyDescent="0.25">
      <c r="A60" s="16"/>
      <c r="B60" s="16"/>
      <c r="C60" s="16"/>
      <c r="D60" s="16"/>
    </row>
    <row r="61" spans="1:4" ht="14.25" customHeight="1" x14ac:dyDescent="0.25">
      <c r="A61" s="16"/>
      <c r="B61" s="16"/>
      <c r="C61" s="16"/>
      <c r="D61" s="16"/>
    </row>
    <row r="62" spans="1:4" ht="14.25" customHeight="1" x14ac:dyDescent="0.25">
      <c r="A62" s="16"/>
      <c r="B62" s="16"/>
      <c r="C62" s="16"/>
      <c r="D62" s="16"/>
    </row>
    <row r="63" spans="1:4" ht="14.25" customHeight="1" x14ac:dyDescent="0.25">
      <c r="A63" s="16"/>
      <c r="B63" s="16"/>
      <c r="C63" s="16"/>
      <c r="D63" s="16"/>
    </row>
    <row r="64" spans="1:4" ht="14.25" customHeight="1" x14ac:dyDescent="0.25">
      <c r="A64" s="16"/>
      <c r="B64" s="16"/>
      <c r="C64" s="16"/>
      <c r="D64" s="16"/>
    </row>
    <row r="65" spans="1:4" ht="14.25" customHeight="1" x14ac:dyDescent="0.25">
      <c r="A65" s="16"/>
      <c r="B65" s="16"/>
      <c r="C65" s="16"/>
      <c r="D65" s="16"/>
    </row>
    <row r="66" spans="1:4" ht="14.25" customHeight="1" x14ac:dyDescent="0.25">
      <c r="A66" s="16"/>
      <c r="B66" s="16"/>
      <c r="C66" s="16"/>
      <c r="D66" s="16"/>
    </row>
    <row r="67" spans="1:4" ht="14.25" customHeight="1" x14ac:dyDescent="0.25">
      <c r="A67" s="16"/>
      <c r="B67" s="16"/>
      <c r="C67" s="16"/>
      <c r="D67" s="16"/>
    </row>
    <row r="68" spans="1:4" ht="14.25" customHeight="1" x14ac:dyDescent="0.25">
      <c r="A68" s="16"/>
      <c r="B68" s="16"/>
      <c r="C68" s="16"/>
      <c r="D68" s="16"/>
    </row>
    <row r="69" spans="1:4" ht="14.25" customHeight="1" x14ac:dyDescent="0.25">
      <c r="A69" s="16"/>
      <c r="B69" s="16"/>
      <c r="C69" s="16"/>
      <c r="D69" s="16"/>
    </row>
    <row r="70" spans="1:4" ht="14.25" customHeight="1" x14ac:dyDescent="0.25">
      <c r="A70" s="16"/>
      <c r="B70" s="16"/>
      <c r="C70" s="16"/>
      <c r="D70" s="16"/>
    </row>
    <row r="71" spans="1:4" ht="14.25" customHeight="1" x14ac:dyDescent="0.25">
      <c r="A71" s="16"/>
      <c r="B71" s="16"/>
      <c r="C71" s="16"/>
      <c r="D71" s="16"/>
    </row>
    <row r="72" spans="1:4" ht="14.25" customHeight="1" x14ac:dyDescent="0.25">
      <c r="A72" s="16"/>
      <c r="B72" s="16"/>
      <c r="C72" s="16"/>
      <c r="D72" s="16"/>
    </row>
    <row r="73" spans="1:4" ht="14.25" customHeight="1" x14ac:dyDescent="0.25">
      <c r="A73" s="16"/>
      <c r="B73" s="16"/>
      <c r="C73" s="16"/>
      <c r="D73" s="16"/>
    </row>
    <row r="74" spans="1:4" ht="14.25" customHeight="1" x14ac:dyDescent="0.25">
      <c r="A74" s="16"/>
      <c r="B74" s="16"/>
      <c r="C74" s="16"/>
      <c r="D74" s="16"/>
    </row>
    <row r="75" spans="1:4" ht="14.25" customHeight="1" x14ac:dyDescent="0.25">
      <c r="A75" s="16"/>
      <c r="B75" s="16"/>
      <c r="C75" s="16"/>
      <c r="D75" s="16"/>
    </row>
    <row r="76" spans="1:4" ht="14.25" customHeight="1" x14ac:dyDescent="0.25">
      <c r="A76" s="16"/>
      <c r="B76" s="16"/>
      <c r="C76" s="16"/>
      <c r="D76" s="16"/>
    </row>
    <row r="77" spans="1:4" ht="14.25" customHeight="1" x14ac:dyDescent="0.25">
      <c r="A77" s="16"/>
      <c r="B77" s="16"/>
      <c r="C77" s="16"/>
      <c r="D77" s="16"/>
    </row>
    <row r="78" spans="1:4" ht="14.25" customHeight="1" x14ac:dyDescent="0.25">
      <c r="A78" s="16"/>
      <c r="B78" s="16"/>
      <c r="C78" s="16"/>
      <c r="D78" s="16"/>
    </row>
    <row r="79" spans="1:4" ht="14.25" customHeight="1" x14ac:dyDescent="0.25">
      <c r="A79" s="16"/>
      <c r="B79" s="16"/>
      <c r="C79" s="16"/>
      <c r="D79" s="16"/>
    </row>
    <row r="80" spans="1:4" ht="14.25" customHeight="1" x14ac:dyDescent="0.25">
      <c r="A80" s="16"/>
      <c r="B80" s="16"/>
      <c r="C80" s="16"/>
      <c r="D80" s="16"/>
    </row>
    <row r="81" spans="1:4" ht="14.25" customHeight="1" x14ac:dyDescent="0.25">
      <c r="A81" s="16"/>
      <c r="B81" s="16"/>
      <c r="C81" s="16"/>
      <c r="D81" s="16"/>
    </row>
    <row r="82" spans="1:4" ht="14.25" customHeight="1" x14ac:dyDescent="0.25">
      <c r="A82" s="16"/>
      <c r="B82" s="16"/>
      <c r="C82" s="16"/>
      <c r="D82" s="16"/>
    </row>
    <row r="83" spans="1:4" ht="14.25" customHeight="1" x14ac:dyDescent="0.25">
      <c r="A83" s="16"/>
      <c r="B83" s="16"/>
      <c r="C83" s="16"/>
      <c r="D83" s="16"/>
    </row>
    <row r="84" spans="1:4" ht="14.25" customHeight="1" x14ac:dyDescent="0.25">
      <c r="A84" s="16"/>
      <c r="B84" s="16"/>
      <c r="C84" s="16"/>
      <c r="D84" s="16"/>
    </row>
    <row r="85" spans="1:4" ht="14.25" customHeight="1" x14ac:dyDescent="0.25">
      <c r="A85" s="16"/>
      <c r="B85" s="16"/>
      <c r="C85" s="16"/>
      <c r="D85" s="16"/>
    </row>
    <row r="86" spans="1:4" ht="14.25" customHeight="1" x14ac:dyDescent="0.25">
      <c r="A86" s="16"/>
      <c r="B86" s="16"/>
      <c r="C86" s="16"/>
      <c r="D86" s="16"/>
    </row>
    <row r="87" spans="1:4" ht="14.25" customHeight="1" x14ac:dyDescent="0.25">
      <c r="A87" s="16"/>
      <c r="B87" s="16"/>
      <c r="C87" s="16"/>
      <c r="D87" s="16"/>
    </row>
    <row r="88" spans="1:4" ht="14.25" customHeight="1" x14ac:dyDescent="0.25">
      <c r="A88" s="16"/>
      <c r="B88" s="16"/>
      <c r="C88" s="16"/>
      <c r="D88" s="16"/>
    </row>
    <row r="89" spans="1:4" ht="14.25" customHeight="1" x14ac:dyDescent="0.25">
      <c r="A89" s="16"/>
      <c r="B89" s="16"/>
      <c r="C89" s="16"/>
      <c r="D89" s="16"/>
    </row>
    <row r="90" spans="1:4" ht="14.25" customHeight="1" x14ac:dyDescent="0.25">
      <c r="A90" s="16"/>
      <c r="B90" s="16"/>
      <c r="C90" s="16"/>
      <c r="D90" s="16"/>
    </row>
    <row r="91" spans="1:4" ht="14.25" customHeight="1" x14ac:dyDescent="0.25">
      <c r="A91" s="16"/>
      <c r="B91" s="16"/>
      <c r="C91" s="16"/>
      <c r="D91" s="16"/>
    </row>
    <row r="92" spans="1:4" ht="14.25" customHeight="1" x14ac:dyDescent="0.25">
      <c r="A92" s="16"/>
      <c r="B92" s="16"/>
      <c r="C92" s="16"/>
      <c r="D92" s="16"/>
    </row>
    <row r="93" spans="1:4" ht="14.25" customHeight="1" x14ac:dyDescent="0.25">
      <c r="A93" s="16"/>
      <c r="B93" s="16"/>
      <c r="C93" s="16"/>
      <c r="D93" s="16"/>
    </row>
    <row r="94" spans="1:4" ht="14.25" customHeight="1" x14ac:dyDescent="0.25">
      <c r="A94" s="16"/>
      <c r="B94" s="16"/>
      <c r="C94" s="16"/>
      <c r="D94" s="16"/>
    </row>
    <row r="95" spans="1:4" ht="14.25" customHeight="1" x14ac:dyDescent="0.25">
      <c r="A95" s="16"/>
      <c r="B95" s="16"/>
      <c r="C95" s="16"/>
      <c r="D95" s="16"/>
    </row>
    <row r="96" spans="1:4" ht="14.25" customHeight="1" x14ac:dyDescent="0.25">
      <c r="A96" s="16"/>
      <c r="B96" s="16"/>
      <c r="C96" s="16"/>
      <c r="D96" s="16"/>
    </row>
    <row r="97" spans="1:4" ht="14.25" customHeight="1" x14ac:dyDescent="0.25">
      <c r="A97" s="16"/>
      <c r="B97" s="16"/>
      <c r="C97" s="16"/>
      <c r="D97" s="16"/>
    </row>
    <row r="98" spans="1:4" ht="14.25" customHeight="1" x14ac:dyDescent="0.25">
      <c r="A98" s="16"/>
      <c r="B98" s="16"/>
      <c r="C98" s="16"/>
      <c r="D98" s="16"/>
    </row>
    <row r="99" spans="1:4" ht="14.25" customHeight="1" x14ac:dyDescent="0.25">
      <c r="A99" s="16"/>
      <c r="B99" s="16"/>
      <c r="C99" s="16"/>
      <c r="D99" s="16"/>
    </row>
    <row r="100" spans="1:4" ht="14.25" customHeight="1" x14ac:dyDescent="0.25">
      <c r="A100" s="16"/>
      <c r="B100" s="16"/>
      <c r="C100" s="16"/>
      <c r="D100" s="16"/>
    </row>
    <row r="101" spans="1:4" ht="14.25" customHeight="1" x14ac:dyDescent="0.25">
      <c r="A101" s="16"/>
      <c r="B101" s="16"/>
      <c r="C101" s="16"/>
      <c r="D101" s="16"/>
    </row>
    <row r="102" spans="1:4" ht="14.25" customHeight="1" x14ac:dyDescent="0.25">
      <c r="A102" s="16"/>
      <c r="B102" s="16"/>
      <c r="C102" s="16"/>
      <c r="D102" s="16"/>
    </row>
    <row r="103" spans="1:4" ht="14.25" customHeight="1" x14ac:dyDescent="0.25">
      <c r="A103" s="16"/>
      <c r="B103" s="16"/>
      <c r="C103" s="16"/>
      <c r="D103" s="16"/>
    </row>
    <row r="104" spans="1:4" ht="14.25" customHeight="1" x14ac:dyDescent="0.25">
      <c r="A104" s="16"/>
      <c r="B104" s="16"/>
      <c r="C104" s="16"/>
      <c r="D104" s="16"/>
    </row>
    <row r="105" spans="1:4" ht="14.25" customHeight="1" x14ac:dyDescent="0.25">
      <c r="A105" s="16"/>
      <c r="B105" s="16"/>
      <c r="C105" s="16"/>
      <c r="D105" s="16"/>
    </row>
    <row r="106" spans="1:4" ht="14.25" customHeight="1" x14ac:dyDescent="0.25">
      <c r="A106" s="16"/>
      <c r="B106" s="16"/>
      <c r="C106" s="16"/>
      <c r="D106" s="16"/>
    </row>
    <row r="107" spans="1:4" ht="14.25" customHeight="1" x14ac:dyDescent="0.25">
      <c r="A107" s="16"/>
      <c r="B107" s="16"/>
      <c r="C107" s="16"/>
      <c r="D107" s="16"/>
    </row>
    <row r="108" spans="1:4" ht="14.25" customHeight="1" x14ac:dyDescent="0.25">
      <c r="A108" s="16"/>
      <c r="B108" s="16"/>
      <c r="C108" s="16"/>
      <c r="D108" s="16"/>
    </row>
    <row r="109" spans="1:4" ht="14.25" customHeight="1" x14ac:dyDescent="0.25">
      <c r="A109" s="16"/>
      <c r="B109" s="16"/>
      <c r="C109" s="16"/>
      <c r="D109" s="16"/>
    </row>
    <row r="110" spans="1:4" ht="14.25" customHeight="1" x14ac:dyDescent="0.25">
      <c r="A110" s="16"/>
      <c r="B110" s="16"/>
      <c r="C110" s="16"/>
      <c r="D110" s="16"/>
    </row>
    <row r="111" spans="1:4" ht="14.25" customHeight="1" x14ac:dyDescent="0.25">
      <c r="A111" s="16"/>
      <c r="B111" s="16"/>
      <c r="C111" s="16"/>
      <c r="D111" s="16"/>
    </row>
    <row r="112" spans="1:4" ht="14.25" customHeight="1" x14ac:dyDescent="0.25">
      <c r="A112" s="16"/>
      <c r="B112" s="16"/>
      <c r="C112" s="16"/>
      <c r="D112" s="16"/>
    </row>
    <row r="113" spans="1:4" ht="14.25" customHeight="1" x14ac:dyDescent="0.25">
      <c r="A113" s="16"/>
      <c r="B113" s="16"/>
      <c r="C113" s="16"/>
      <c r="D113" s="16"/>
    </row>
    <row r="114" spans="1:4" ht="14.25" customHeight="1" x14ac:dyDescent="0.25">
      <c r="A114" s="16"/>
      <c r="B114" s="16"/>
      <c r="C114" s="16"/>
      <c r="D114" s="16"/>
    </row>
    <row r="115" spans="1:4" ht="14.25" customHeight="1" x14ac:dyDescent="0.25">
      <c r="A115" s="16"/>
      <c r="B115" s="16"/>
      <c r="C115" s="16"/>
      <c r="D115" s="16"/>
    </row>
    <row r="116" spans="1:4" ht="14.25" customHeight="1" x14ac:dyDescent="0.25">
      <c r="A116" s="16"/>
      <c r="B116" s="16"/>
      <c r="C116" s="16"/>
      <c r="D116" s="16"/>
    </row>
    <row r="117" spans="1:4" ht="14.25" customHeight="1" x14ac:dyDescent="0.25">
      <c r="A117" s="16"/>
      <c r="B117" s="16"/>
      <c r="C117" s="16"/>
      <c r="D117" s="16"/>
    </row>
    <row r="118" spans="1:4" ht="14.25" customHeight="1" x14ac:dyDescent="0.25">
      <c r="A118" s="16"/>
      <c r="B118" s="16"/>
      <c r="C118" s="16"/>
      <c r="D118" s="16"/>
    </row>
    <row r="119" spans="1:4" ht="14.25" customHeight="1" x14ac:dyDescent="0.25">
      <c r="A119" s="16"/>
      <c r="B119" s="16"/>
      <c r="C119" s="16"/>
      <c r="D119" s="16"/>
    </row>
    <row r="120" spans="1:4" ht="14.25" customHeight="1" x14ac:dyDescent="0.25">
      <c r="A120" s="16"/>
      <c r="B120" s="16"/>
      <c r="C120" s="16"/>
      <c r="D120" s="16"/>
    </row>
    <row r="121" spans="1:4" ht="14.25" customHeight="1" x14ac:dyDescent="0.25">
      <c r="A121" s="16"/>
      <c r="B121" s="16"/>
      <c r="C121" s="16"/>
      <c r="D121" s="16"/>
    </row>
    <row r="122" spans="1:4" ht="14.25" customHeight="1" x14ac:dyDescent="0.25">
      <c r="A122" s="16"/>
      <c r="B122" s="16"/>
      <c r="C122" s="16"/>
      <c r="D122" s="16"/>
    </row>
    <row r="123" spans="1:4" ht="14.25" customHeight="1" x14ac:dyDescent="0.25">
      <c r="A123" s="16"/>
      <c r="B123" s="16"/>
      <c r="C123" s="16"/>
      <c r="D123" s="16"/>
    </row>
    <row r="124" spans="1:4" ht="14.25" customHeight="1" x14ac:dyDescent="0.25">
      <c r="A124" s="16"/>
      <c r="B124" s="16"/>
      <c r="C124" s="16"/>
      <c r="D124" s="16"/>
    </row>
    <row r="125" spans="1:4" ht="14.25" customHeight="1" x14ac:dyDescent="0.25">
      <c r="A125" s="16"/>
      <c r="B125" s="16"/>
      <c r="C125" s="16"/>
      <c r="D125" s="16"/>
    </row>
    <row r="126" spans="1:4" ht="14.25" customHeight="1" x14ac:dyDescent="0.25">
      <c r="A126" s="16"/>
      <c r="B126" s="16"/>
      <c r="C126" s="16"/>
      <c r="D126" s="16"/>
    </row>
    <row r="127" spans="1:4" ht="14.25" customHeight="1" x14ac:dyDescent="0.25">
      <c r="A127" s="16"/>
      <c r="B127" s="16"/>
      <c r="C127" s="16"/>
      <c r="D127" s="16"/>
    </row>
    <row r="128" spans="1:4" ht="14.25" customHeight="1" x14ac:dyDescent="0.25">
      <c r="A128" s="16"/>
      <c r="B128" s="16"/>
      <c r="C128" s="16"/>
      <c r="D128" s="16"/>
    </row>
    <row r="129" spans="1:4" ht="14.25" customHeight="1" x14ac:dyDescent="0.25">
      <c r="A129" s="16"/>
      <c r="B129" s="16"/>
      <c r="C129" s="16"/>
      <c r="D129" s="16"/>
    </row>
    <row r="130" spans="1:4" ht="14.25" customHeight="1" x14ac:dyDescent="0.25">
      <c r="A130" s="16"/>
      <c r="B130" s="16"/>
      <c r="C130" s="16"/>
      <c r="D130" s="16"/>
    </row>
    <row r="131" spans="1:4" ht="14.25" customHeight="1" x14ac:dyDescent="0.25">
      <c r="A131" s="16"/>
      <c r="B131" s="16"/>
      <c r="C131" s="16"/>
      <c r="D131" s="16"/>
    </row>
    <row r="132" spans="1:4" ht="14.25" customHeight="1" x14ac:dyDescent="0.25">
      <c r="A132" s="16"/>
      <c r="B132" s="16"/>
      <c r="C132" s="16"/>
      <c r="D132" s="16"/>
    </row>
    <row r="133" spans="1:4" ht="14.25" customHeight="1" x14ac:dyDescent="0.25">
      <c r="A133" s="16"/>
      <c r="B133" s="16"/>
      <c r="C133" s="16"/>
      <c r="D133" s="16"/>
    </row>
    <row r="134" spans="1:4" ht="14.25" customHeight="1" x14ac:dyDescent="0.25">
      <c r="A134" s="16"/>
      <c r="B134" s="16"/>
      <c r="C134" s="16"/>
      <c r="D134" s="16"/>
    </row>
    <row r="135" spans="1:4" ht="14.25" customHeight="1" x14ac:dyDescent="0.25">
      <c r="A135" s="16"/>
      <c r="B135" s="16"/>
      <c r="C135" s="16"/>
      <c r="D135" s="16"/>
    </row>
    <row r="136" spans="1:4" ht="14.25" customHeight="1" x14ac:dyDescent="0.25">
      <c r="A136" s="16"/>
      <c r="B136" s="16"/>
      <c r="C136" s="16"/>
      <c r="D136" s="16"/>
    </row>
    <row r="137" spans="1:4" ht="14.25" customHeight="1" x14ac:dyDescent="0.25">
      <c r="A137" s="16"/>
      <c r="B137" s="16"/>
      <c r="C137" s="16"/>
      <c r="D137" s="16"/>
    </row>
    <row r="138" spans="1:4" ht="14.25" customHeight="1" x14ac:dyDescent="0.25">
      <c r="A138" s="16"/>
      <c r="B138" s="16"/>
      <c r="C138" s="16"/>
      <c r="D138" s="16"/>
    </row>
    <row r="139" spans="1:4" ht="14.25" customHeight="1" x14ac:dyDescent="0.25">
      <c r="A139" s="16"/>
      <c r="B139" s="16"/>
      <c r="C139" s="16"/>
      <c r="D139" s="16"/>
    </row>
    <row r="140" spans="1:4" ht="14.25" customHeight="1" x14ac:dyDescent="0.25">
      <c r="A140" s="16"/>
      <c r="B140" s="16"/>
      <c r="C140" s="16"/>
      <c r="D140" s="16"/>
    </row>
    <row r="141" spans="1:4" ht="14.25" customHeight="1" x14ac:dyDescent="0.25">
      <c r="A141" s="16"/>
      <c r="B141" s="16"/>
      <c r="C141" s="16"/>
      <c r="D141" s="16"/>
    </row>
    <row r="142" spans="1:4" ht="14.25" customHeight="1" x14ac:dyDescent="0.25">
      <c r="A142" s="16"/>
      <c r="B142" s="16"/>
      <c r="C142" s="16"/>
      <c r="D142" s="16"/>
    </row>
    <row r="143" spans="1:4" ht="14.25" customHeight="1" x14ac:dyDescent="0.25">
      <c r="A143" s="16"/>
      <c r="B143" s="16"/>
      <c r="C143" s="16"/>
      <c r="D143" s="16"/>
    </row>
    <row r="144" spans="1:4" ht="14.25" customHeight="1" x14ac:dyDescent="0.25">
      <c r="A144" s="16"/>
      <c r="B144" s="16"/>
      <c r="C144" s="16"/>
      <c r="D144" s="16"/>
    </row>
    <row r="145" spans="1:4" ht="14.25" customHeight="1" x14ac:dyDescent="0.25">
      <c r="A145" s="16"/>
      <c r="B145" s="16"/>
      <c r="C145" s="16"/>
      <c r="D145" s="16"/>
    </row>
    <row r="146" spans="1:4" ht="14.25" customHeight="1" x14ac:dyDescent="0.25">
      <c r="A146" s="16"/>
      <c r="B146" s="16"/>
      <c r="C146" s="16"/>
      <c r="D146" s="16"/>
    </row>
    <row r="147" spans="1:4" ht="14.25" customHeight="1" x14ac:dyDescent="0.25">
      <c r="A147" s="16"/>
      <c r="B147" s="16"/>
      <c r="C147" s="16"/>
      <c r="D147" s="16"/>
    </row>
    <row r="148" spans="1:4" ht="14.25" customHeight="1" x14ac:dyDescent="0.25">
      <c r="A148" s="16"/>
      <c r="B148" s="16"/>
      <c r="C148" s="16"/>
      <c r="D148" s="16"/>
    </row>
    <row r="149" spans="1:4" ht="14.25" customHeight="1" x14ac:dyDescent="0.25">
      <c r="A149" s="16"/>
      <c r="B149" s="16"/>
      <c r="C149" s="16"/>
      <c r="D149" s="16"/>
    </row>
    <row r="150" spans="1:4" ht="14.25" customHeight="1" x14ac:dyDescent="0.25">
      <c r="A150" s="16"/>
      <c r="B150" s="16"/>
      <c r="C150" s="16"/>
      <c r="D150" s="16"/>
    </row>
    <row r="151" spans="1:4" ht="14.25" customHeight="1" x14ac:dyDescent="0.25">
      <c r="A151" s="16"/>
      <c r="B151" s="16"/>
      <c r="C151" s="16"/>
      <c r="D151" s="16"/>
    </row>
    <row r="152" spans="1:4" ht="14.25" customHeight="1" x14ac:dyDescent="0.25">
      <c r="A152" s="16"/>
      <c r="B152" s="16"/>
      <c r="C152" s="16"/>
      <c r="D152" s="16"/>
    </row>
    <row r="153" spans="1:4" ht="14.25" customHeight="1" x14ac:dyDescent="0.25">
      <c r="A153" s="16"/>
      <c r="B153" s="16"/>
      <c r="C153" s="16"/>
      <c r="D153" s="16"/>
    </row>
    <row r="154" spans="1:4" ht="14.25" customHeight="1" x14ac:dyDescent="0.25">
      <c r="A154" s="16"/>
      <c r="B154" s="16"/>
      <c r="C154" s="16"/>
      <c r="D154" s="16"/>
    </row>
    <row r="155" spans="1:4" ht="14.25" customHeight="1" x14ac:dyDescent="0.25">
      <c r="A155" s="16"/>
      <c r="B155" s="16"/>
      <c r="C155" s="16"/>
      <c r="D155" s="16"/>
    </row>
    <row r="156" spans="1:4" ht="14.25" customHeight="1" x14ac:dyDescent="0.25">
      <c r="A156" s="16"/>
      <c r="B156" s="16"/>
      <c r="C156" s="16"/>
      <c r="D156" s="16"/>
    </row>
    <row r="157" spans="1:4" ht="14.25" customHeight="1" x14ac:dyDescent="0.25">
      <c r="A157" s="16"/>
      <c r="B157" s="16"/>
      <c r="C157" s="16"/>
      <c r="D157" s="16"/>
    </row>
    <row r="158" spans="1:4" ht="14.25" customHeight="1" x14ac:dyDescent="0.25">
      <c r="A158" s="16"/>
      <c r="B158" s="16"/>
      <c r="C158" s="16"/>
      <c r="D158" s="16"/>
    </row>
    <row r="159" spans="1:4" ht="14.25" customHeight="1" x14ac:dyDescent="0.25">
      <c r="A159" s="16"/>
      <c r="B159" s="16"/>
      <c r="C159" s="16"/>
      <c r="D159" s="16"/>
    </row>
    <row r="160" spans="1:4" ht="14.25" customHeight="1" x14ac:dyDescent="0.25">
      <c r="A160" s="16"/>
      <c r="B160" s="16"/>
      <c r="C160" s="16"/>
      <c r="D160" s="16"/>
    </row>
    <row r="161" spans="1:4" ht="14.25" customHeight="1" x14ac:dyDescent="0.25">
      <c r="A161" s="16"/>
      <c r="B161" s="16"/>
      <c r="C161" s="16"/>
      <c r="D161" s="16"/>
    </row>
    <row r="162" spans="1:4" ht="14.25" customHeight="1" x14ac:dyDescent="0.25">
      <c r="A162" s="16"/>
      <c r="B162" s="16"/>
      <c r="C162" s="16"/>
      <c r="D162" s="16"/>
    </row>
    <row r="163" spans="1:4" ht="14.25" customHeight="1" x14ac:dyDescent="0.25">
      <c r="A163" s="16"/>
      <c r="B163" s="16"/>
      <c r="C163" s="16"/>
      <c r="D163" s="16"/>
    </row>
    <row r="164" spans="1:4" ht="14.25" customHeight="1" x14ac:dyDescent="0.25">
      <c r="A164" s="16"/>
      <c r="B164" s="16"/>
      <c r="C164" s="16"/>
      <c r="D164" s="16"/>
    </row>
    <row r="165" spans="1:4" ht="14.25" customHeight="1" x14ac:dyDescent="0.25">
      <c r="A165" s="16"/>
      <c r="B165" s="16"/>
      <c r="C165" s="16"/>
      <c r="D165" s="16"/>
    </row>
    <row r="166" spans="1:4" ht="14.25" customHeight="1" x14ac:dyDescent="0.25">
      <c r="A166" s="16"/>
      <c r="B166" s="16"/>
      <c r="C166" s="16"/>
      <c r="D166" s="16"/>
    </row>
    <row r="167" spans="1:4" ht="14.25" customHeight="1" x14ac:dyDescent="0.25">
      <c r="A167" s="16"/>
      <c r="B167" s="16"/>
      <c r="C167" s="16"/>
      <c r="D167" s="16"/>
    </row>
    <row r="168" spans="1:4" ht="14.25" customHeight="1" x14ac:dyDescent="0.25">
      <c r="A168" s="16"/>
      <c r="B168" s="16"/>
      <c r="C168" s="16"/>
      <c r="D168" s="16"/>
    </row>
    <row r="169" spans="1:4" ht="14.25" customHeight="1" x14ac:dyDescent="0.25">
      <c r="A169" s="16"/>
      <c r="B169" s="16"/>
      <c r="C169" s="16"/>
      <c r="D169" s="16"/>
    </row>
    <row r="170" spans="1:4" ht="14.25" customHeight="1" x14ac:dyDescent="0.25">
      <c r="A170" s="16"/>
      <c r="B170" s="16"/>
      <c r="C170" s="16"/>
      <c r="D170" s="16"/>
    </row>
    <row r="171" spans="1:4" ht="14.25" customHeight="1" x14ac:dyDescent="0.25">
      <c r="A171" s="16"/>
      <c r="B171" s="16"/>
      <c r="C171" s="16"/>
      <c r="D171" s="16"/>
    </row>
    <row r="172" spans="1:4" ht="14.25" customHeight="1" x14ac:dyDescent="0.25">
      <c r="A172" s="16"/>
      <c r="B172" s="16"/>
      <c r="C172" s="16"/>
      <c r="D172" s="16"/>
    </row>
    <row r="173" spans="1:4" ht="14.25" customHeight="1" x14ac:dyDescent="0.25">
      <c r="A173" s="16"/>
      <c r="B173" s="16"/>
      <c r="C173" s="16"/>
      <c r="D173" s="16"/>
    </row>
    <row r="174" spans="1:4" ht="14.25" customHeight="1" x14ac:dyDescent="0.25">
      <c r="A174" s="16"/>
      <c r="B174" s="16"/>
      <c r="C174" s="16"/>
      <c r="D174" s="16"/>
    </row>
    <row r="175" spans="1:4" ht="14.25" customHeight="1" x14ac:dyDescent="0.25">
      <c r="A175" s="16"/>
      <c r="B175" s="16"/>
      <c r="C175" s="16"/>
      <c r="D175" s="16"/>
    </row>
    <row r="176" spans="1:4" ht="14.25" customHeight="1" x14ac:dyDescent="0.25">
      <c r="A176" s="16"/>
      <c r="B176" s="16"/>
      <c r="C176" s="16"/>
      <c r="D176" s="16"/>
    </row>
    <row r="177" spans="1:4" ht="14.25" customHeight="1" x14ac:dyDescent="0.25">
      <c r="A177" s="16"/>
      <c r="B177" s="16"/>
      <c r="C177" s="16"/>
      <c r="D177" s="16"/>
    </row>
    <row r="178" spans="1:4" ht="14.25" customHeight="1" x14ac:dyDescent="0.25">
      <c r="A178" s="16"/>
      <c r="B178" s="16"/>
      <c r="C178" s="16"/>
      <c r="D178" s="16"/>
    </row>
    <row r="179" spans="1:4" ht="14.25" customHeight="1" x14ac:dyDescent="0.25">
      <c r="A179" s="16"/>
      <c r="B179" s="16"/>
      <c r="C179" s="16"/>
      <c r="D179" s="16"/>
    </row>
    <row r="180" spans="1:4" ht="14.25" customHeight="1" x14ac:dyDescent="0.25">
      <c r="A180" s="16"/>
      <c r="B180" s="16"/>
      <c r="C180" s="16"/>
      <c r="D180" s="16"/>
    </row>
    <row r="181" spans="1:4" ht="14.25" customHeight="1" x14ac:dyDescent="0.25">
      <c r="A181" s="16"/>
      <c r="B181" s="16"/>
      <c r="C181" s="16"/>
      <c r="D181" s="16"/>
    </row>
    <row r="182" spans="1:4" ht="14.25" customHeight="1" x14ac:dyDescent="0.25">
      <c r="A182" s="16"/>
      <c r="B182" s="16"/>
      <c r="C182" s="16"/>
      <c r="D182" s="16"/>
    </row>
    <row r="183" spans="1:4" ht="14.25" customHeight="1" x14ac:dyDescent="0.25">
      <c r="A183" s="16"/>
      <c r="B183" s="16"/>
      <c r="C183" s="16"/>
      <c r="D183" s="16"/>
    </row>
    <row r="184" spans="1:4" ht="14.25" customHeight="1" x14ac:dyDescent="0.25">
      <c r="A184" s="16"/>
      <c r="B184" s="16"/>
      <c r="C184" s="16"/>
      <c r="D184" s="16"/>
    </row>
    <row r="185" spans="1:4" ht="14.25" customHeight="1" x14ac:dyDescent="0.25">
      <c r="A185" s="16"/>
      <c r="B185" s="16"/>
      <c r="C185" s="16"/>
      <c r="D185" s="16"/>
    </row>
    <row r="186" spans="1:4" ht="14.25" customHeight="1" x14ac:dyDescent="0.25">
      <c r="A186" s="16"/>
      <c r="B186" s="16"/>
      <c r="C186" s="16"/>
      <c r="D186" s="16"/>
    </row>
    <row r="187" spans="1:4" ht="14.25" customHeight="1" x14ac:dyDescent="0.25">
      <c r="A187" s="16"/>
      <c r="B187" s="16"/>
      <c r="C187" s="16"/>
      <c r="D187" s="16"/>
    </row>
    <row r="188" spans="1:4" ht="14.25" customHeight="1" x14ac:dyDescent="0.25">
      <c r="A188" s="16"/>
      <c r="B188" s="16"/>
      <c r="C188" s="16"/>
      <c r="D188" s="16"/>
    </row>
    <row r="189" spans="1:4" ht="14.25" customHeight="1" x14ac:dyDescent="0.25">
      <c r="A189" s="16"/>
      <c r="B189" s="16"/>
      <c r="C189" s="16"/>
      <c r="D189" s="16"/>
    </row>
    <row r="190" spans="1:4" ht="14.25" customHeight="1" x14ac:dyDescent="0.25">
      <c r="A190" s="16"/>
      <c r="B190" s="16"/>
      <c r="C190" s="16"/>
      <c r="D190" s="16"/>
    </row>
    <row r="191" spans="1:4" ht="14.25" customHeight="1" x14ac:dyDescent="0.25">
      <c r="A191" s="16"/>
      <c r="B191" s="16"/>
      <c r="C191" s="16"/>
      <c r="D191" s="16"/>
    </row>
    <row r="192" spans="1:4" ht="14.25" customHeight="1" x14ac:dyDescent="0.25">
      <c r="A192" s="16"/>
      <c r="B192" s="16"/>
      <c r="C192" s="16"/>
      <c r="D192" s="16"/>
    </row>
    <row r="193" spans="1:4" ht="14.25" customHeight="1" x14ac:dyDescent="0.25">
      <c r="A193" s="16"/>
      <c r="B193" s="16"/>
      <c r="C193" s="16"/>
      <c r="D193" s="16"/>
    </row>
    <row r="194" spans="1:4" ht="14.25" customHeight="1" x14ac:dyDescent="0.25">
      <c r="A194" s="16"/>
      <c r="B194" s="16"/>
      <c r="C194" s="16"/>
      <c r="D194" s="16"/>
    </row>
    <row r="195" spans="1:4" ht="14.25" customHeight="1" x14ac:dyDescent="0.25">
      <c r="A195" s="16"/>
      <c r="B195" s="16"/>
      <c r="C195" s="16"/>
      <c r="D195" s="16"/>
    </row>
    <row r="196" spans="1:4" ht="14.25" customHeight="1" x14ac:dyDescent="0.25">
      <c r="A196" s="16"/>
      <c r="B196" s="16"/>
      <c r="C196" s="16"/>
      <c r="D196" s="16"/>
    </row>
    <row r="197" spans="1:4" ht="14.25" customHeight="1" x14ac:dyDescent="0.25">
      <c r="A197" s="16"/>
      <c r="B197" s="16"/>
      <c r="C197" s="16"/>
      <c r="D197" s="16"/>
    </row>
    <row r="198" spans="1:4" ht="14.25" customHeight="1" x14ac:dyDescent="0.25">
      <c r="A198" s="16"/>
      <c r="B198" s="16"/>
      <c r="C198" s="16"/>
      <c r="D198" s="16"/>
    </row>
    <row r="199" spans="1:4" ht="14.25" customHeight="1" x14ac:dyDescent="0.25">
      <c r="A199" s="16"/>
      <c r="B199" s="16"/>
      <c r="C199" s="16"/>
      <c r="D199" s="16"/>
    </row>
    <row r="200" spans="1:4" ht="14.25" customHeight="1" x14ac:dyDescent="0.25">
      <c r="A200" s="16"/>
      <c r="B200" s="16"/>
      <c r="C200" s="16"/>
      <c r="D200" s="16"/>
    </row>
    <row r="201" spans="1:4" ht="14.25" customHeight="1" x14ac:dyDescent="0.25">
      <c r="A201" s="16"/>
      <c r="B201" s="16"/>
      <c r="C201" s="16"/>
      <c r="D201" s="16"/>
    </row>
    <row r="202" spans="1:4" ht="14.25" customHeight="1" x14ac:dyDescent="0.25">
      <c r="A202" s="16"/>
      <c r="B202" s="16"/>
      <c r="C202" s="16"/>
      <c r="D202" s="16"/>
    </row>
    <row r="203" spans="1:4" ht="14.25" customHeight="1" x14ac:dyDescent="0.25">
      <c r="A203" s="16"/>
      <c r="B203" s="16"/>
      <c r="C203" s="16"/>
      <c r="D203" s="16"/>
    </row>
    <row r="204" spans="1:4" ht="14.25" customHeight="1" x14ac:dyDescent="0.25">
      <c r="A204" s="16"/>
      <c r="B204" s="16"/>
      <c r="C204" s="16"/>
      <c r="D204" s="16"/>
    </row>
    <row r="205" spans="1:4" ht="14.25" customHeight="1" x14ac:dyDescent="0.25">
      <c r="A205" s="16"/>
      <c r="B205" s="16"/>
      <c r="C205" s="16"/>
      <c r="D205" s="16"/>
    </row>
    <row r="206" spans="1:4" ht="14.25" customHeight="1" x14ac:dyDescent="0.25">
      <c r="A206" s="16"/>
      <c r="B206" s="16"/>
      <c r="C206" s="16"/>
      <c r="D206" s="16"/>
    </row>
    <row r="207" spans="1:4" ht="14.25" customHeight="1" x14ac:dyDescent="0.25">
      <c r="A207" s="16"/>
      <c r="B207" s="16"/>
      <c r="C207" s="16"/>
      <c r="D207" s="16"/>
    </row>
    <row r="208" spans="1:4" ht="14.25" customHeight="1" x14ac:dyDescent="0.25">
      <c r="A208" s="16"/>
      <c r="B208" s="16"/>
      <c r="C208" s="16"/>
      <c r="D208" s="16"/>
    </row>
    <row r="209" spans="1:4" ht="14.25" customHeight="1" x14ac:dyDescent="0.25">
      <c r="A209" s="16"/>
      <c r="B209" s="16"/>
      <c r="C209" s="16"/>
      <c r="D209" s="16"/>
    </row>
    <row r="210" spans="1:4" ht="14.25" customHeight="1" x14ac:dyDescent="0.25">
      <c r="A210" s="16"/>
      <c r="B210" s="16"/>
      <c r="C210" s="16"/>
      <c r="D210" s="16"/>
    </row>
    <row r="211" spans="1:4" ht="14.25" customHeight="1" x14ac:dyDescent="0.25">
      <c r="A211" s="16"/>
      <c r="B211" s="16"/>
      <c r="C211" s="16"/>
      <c r="D211" s="16"/>
    </row>
    <row r="212" spans="1:4" ht="14.25" customHeight="1" x14ac:dyDescent="0.25">
      <c r="A212" s="16"/>
      <c r="B212" s="16"/>
      <c r="C212" s="16"/>
      <c r="D212" s="16"/>
    </row>
    <row r="213" spans="1:4" ht="14.25" customHeight="1" x14ac:dyDescent="0.25">
      <c r="A213" s="16"/>
      <c r="B213" s="16"/>
      <c r="C213" s="16"/>
      <c r="D213" s="16"/>
    </row>
    <row r="214" spans="1:4" ht="14.25" customHeight="1" x14ac:dyDescent="0.25">
      <c r="A214" s="16"/>
      <c r="B214" s="16"/>
      <c r="C214" s="16"/>
      <c r="D214" s="16"/>
    </row>
    <row r="215" spans="1:4" ht="14.25" customHeight="1" x14ac:dyDescent="0.25">
      <c r="A215" s="16"/>
      <c r="B215" s="16"/>
      <c r="C215" s="16"/>
      <c r="D215" s="16"/>
    </row>
    <row r="216" spans="1:4" ht="14.25" customHeight="1" x14ac:dyDescent="0.25">
      <c r="A216" s="16"/>
      <c r="B216" s="16"/>
      <c r="C216" s="16"/>
      <c r="D216" s="16"/>
    </row>
    <row r="217" spans="1:4" ht="14.25" customHeight="1" x14ac:dyDescent="0.25">
      <c r="A217" s="16"/>
      <c r="B217" s="16"/>
      <c r="C217" s="16"/>
      <c r="D217" s="16"/>
    </row>
    <row r="218" spans="1:4" ht="14.25" customHeight="1" x14ac:dyDescent="0.25">
      <c r="A218" s="16"/>
      <c r="B218" s="16"/>
      <c r="C218" s="16"/>
      <c r="D218" s="16"/>
    </row>
    <row r="219" spans="1:4" ht="14.25" customHeight="1" x14ac:dyDescent="0.25">
      <c r="A219" s="16"/>
      <c r="B219" s="16"/>
      <c r="C219" s="16"/>
      <c r="D219" s="16"/>
    </row>
    <row r="220" spans="1:4" ht="14.25" customHeight="1" x14ac:dyDescent="0.25">
      <c r="A220" s="16"/>
      <c r="B220" s="16"/>
      <c r="C220" s="16"/>
      <c r="D220" s="16"/>
    </row>
    <row r="221" spans="1:4" ht="14.25" customHeight="1" x14ac:dyDescent="0.25">
      <c r="A221" s="16"/>
      <c r="B221" s="16"/>
      <c r="C221" s="16"/>
      <c r="D221" s="16"/>
    </row>
    <row r="222" spans="1:4" ht="14.25" customHeight="1" x14ac:dyDescent="0.25">
      <c r="A222" s="16"/>
      <c r="B222" s="16"/>
      <c r="C222" s="16"/>
      <c r="D222" s="16"/>
    </row>
    <row r="223" spans="1:4" ht="14.25" customHeight="1" x14ac:dyDescent="0.25">
      <c r="A223" s="16"/>
      <c r="B223" s="16"/>
      <c r="C223" s="16"/>
      <c r="D223" s="16"/>
    </row>
    <row r="224" spans="1:4" ht="14.25" customHeight="1" x14ac:dyDescent="0.25">
      <c r="A224" s="16"/>
      <c r="B224" s="16"/>
      <c r="C224" s="16"/>
      <c r="D224" s="16"/>
    </row>
    <row r="225" spans="1:4" ht="14.25" customHeight="1" x14ac:dyDescent="0.25">
      <c r="A225" s="16"/>
      <c r="B225" s="16"/>
      <c r="C225" s="16"/>
      <c r="D225" s="16"/>
    </row>
    <row r="226" spans="1:4" ht="14.25" customHeight="1" x14ac:dyDescent="0.25">
      <c r="A226" s="16"/>
      <c r="B226" s="16"/>
      <c r="C226" s="16"/>
      <c r="D226" s="16"/>
    </row>
    <row r="227" spans="1:4" ht="14.25" customHeight="1" x14ac:dyDescent="0.25">
      <c r="A227" s="16"/>
      <c r="B227" s="16"/>
      <c r="C227" s="16"/>
      <c r="D227" s="16"/>
    </row>
    <row r="228" spans="1:4" ht="14.25" customHeight="1" x14ac:dyDescent="0.25">
      <c r="A228" s="16"/>
      <c r="B228" s="16"/>
      <c r="C228" s="16"/>
      <c r="D228" s="16"/>
    </row>
    <row r="229" spans="1:4" ht="14.25" customHeight="1" x14ac:dyDescent="0.25">
      <c r="A229" s="16"/>
      <c r="B229" s="16"/>
      <c r="C229" s="16"/>
      <c r="D229" s="16"/>
    </row>
    <row r="230" spans="1:4" ht="14.25" customHeight="1" x14ac:dyDescent="0.25">
      <c r="A230" s="16"/>
      <c r="B230" s="16"/>
      <c r="C230" s="16"/>
      <c r="D230" s="16"/>
    </row>
    <row r="231" spans="1:4" ht="14.25" customHeight="1" x14ac:dyDescent="0.25">
      <c r="A231" s="16"/>
      <c r="B231" s="16"/>
      <c r="C231" s="16"/>
      <c r="D231" s="16"/>
    </row>
    <row r="232" spans="1:4" ht="14.25" customHeight="1" x14ac:dyDescent="0.25">
      <c r="A232" s="16"/>
      <c r="B232" s="16"/>
      <c r="C232" s="16"/>
      <c r="D232" s="16"/>
    </row>
    <row r="233" spans="1:4" ht="14.25" customHeight="1" x14ac:dyDescent="0.25">
      <c r="A233" s="16"/>
      <c r="B233" s="16"/>
      <c r="C233" s="16"/>
      <c r="D233" s="16"/>
    </row>
    <row r="234" spans="1:4" ht="14.25" customHeight="1" x14ac:dyDescent="0.25">
      <c r="A234" s="16"/>
      <c r="B234" s="16"/>
      <c r="C234" s="16"/>
      <c r="D234" s="16"/>
    </row>
    <row r="235" spans="1:4" ht="14.25" customHeight="1" x14ac:dyDescent="0.25">
      <c r="A235" s="16"/>
      <c r="B235" s="16"/>
      <c r="C235" s="16"/>
      <c r="D235" s="16"/>
    </row>
    <row r="236" spans="1:4" ht="14.25" customHeight="1" x14ac:dyDescent="0.25">
      <c r="A236" s="16"/>
      <c r="B236" s="16"/>
      <c r="C236" s="16"/>
      <c r="D236" s="16"/>
    </row>
    <row r="237" spans="1:4" ht="14.25" customHeight="1" x14ac:dyDescent="0.25">
      <c r="A237" s="16"/>
      <c r="B237" s="16"/>
      <c r="C237" s="16"/>
      <c r="D237" s="16"/>
    </row>
    <row r="238" spans="1:4" ht="14.25" customHeight="1" x14ac:dyDescent="0.25">
      <c r="A238" s="16"/>
      <c r="B238" s="16"/>
      <c r="C238" s="16"/>
      <c r="D238" s="16"/>
    </row>
    <row r="239" spans="1:4" ht="14.25" customHeight="1" x14ac:dyDescent="0.25">
      <c r="A239" s="16"/>
      <c r="B239" s="16"/>
      <c r="C239" s="16"/>
      <c r="D239" s="16"/>
    </row>
    <row r="240" spans="1:4" ht="14.25" customHeight="1" x14ac:dyDescent="0.25">
      <c r="A240" s="16"/>
      <c r="B240" s="16"/>
      <c r="C240" s="16"/>
      <c r="D240" s="16"/>
    </row>
    <row r="241" spans="1:4" ht="14.25" customHeight="1" x14ac:dyDescent="0.25">
      <c r="A241" s="16"/>
      <c r="B241" s="16"/>
      <c r="C241" s="16"/>
      <c r="D241" s="16"/>
    </row>
    <row r="242" spans="1:4" ht="14.25" customHeight="1" x14ac:dyDescent="0.25">
      <c r="A242" s="16"/>
      <c r="B242" s="16"/>
      <c r="C242" s="16"/>
      <c r="D242" s="16"/>
    </row>
    <row r="243" spans="1:4" ht="14.25" customHeight="1" x14ac:dyDescent="0.25">
      <c r="A243" s="16"/>
      <c r="B243" s="16"/>
      <c r="C243" s="16"/>
      <c r="D243" s="16"/>
    </row>
    <row r="244" spans="1:4" ht="14.25" customHeight="1" x14ac:dyDescent="0.25">
      <c r="A244" s="16"/>
      <c r="B244" s="16"/>
      <c r="C244" s="16"/>
      <c r="D244" s="16"/>
    </row>
    <row r="245" spans="1:4" ht="14.25" customHeight="1" x14ac:dyDescent="0.25">
      <c r="A245" s="16"/>
      <c r="B245" s="16"/>
      <c r="C245" s="16"/>
      <c r="D245" s="16"/>
    </row>
    <row r="246" spans="1:4" ht="14.25" customHeight="1" x14ac:dyDescent="0.25">
      <c r="A246" s="16"/>
      <c r="B246" s="16"/>
      <c r="C246" s="16"/>
      <c r="D246" s="16"/>
    </row>
    <row r="247" spans="1:4" ht="14.25" customHeight="1" x14ac:dyDescent="0.25">
      <c r="A247" s="16"/>
      <c r="B247" s="16"/>
      <c r="C247" s="16"/>
      <c r="D247" s="16"/>
    </row>
    <row r="248" spans="1:4" ht="14.25" customHeight="1" x14ac:dyDescent="0.25">
      <c r="A248" s="16"/>
      <c r="B248" s="16"/>
      <c r="C248" s="16"/>
      <c r="D248" s="16"/>
    </row>
    <row r="249" spans="1:4" ht="14.25" customHeight="1" x14ac:dyDescent="0.25">
      <c r="A249" s="16"/>
      <c r="B249" s="16"/>
      <c r="C249" s="16"/>
      <c r="D249" s="16"/>
    </row>
    <row r="250" spans="1:4" ht="14.25" customHeight="1" x14ac:dyDescent="0.25">
      <c r="A250" s="16"/>
      <c r="B250" s="16"/>
      <c r="C250" s="16"/>
      <c r="D250" s="16"/>
    </row>
    <row r="251" spans="1:4" ht="14.25" customHeight="1" x14ac:dyDescent="0.25">
      <c r="A251" s="16"/>
      <c r="B251" s="16"/>
      <c r="C251" s="16"/>
      <c r="D251" s="16"/>
    </row>
    <row r="252" spans="1:4" ht="14.25" customHeight="1" x14ac:dyDescent="0.25">
      <c r="A252" s="16"/>
      <c r="B252" s="16"/>
      <c r="C252" s="16"/>
      <c r="D252" s="16"/>
    </row>
    <row r="253" spans="1:4" ht="14.25" customHeight="1" x14ac:dyDescent="0.25">
      <c r="A253" s="16"/>
      <c r="B253" s="16"/>
      <c r="C253" s="16"/>
      <c r="D253" s="16"/>
    </row>
    <row r="254" spans="1:4" ht="14.25" customHeight="1" x14ac:dyDescent="0.25">
      <c r="A254" s="16"/>
      <c r="B254" s="16"/>
      <c r="C254" s="16"/>
      <c r="D254" s="16"/>
    </row>
    <row r="255" spans="1:4" ht="14.25" customHeight="1" x14ac:dyDescent="0.25">
      <c r="A255" s="16"/>
      <c r="B255" s="16"/>
      <c r="C255" s="16"/>
      <c r="D255" s="16"/>
    </row>
    <row r="256" spans="1:4" ht="14.25" customHeight="1" x14ac:dyDescent="0.25">
      <c r="A256" s="16"/>
      <c r="B256" s="16"/>
      <c r="C256" s="16"/>
      <c r="D256" s="16"/>
    </row>
    <row r="257" spans="1:4" ht="14.25" customHeight="1" x14ac:dyDescent="0.25">
      <c r="A257" s="16"/>
      <c r="B257" s="16"/>
      <c r="C257" s="16"/>
      <c r="D257" s="16"/>
    </row>
    <row r="258" spans="1:4" ht="14.25" customHeight="1" x14ac:dyDescent="0.25">
      <c r="A258" s="16"/>
      <c r="B258" s="16"/>
      <c r="C258" s="16"/>
      <c r="D258" s="16"/>
    </row>
    <row r="259" spans="1:4" ht="14.25" customHeight="1" x14ac:dyDescent="0.25">
      <c r="A259" s="16"/>
      <c r="B259" s="16"/>
      <c r="C259" s="16"/>
      <c r="D259" s="16"/>
    </row>
    <row r="260" spans="1:4" ht="14.25" customHeight="1" x14ac:dyDescent="0.25">
      <c r="A260" s="16"/>
      <c r="B260" s="16"/>
      <c r="C260" s="16"/>
      <c r="D260" s="16"/>
    </row>
    <row r="261" spans="1:4" ht="14.25" customHeight="1" x14ac:dyDescent="0.25">
      <c r="A261" s="16"/>
      <c r="B261" s="16"/>
      <c r="C261" s="16"/>
      <c r="D261" s="16"/>
    </row>
    <row r="262" spans="1:4" ht="14.25" customHeight="1" x14ac:dyDescent="0.25">
      <c r="A262" s="16"/>
      <c r="B262" s="16"/>
      <c r="C262" s="16"/>
      <c r="D262" s="16"/>
    </row>
    <row r="263" spans="1:4" ht="14.25" customHeight="1" x14ac:dyDescent="0.25">
      <c r="A263" s="16"/>
      <c r="B263" s="16"/>
      <c r="C263" s="16"/>
      <c r="D263" s="16"/>
    </row>
    <row r="264" spans="1:4" ht="14.25" customHeight="1" x14ac:dyDescent="0.25">
      <c r="A264" s="16"/>
      <c r="B264" s="16"/>
      <c r="C264" s="16"/>
      <c r="D264" s="16"/>
    </row>
    <row r="265" spans="1:4" ht="14.25" customHeight="1" x14ac:dyDescent="0.25">
      <c r="A265" s="16"/>
      <c r="B265" s="16"/>
      <c r="C265" s="16"/>
      <c r="D265" s="16"/>
    </row>
    <row r="266" spans="1:4" ht="14.25" customHeight="1" x14ac:dyDescent="0.25">
      <c r="A266" s="16"/>
      <c r="B266" s="16"/>
      <c r="C266" s="16"/>
      <c r="D266" s="16"/>
    </row>
    <row r="267" spans="1:4" ht="14.25" customHeight="1" x14ac:dyDescent="0.25">
      <c r="A267" s="16"/>
      <c r="B267" s="16"/>
      <c r="C267" s="16"/>
      <c r="D267" s="16"/>
    </row>
    <row r="268" spans="1:4" ht="14.25" customHeight="1" x14ac:dyDescent="0.25">
      <c r="A268" s="16"/>
      <c r="B268" s="16"/>
      <c r="C268" s="16"/>
      <c r="D268" s="16"/>
    </row>
    <row r="269" spans="1:4" ht="14.25" customHeight="1" x14ac:dyDescent="0.25">
      <c r="A269" s="16"/>
      <c r="B269" s="16"/>
      <c r="C269" s="16"/>
      <c r="D269" s="16"/>
    </row>
    <row r="270" spans="1:4" ht="14.25" customHeight="1" x14ac:dyDescent="0.25">
      <c r="A270" s="16"/>
      <c r="B270" s="16"/>
      <c r="C270" s="16"/>
      <c r="D270" s="16"/>
    </row>
    <row r="271" spans="1:4" ht="14.25" customHeight="1" x14ac:dyDescent="0.25">
      <c r="A271" s="16"/>
      <c r="B271" s="16"/>
      <c r="C271" s="16"/>
      <c r="D271" s="16"/>
    </row>
    <row r="272" spans="1:4" ht="14.25" customHeight="1" x14ac:dyDescent="0.25">
      <c r="A272" s="16"/>
      <c r="B272" s="16"/>
      <c r="C272" s="16"/>
      <c r="D272" s="16"/>
    </row>
    <row r="273" spans="1:4" ht="14.25" customHeight="1" x14ac:dyDescent="0.25">
      <c r="A273" s="16"/>
      <c r="B273" s="16"/>
      <c r="C273" s="16"/>
      <c r="D273" s="16"/>
    </row>
    <row r="274" spans="1:4" ht="14.25" customHeight="1" x14ac:dyDescent="0.25">
      <c r="A274" s="16"/>
      <c r="B274" s="16"/>
      <c r="C274" s="16"/>
      <c r="D274" s="16"/>
    </row>
    <row r="275" spans="1:4" ht="14.25" customHeight="1" x14ac:dyDescent="0.25">
      <c r="A275" s="16"/>
      <c r="B275" s="16"/>
      <c r="C275" s="16"/>
      <c r="D275" s="16"/>
    </row>
    <row r="276" spans="1:4" ht="14.25" customHeight="1" x14ac:dyDescent="0.25">
      <c r="A276" s="16"/>
      <c r="B276" s="16"/>
      <c r="C276" s="16"/>
      <c r="D276" s="16"/>
    </row>
    <row r="277" spans="1:4" ht="14.25" customHeight="1" x14ac:dyDescent="0.25">
      <c r="A277" s="16"/>
      <c r="B277" s="16"/>
      <c r="C277" s="16"/>
      <c r="D277" s="16"/>
    </row>
    <row r="278" spans="1:4" ht="14.25" customHeight="1" x14ac:dyDescent="0.25">
      <c r="A278" s="16"/>
      <c r="B278" s="16"/>
      <c r="C278" s="16"/>
      <c r="D278" s="16"/>
    </row>
    <row r="279" spans="1:4" ht="14.25" customHeight="1" x14ac:dyDescent="0.25">
      <c r="A279" s="16"/>
      <c r="B279" s="16"/>
      <c r="C279" s="16"/>
      <c r="D279" s="16"/>
    </row>
    <row r="280" spans="1:4" ht="14.25" customHeight="1" x14ac:dyDescent="0.25">
      <c r="A280" s="16"/>
      <c r="B280" s="16"/>
      <c r="C280" s="16"/>
      <c r="D280" s="16"/>
    </row>
    <row r="281" spans="1:4" ht="14.25" customHeight="1" x14ac:dyDescent="0.25">
      <c r="A281" s="16"/>
      <c r="B281" s="16"/>
      <c r="C281" s="16"/>
      <c r="D281" s="16"/>
    </row>
    <row r="282" spans="1:4" ht="14.25" customHeight="1" x14ac:dyDescent="0.25">
      <c r="A282" s="16"/>
      <c r="B282" s="16"/>
      <c r="C282" s="16"/>
      <c r="D282" s="16"/>
    </row>
    <row r="283" spans="1:4" ht="14.25" customHeight="1" x14ac:dyDescent="0.25">
      <c r="A283" s="16"/>
      <c r="B283" s="16"/>
      <c r="C283" s="16"/>
      <c r="D283" s="16"/>
    </row>
    <row r="284" spans="1:4" ht="14.25" customHeight="1" x14ac:dyDescent="0.25">
      <c r="A284" s="16"/>
      <c r="B284" s="16"/>
      <c r="C284" s="16"/>
      <c r="D284" s="16"/>
    </row>
    <row r="285" spans="1:4" ht="14.25" customHeight="1" x14ac:dyDescent="0.25">
      <c r="A285" s="16"/>
      <c r="B285" s="16"/>
      <c r="C285" s="16"/>
      <c r="D285" s="16"/>
    </row>
    <row r="286" spans="1:4" ht="14.25" customHeight="1" x14ac:dyDescent="0.25">
      <c r="A286" s="16"/>
      <c r="B286" s="16"/>
      <c r="C286" s="16"/>
      <c r="D286" s="16"/>
    </row>
    <row r="287" spans="1:4" ht="14.25" customHeight="1" x14ac:dyDescent="0.25">
      <c r="A287" s="16"/>
      <c r="B287" s="16"/>
      <c r="C287" s="16"/>
      <c r="D287" s="16"/>
    </row>
    <row r="288" spans="1:4" ht="14.25" customHeight="1" x14ac:dyDescent="0.25">
      <c r="A288" s="16"/>
      <c r="B288" s="16"/>
      <c r="C288" s="16"/>
      <c r="D288" s="16"/>
    </row>
    <row r="289" spans="1:4" ht="14.25" customHeight="1" x14ac:dyDescent="0.25">
      <c r="A289" s="16"/>
      <c r="B289" s="16"/>
      <c r="C289" s="16"/>
      <c r="D289" s="16"/>
    </row>
    <row r="290" spans="1:4" ht="14.25" customHeight="1" x14ac:dyDescent="0.25">
      <c r="A290" s="16"/>
      <c r="B290" s="16"/>
      <c r="C290" s="16"/>
      <c r="D290" s="16"/>
    </row>
    <row r="291" spans="1:4" ht="14.25" customHeight="1" x14ac:dyDescent="0.25">
      <c r="A291" s="16"/>
      <c r="B291" s="16"/>
      <c r="C291" s="16"/>
      <c r="D291" s="16"/>
    </row>
    <row r="292" spans="1:4" ht="14.25" customHeight="1" x14ac:dyDescent="0.25">
      <c r="A292" s="16"/>
      <c r="B292" s="16"/>
      <c r="C292" s="16"/>
      <c r="D292" s="16"/>
    </row>
    <row r="293" spans="1:4" ht="14.25" customHeight="1" x14ac:dyDescent="0.25">
      <c r="A293" s="16"/>
      <c r="B293" s="16"/>
      <c r="C293" s="16"/>
      <c r="D293" s="16"/>
    </row>
    <row r="294" spans="1:4" ht="14.25" customHeight="1" x14ac:dyDescent="0.25">
      <c r="A294" s="16"/>
      <c r="B294" s="16"/>
      <c r="C294" s="16"/>
      <c r="D294" s="16"/>
    </row>
    <row r="295" spans="1:4" ht="14.25" customHeight="1" x14ac:dyDescent="0.25">
      <c r="A295" s="16"/>
      <c r="B295" s="16"/>
      <c r="C295" s="16"/>
      <c r="D295" s="16"/>
    </row>
    <row r="296" spans="1:4" ht="14.25" customHeight="1" x14ac:dyDescent="0.25">
      <c r="A296" s="16"/>
      <c r="B296" s="16"/>
      <c r="C296" s="16"/>
      <c r="D296" s="16"/>
    </row>
    <row r="297" spans="1:4" ht="14.25" customHeight="1" x14ac:dyDescent="0.25">
      <c r="A297" s="16"/>
      <c r="B297" s="16"/>
      <c r="C297" s="16"/>
      <c r="D297" s="16"/>
    </row>
    <row r="298" spans="1:4" ht="14.25" customHeight="1" x14ac:dyDescent="0.25">
      <c r="A298" s="16"/>
      <c r="B298" s="16"/>
      <c r="C298" s="16"/>
      <c r="D298" s="16"/>
    </row>
    <row r="299" spans="1:4" ht="14.25" customHeight="1" x14ac:dyDescent="0.25">
      <c r="A299" s="16"/>
      <c r="B299" s="16"/>
      <c r="C299" s="16"/>
      <c r="D299" s="16"/>
    </row>
    <row r="300" spans="1:4" ht="14.25" customHeight="1" x14ac:dyDescent="0.25">
      <c r="A300" s="16"/>
      <c r="B300" s="16"/>
      <c r="C300" s="16"/>
      <c r="D300" s="16"/>
    </row>
    <row r="301" spans="1:4" ht="14.25" customHeight="1" x14ac:dyDescent="0.25">
      <c r="A301" s="16"/>
      <c r="B301" s="16"/>
      <c r="C301" s="16"/>
      <c r="D301" s="16"/>
    </row>
    <row r="302" spans="1:4" ht="14.25" customHeight="1" x14ac:dyDescent="0.25">
      <c r="A302" s="16"/>
      <c r="B302" s="16"/>
      <c r="C302" s="16"/>
      <c r="D302" s="16"/>
    </row>
    <row r="303" spans="1:4" ht="14.25" customHeight="1" x14ac:dyDescent="0.25">
      <c r="A303" s="16"/>
      <c r="B303" s="16"/>
      <c r="C303" s="16"/>
      <c r="D303" s="16"/>
    </row>
    <row r="304" spans="1:4" ht="14.25" customHeight="1" x14ac:dyDescent="0.25">
      <c r="A304" s="16"/>
      <c r="B304" s="16"/>
      <c r="C304" s="16"/>
      <c r="D304" s="16"/>
    </row>
    <row r="305" spans="1:4" ht="14.25" customHeight="1" x14ac:dyDescent="0.25">
      <c r="A305" s="16"/>
      <c r="B305" s="16"/>
      <c r="C305" s="16"/>
      <c r="D305" s="16"/>
    </row>
    <row r="306" spans="1:4" ht="14.25" customHeight="1" x14ac:dyDescent="0.25">
      <c r="A306" s="16"/>
      <c r="B306" s="16"/>
      <c r="C306" s="16"/>
      <c r="D306" s="16"/>
    </row>
    <row r="307" spans="1:4" ht="14.25" customHeight="1" x14ac:dyDescent="0.25">
      <c r="A307" s="16"/>
      <c r="B307" s="16"/>
      <c r="C307" s="16"/>
      <c r="D307" s="16"/>
    </row>
    <row r="308" spans="1:4" ht="14.25" customHeight="1" x14ac:dyDescent="0.25">
      <c r="A308" s="16"/>
      <c r="B308" s="16"/>
      <c r="C308" s="16"/>
      <c r="D308" s="16"/>
    </row>
    <row r="309" spans="1:4" ht="14.25" customHeight="1" x14ac:dyDescent="0.25">
      <c r="A309" s="16"/>
      <c r="B309" s="16"/>
      <c r="C309" s="16"/>
      <c r="D309" s="16"/>
    </row>
    <row r="310" spans="1:4" ht="14.25" customHeight="1" x14ac:dyDescent="0.25">
      <c r="A310" s="16"/>
      <c r="B310" s="16"/>
      <c r="C310" s="16"/>
      <c r="D310" s="16"/>
    </row>
    <row r="311" spans="1:4" ht="14.25" customHeight="1" x14ac:dyDescent="0.25">
      <c r="A311" s="16"/>
      <c r="B311" s="16"/>
      <c r="C311" s="16"/>
      <c r="D311" s="16"/>
    </row>
    <row r="312" spans="1:4" ht="14.25" customHeight="1" x14ac:dyDescent="0.25">
      <c r="A312" s="16"/>
      <c r="B312" s="16"/>
      <c r="C312" s="16"/>
      <c r="D312" s="16"/>
    </row>
    <row r="313" spans="1:4" ht="14.25" customHeight="1" x14ac:dyDescent="0.25">
      <c r="A313" s="16"/>
      <c r="B313" s="16"/>
      <c r="C313" s="16"/>
      <c r="D313" s="16"/>
    </row>
    <row r="314" spans="1:4" ht="14.25" customHeight="1" x14ac:dyDescent="0.25">
      <c r="A314" s="16"/>
      <c r="B314" s="16"/>
      <c r="C314" s="16"/>
      <c r="D314" s="16"/>
    </row>
    <row r="315" spans="1:4" ht="14.25" customHeight="1" x14ac:dyDescent="0.25">
      <c r="A315" s="16"/>
      <c r="B315" s="16"/>
      <c r="C315" s="16"/>
      <c r="D315" s="16"/>
    </row>
    <row r="316" spans="1:4" ht="14.25" customHeight="1" x14ac:dyDescent="0.25">
      <c r="A316" s="16"/>
      <c r="B316" s="16"/>
      <c r="C316" s="16"/>
      <c r="D316" s="16"/>
    </row>
    <row r="317" spans="1:4" ht="14.25" customHeight="1" x14ac:dyDescent="0.25">
      <c r="A317" s="16"/>
      <c r="B317" s="16"/>
      <c r="C317" s="16"/>
      <c r="D317" s="16"/>
    </row>
    <row r="318" spans="1:4" ht="14.25" customHeight="1" x14ac:dyDescent="0.25">
      <c r="A318" s="16"/>
      <c r="B318" s="16"/>
      <c r="C318" s="16"/>
      <c r="D318" s="16"/>
    </row>
    <row r="319" spans="1:4" ht="14.25" customHeight="1" x14ac:dyDescent="0.25">
      <c r="A319" s="16"/>
      <c r="B319" s="16"/>
      <c r="C319" s="16"/>
      <c r="D319" s="16"/>
    </row>
    <row r="320" spans="1:4" ht="14.25" customHeight="1" x14ac:dyDescent="0.25">
      <c r="A320" s="16"/>
      <c r="B320" s="16"/>
      <c r="C320" s="16"/>
      <c r="D320" s="16"/>
    </row>
    <row r="321" spans="1:4" ht="14.25" customHeight="1" x14ac:dyDescent="0.25">
      <c r="A321" s="16"/>
      <c r="B321" s="16"/>
      <c r="C321" s="16"/>
      <c r="D321" s="16"/>
    </row>
    <row r="322" spans="1:4" ht="14.25" customHeight="1" x14ac:dyDescent="0.25">
      <c r="A322" s="16"/>
      <c r="B322" s="16"/>
      <c r="C322" s="16"/>
      <c r="D322" s="16"/>
    </row>
    <row r="323" spans="1:4" ht="14.25" customHeight="1" x14ac:dyDescent="0.25">
      <c r="A323" s="16"/>
      <c r="B323" s="16"/>
      <c r="C323" s="16"/>
      <c r="D323" s="16"/>
    </row>
    <row r="324" spans="1:4" ht="14.25" customHeight="1" x14ac:dyDescent="0.25">
      <c r="A324" s="16"/>
      <c r="B324" s="16"/>
      <c r="C324" s="16"/>
      <c r="D324" s="16"/>
    </row>
    <row r="325" spans="1:4" ht="14.25" customHeight="1" x14ac:dyDescent="0.25">
      <c r="A325" s="16"/>
      <c r="B325" s="16"/>
      <c r="C325" s="16"/>
      <c r="D325" s="16"/>
    </row>
    <row r="326" spans="1:4" ht="14.25" customHeight="1" x14ac:dyDescent="0.25">
      <c r="A326" s="16"/>
      <c r="B326" s="16"/>
      <c r="C326" s="16"/>
      <c r="D326" s="16"/>
    </row>
    <row r="327" spans="1:4" ht="14.25" customHeight="1" x14ac:dyDescent="0.25">
      <c r="A327" s="16"/>
      <c r="B327" s="16"/>
      <c r="C327" s="16"/>
      <c r="D327" s="16"/>
    </row>
    <row r="328" spans="1:4" ht="14.25" customHeight="1" x14ac:dyDescent="0.25">
      <c r="A328" s="16"/>
      <c r="B328" s="16"/>
      <c r="C328" s="16"/>
      <c r="D328" s="16"/>
    </row>
    <row r="329" spans="1:4" ht="14.25" customHeight="1" x14ac:dyDescent="0.25">
      <c r="A329" s="16"/>
      <c r="B329" s="16"/>
      <c r="C329" s="16"/>
      <c r="D329" s="16"/>
    </row>
    <row r="330" spans="1:4" ht="14.25" customHeight="1" x14ac:dyDescent="0.25">
      <c r="A330" s="16"/>
      <c r="B330" s="16"/>
      <c r="C330" s="16"/>
      <c r="D330" s="16"/>
    </row>
    <row r="331" spans="1:4" ht="14.25" customHeight="1" x14ac:dyDescent="0.25">
      <c r="A331" s="16"/>
      <c r="B331" s="16"/>
      <c r="C331" s="16"/>
      <c r="D331" s="16"/>
    </row>
    <row r="332" spans="1:4" ht="14.25" customHeight="1" x14ac:dyDescent="0.25">
      <c r="A332" s="16"/>
      <c r="B332" s="16"/>
      <c r="C332" s="16"/>
      <c r="D332" s="16"/>
    </row>
    <row r="333" spans="1:4" ht="14.25" customHeight="1" x14ac:dyDescent="0.25">
      <c r="A333" s="16"/>
      <c r="B333" s="16"/>
      <c r="C333" s="16"/>
      <c r="D333" s="16"/>
    </row>
    <row r="334" spans="1:4" ht="14.25" customHeight="1" x14ac:dyDescent="0.25">
      <c r="A334" s="16"/>
      <c r="B334" s="16"/>
      <c r="C334" s="16"/>
      <c r="D334" s="16"/>
    </row>
    <row r="335" spans="1:4" ht="14.25" customHeight="1" x14ac:dyDescent="0.25">
      <c r="A335" s="16"/>
      <c r="B335" s="16"/>
      <c r="C335" s="16"/>
      <c r="D335" s="16"/>
    </row>
    <row r="336" spans="1:4" ht="14.25" customHeight="1" x14ac:dyDescent="0.25">
      <c r="A336" s="16"/>
      <c r="B336" s="16"/>
      <c r="C336" s="16"/>
      <c r="D336" s="16"/>
    </row>
    <row r="337" spans="1:4" ht="14.25" customHeight="1" x14ac:dyDescent="0.25">
      <c r="A337" s="16"/>
      <c r="B337" s="16"/>
      <c r="C337" s="16"/>
      <c r="D337" s="16"/>
    </row>
    <row r="338" spans="1:4" ht="14.25" customHeight="1" x14ac:dyDescent="0.25">
      <c r="A338" s="16"/>
      <c r="B338" s="16"/>
      <c r="C338" s="16"/>
      <c r="D338" s="16"/>
    </row>
    <row r="339" spans="1:4" ht="14.25" customHeight="1" x14ac:dyDescent="0.25">
      <c r="A339" s="16"/>
      <c r="B339" s="16"/>
      <c r="C339" s="16"/>
      <c r="D339" s="16"/>
    </row>
    <row r="340" spans="1:4" ht="14.25" customHeight="1" x14ac:dyDescent="0.25">
      <c r="A340" s="16"/>
      <c r="B340" s="16"/>
      <c r="C340" s="16"/>
      <c r="D340" s="16"/>
    </row>
    <row r="341" spans="1:4" ht="14.25" customHeight="1" x14ac:dyDescent="0.25">
      <c r="A341" s="16"/>
      <c r="B341" s="16"/>
      <c r="C341" s="16"/>
      <c r="D341" s="16"/>
    </row>
    <row r="342" spans="1:4" ht="14.25" customHeight="1" x14ac:dyDescent="0.25">
      <c r="A342" s="16"/>
      <c r="B342" s="16"/>
      <c r="C342" s="16"/>
      <c r="D342" s="16"/>
    </row>
    <row r="343" spans="1:4" ht="14.25" customHeight="1" x14ac:dyDescent="0.25">
      <c r="A343" s="16"/>
      <c r="B343" s="16"/>
      <c r="C343" s="16"/>
      <c r="D343" s="16"/>
    </row>
    <row r="344" spans="1:4" ht="14.25" customHeight="1" x14ac:dyDescent="0.25">
      <c r="A344" s="16"/>
      <c r="B344" s="16"/>
      <c r="C344" s="16"/>
      <c r="D344" s="16"/>
    </row>
    <row r="345" spans="1:4" ht="14.25" customHeight="1" x14ac:dyDescent="0.25">
      <c r="A345" s="16"/>
      <c r="B345" s="16"/>
      <c r="C345" s="16"/>
      <c r="D345" s="16"/>
    </row>
    <row r="346" spans="1:4" ht="14.25" customHeight="1" x14ac:dyDescent="0.25">
      <c r="A346" s="16"/>
      <c r="B346" s="16"/>
      <c r="C346" s="16"/>
      <c r="D346" s="16"/>
    </row>
    <row r="347" spans="1:4" ht="14.25" customHeight="1" x14ac:dyDescent="0.25">
      <c r="A347" s="16"/>
      <c r="B347" s="16"/>
      <c r="C347" s="16"/>
      <c r="D347" s="16"/>
    </row>
    <row r="348" spans="1:4" ht="14.25" customHeight="1" x14ac:dyDescent="0.25">
      <c r="A348" s="16"/>
      <c r="B348" s="16"/>
      <c r="C348" s="16"/>
      <c r="D348" s="16"/>
    </row>
    <row r="349" spans="1:4" ht="14.25" customHeight="1" x14ac:dyDescent="0.25">
      <c r="A349" s="16"/>
      <c r="B349" s="16"/>
      <c r="C349" s="16"/>
      <c r="D349" s="16"/>
    </row>
    <row r="350" spans="1:4" ht="14.25" customHeight="1" x14ac:dyDescent="0.25">
      <c r="A350" s="16"/>
      <c r="B350" s="16"/>
      <c r="C350" s="16"/>
      <c r="D350" s="16"/>
    </row>
    <row r="351" spans="1:4" ht="14.25" customHeight="1" x14ac:dyDescent="0.25">
      <c r="A351" s="16"/>
      <c r="B351" s="16"/>
      <c r="C351" s="16"/>
      <c r="D351" s="16"/>
    </row>
    <row r="352" spans="1:4" ht="14.25" customHeight="1" x14ac:dyDescent="0.25">
      <c r="A352" s="16"/>
      <c r="B352" s="16"/>
      <c r="C352" s="16"/>
      <c r="D352" s="16"/>
    </row>
    <row r="353" spans="1:4" ht="14.25" customHeight="1" x14ac:dyDescent="0.25">
      <c r="A353" s="16"/>
      <c r="B353" s="16"/>
      <c r="C353" s="16"/>
      <c r="D353" s="16"/>
    </row>
    <row r="354" spans="1:4" ht="14.25" customHeight="1" x14ac:dyDescent="0.25">
      <c r="A354" s="16"/>
      <c r="B354" s="16"/>
      <c r="C354" s="16"/>
      <c r="D354" s="16"/>
    </row>
    <row r="355" spans="1:4" ht="14.25" customHeight="1" x14ac:dyDescent="0.25">
      <c r="A355" s="16"/>
      <c r="B355" s="16"/>
      <c r="C355" s="16"/>
      <c r="D355" s="16"/>
    </row>
    <row r="356" spans="1:4" ht="14.25" customHeight="1" x14ac:dyDescent="0.25">
      <c r="A356" s="16"/>
      <c r="B356" s="16"/>
      <c r="C356" s="16"/>
      <c r="D356" s="16"/>
    </row>
    <row r="357" spans="1:4" ht="14.25" customHeight="1" x14ac:dyDescent="0.25">
      <c r="A357" s="16"/>
      <c r="B357" s="16"/>
      <c r="C357" s="16"/>
      <c r="D357" s="16"/>
    </row>
    <row r="358" spans="1:4" ht="14.25" customHeight="1" x14ac:dyDescent="0.25">
      <c r="A358" s="16"/>
      <c r="B358" s="16"/>
      <c r="C358" s="16"/>
      <c r="D358" s="16"/>
    </row>
    <row r="359" spans="1:4" ht="14.25" customHeight="1" x14ac:dyDescent="0.25">
      <c r="A359" s="16"/>
      <c r="B359" s="16"/>
      <c r="C359" s="16"/>
      <c r="D359" s="16"/>
    </row>
    <row r="360" spans="1:4" ht="14.25" customHeight="1" x14ac:dyDescent="0.25">
      <c r="A360" s="16"/>
      <c r="B360" s="16"/>
      <c r="C360" s="16"/>
      <c r="D360" s="16"/>
    </row>
    <row r="361" spans="1:4" ht="14.25" customHeight="1" x14ac:dyDescent="0.25">
      <c r="A361" s="16"/>
      <c r="B361" s="16"/>
      <c r="C361" s="16"/>
      <c r="D361" s="16"/>
    </row>
    <row r="362" spans="1:4" ht="14.25" customHeight="1" x14ac:dyDescent="0.25">
      <c r="A362" s="16"/>
      <c r="B362" s="16"/>
      <c r="C362" s="16"/>
      <c r="D362" s="16"/>
    </row>
    <row r="363" spans="1:4" ht="14.25" customHeight="1" x14ac:dyDescent="0.25">
      <c r="A363" s="16"/>
      <c r="B363" s="16"/>
      <c r="C363" s="16"/>
      <c r="D363" s="16"/>
    </row>
    <row r="364" spans="1:4" ht="14.25" customHeight="1" x14ac:dyDescent="0.25">
      <c r="A364" s="16"/>
      <c r="B364" s="16"/>
      <c r="C364" s="16"/>
      <c r="D364" s="16"/>
    </row>
    <row r="365" spans="1:4" ht="14.25" customHeight="1" x14ac:dyDescent="0.25">
      <c r="A365" s="16"/>
      <c r="B365" s="16"/>
      <c r="C365" s="16"/>
      <c r="D365" s="16"/>
    </row>
    <row r="366" spans="1:4" ht="14.25" customHeight="1" x14ac:dyDescent="0.25">
      <c r="A366" s="16"/>
      <c r="B366" s="16"/>
      <c r="C366" s="16"/>
      <c r="D366" s="16"/>
    </row>
    <row r="367" spans="1:4" ht="14.25" customHeight="1" x14ac:dyDescent="0.25">
      <c r="A367" s="16"/>
      <c r="B367" s="16"/>
      <c r="C367" s="16"/>
      <c r="D367" s="16"/>
    </row>
    <row r="368" spans="1:4" ht="14.25" customHeight="1" x14ac:dyDescent="0.25">
      <c r="A368" s="16"/>
      <c r="B368" s="16"/>
      <c r="C368" s="16"/>
      <c r="D368" s="16"/>
    </row>
    <row r="369" spans="1:4" ht="14.25" customHeight="1" x14ac:dyDescent="0.25">
      <c r="A369" s="16"/>
      <c r="B369" s="16"/>
      <c r="C369" s="16"/>
      <c r="D369" s="16"/>
    </row>
    <row r="370" spans="1:4" ht="14.25" customHeight="1" x14ac:dyDescent="0.25">
      <c r="A370" s="16"/>
      <c r="B370" s="16"/>
      <c r="C370" s="16"/>
      <c r="D370" s="16"/>
    </row>
    <row r="371" spans="1:4" ht="14.25" customHeight="1" x14ac:dyDescent="0.25">
      <c r="A371" s="16"/>
      <c r="B371" s="16"/>
      <c r="C371" s="16"/>
      <c r="D371" s="16"/>
    </row>
    <row r="372" spans="1:4" ht="14.25" customHeight="1" x14ac:dyDescent="0.25">
      <c r="A372" s="16"/>
      <c r="B372" s="16"/>
      <c r="C372" s="16"/>
      <c r="D372" s="16"/>
    </row>
    <row r="373" spans="1:4" ht="14.25" customHeight="1" x14ac:dyDescent="0.25">
      <c r="A373" s="16"/>
      <c r="B373" s="16"/>
      <c r="C373" s="16"/>
      <c r="D373" s="16"/>
    </row>
    <row r="374" spans="1:4" ht="14.25" customHeight="1" x14ac:dyDescent="0.25">
      <c r="A374" s="16"/>
      <c r="B374" s="16"/>
      <c r="C374" s="16"/>
      <c r="D374" s="16"/>
    </row>
    <row r="375" spans="1:4" ht="14.25" customHeight="1" x14ac:dyDescent="0.25">
      <c r="A375" s="16"/>
      <c r="B375" s="16"/>
      <c r="C375" s="16"/>
      <c r="D375" s="16"/>
    </row>
    <row r="376" spans="1:4" ht="14.25" customHeight="1" x14ac:dyDescent="0.25">
      <c r="A376" s="16"/>
      <c r="B376" s="16"/>
      <c r="C376" s="16"/>
      <c r="D376" s="16"/>
    </row>
    <row r="377" spans="1:4" ht="14.25" customHeight="1" x14ac:dyDescent="0.25">
      <c r="A377" s="16"/>
      <c r="B377" s="16"/>
      <c r="C377" s="16"/>
      <c r="D377" s="16"/>
    </row>
    <row r="378" spans="1:4" ht="14.25" customHeight="1" x14ac:dyDescent="0.25">
      <c r="A378" s="16"/>
      <c r="B378" s="16"/>
      <c r="C378" s="16"/>
      <c r="D378" s="16"/>
    </row>
    <row r="379" spans="1:4" ht="14.25" customHeight="1" x14ac:dyDescent="0.25">
      <c r="A379" s="16"/>
      <c r="B379" s="16"/>
      <c r="C379" s="16"/>
      <c r="D379" s="16"/>
    </row>
    <row r="380" spans="1:4" ht="14.25" customHeight="1" x14ac:dyDescent="0.25">
      <c r="A380" s="16"/>
      <c r="B380" s="16"/>
      <c r="C380" s="16"/>
      <c r="D380" s="16"/>
    </row>
    <row r="381" spans="1:4" ht="14.25" customHeight="1" x14ac:dyDescent="0.25">
      <c r="A381" s="16"/>
      <c r="B381" s="16"/>
      <c r="C381" s="16"/>
      <c r="D381" s="16"/>
    </row>
    <row r="382" spans="1:4" ht="14.25" customHeight="1" x14ac:dyDescent="0.25">
      <c r="A382" s="16"/>
      <c r="B382" s="16"/>
      <c r="C382" s="16"/>
      <c r="D382" s="16"/>
    </row>
    <row r="383" spans="1:4" ht="14.25" customHeight="1" x14ac:dyDescent="0.25">
      <c r="A383" s="16"/>
      <c r="B383" s="16"/>
      <c r="C383" s="16"/>
      <c r="D383" s="16"/>
    </row>
    <row r="384" spans="1:4" ht="14.25" customHeight="1" x14ac:dyDescent="0.25">
      <c r="A384" s="16"/>
      <c r="B384" s="16"/>
      <c r="C384" s="16"/>
      <c r="D384" s="16"/>
    </row>
    <row r="385" spans="1:4" ht="14.25" customHeight="1" x14ac:dyDescent="0.25">
      <c r="A385" s="16"/>
      <c r="B385" s="16"/>
      <c r="C385" s="16"/>
      <c r="D385" s="16"/>
    </row>
    <row r="386" spans="1:4" ht="14.25" customHeight="1" x14ac:dyDescent="0.25">
      <c r="A386" s="16"/>
      <c r="B386" s="16"/>
      <c r="C386" s="16"/>
      <c r="D386" s="16"/>
    </row>
    <row r="387" spans="1:4" ht="14.25" customHeight="1" x14ac:dyDescent="0.25">
      <c r="A387" s="16"/>
      <c r="B387" s="16"/>
      <c r="C387" s="16"/>
      <c r="D387" s="16"/>
    </row>
    <row r="388" spans="1:4" ht="14.25" customHeight="1" x14ac:dyDescent="0.25">
      <c r="A388" s="16"/>
      <c r="B388" s="16"/>
      <c r="C388" s="16"/>
      <c r="D388" s="16"/>
    </row>
    <row r="389" spans="1:4" ht="14.25" customHeight="1" x14ac:dyDescent="0.25">
      <c r="A389" s="16"/>
      <c r="B389" s="16"/>
      <c r="C389" s="16"/>
      <c r="D389" s="16"/>
    </row>
    <row r="390" spans="1:4" ht="14.25" customHeight="1" x14ac:dyDescent="0.25">
      <c r="A390" s="16"/>
      <c r="B390" s="16"/>
      <c r="C390" s="16"/>
      <c r="D390" s="16"/>
    </row>
    <row r="391" spans="1:4" ht="14.25" customHeight="1" x14ac:dyDescent="0.25">
      <c r="A391" s="16"/>
      <c r="B391" s="16"/>
      <c r="C391" s="16"/>
      <c r="D391" s="16"/>
    </row>
    <row r="392" spans="1:4" ht="14.25" customHeight="1" x14ac:dyDescent="0.25">
      <c r="A392" s="16"/>
      <c r="B392" s="16"/>
      <c r="C392" s="16"/>
      <c r="D392" s="16"/>
    </row>
    <row r="393" spans="1:4" ht="14.25" customHeight="1" x14ac:dyDescent="0.25">
      <c r="A393" s="16"/>
      <c r="B393" s="16"/>
      <c r="C393" s="16"/>
      <c r="D393" s="16"/>
    </row>
    <row r="394" spans="1:4" ht="14.25" customHeight="1" x14ac:dyDescent="0.25">
      <c r="A394" s="16"/>
      <c r="B394" s="16"/>
      <c r="C394" s="16"/>
      <c r="D394" s="16"/>
    </row>
    <row r="395" spans="1:4" ht="14.25" customHeight="1" x14ac:dyDescent="0.25">
      <c r="A395" s="16"/>
      <c r="B395" s="16"/>
      <c r="C395" s="16"/>
      <c r="D395" s="16"/>
    </row>
    <row r="396" spans="1:4" ht="14.25" customHeight="1" x14ac:dyDescent="0.25">
      <c r="A396" s="16"/>
      <c r="B396" s="16"/>
      <c r="C396" s="16"/>
      <c r="D396" s="16"/>
    </row>
    <row r="397" spans="1:4" ht="14.25" customHeight="1" x14ac:dyDescent="0.25">
      <c r="A397" s="16"/>
      <c r="B397" s="16"/>
      <c r="C397" s="16"/>
      <c r="D397" s="16"/>
    </row>
    <row r="398" spans="1:4" ht="14.25" customHeight="1" x14ac:dyDescent="0.25">
      <c r="A398" s="16"/>
      <c r="B398" s="16"/>
      <c r="C398" s="16"/>
      <c r="D398" s="16"/>
    </row>
    <row r="399" spans="1:4" ht="14.25" customHeight="1" x14ac:dyDescent="0.25">
      <c r="A399" s="16"/>
      <c r="B399" s="16"/>
      <c r="C399" s="16"/>
      <c r="D399" s="16"/>
    </row>
    <row r="400" spans="1:4" ht="14.25" customHeight="1" x14ac:dyDescent="0.25">
      <c r="A400" s="16"/>
      <c r="B400" s="16"/>
      <c r="C400" s="16"/>
      <c r="D400" s="16"/>
    </row>
    <row r="401" spans="1:4" ht="14.25" customHeight="1" x14ac:dyDescent="0.25">
      <c r="A401" s="16"/>
      <c r="B401" s="16"/>
      <c r="C401" s="16"/>
      <c r="D401" s="16"/>
    </row>
    <row r="402" spans="1:4" ht="14.25" customHeight="1" x14ac:dyDescent="0.25">
      <c r="A402" s="16"/>
      <c r="B402" s="16"/>
      <c r="C402" s="16"/>
      <c r="D402" s="16"/>
    </row>
    <row r="403" spans="1:4" ht="14.25" customHeight="1" x14ac:dyDescent="0.25">
      <c r="A403" s="16"/>
      <c r="B403" s="16"/>
      <c r="C403" s="16"/>
      <c r="D403" s="16"/>
    </row>
    <row r="404" spans="1:4" ht="14.25" customHeight="1" x14ac:dyDescent="0.25">
      <c r="A404" s="16"/>
      <c r="B404" s="16"/>
      <c r="C404" s="16"/>
      <c r="D404" s="16"/>
    </row>
    <row r="405" spans="1:4" ht="14.25" customHeight="1" x14ac:dyDescent="0.25">
      <c r="A405" s="16"/>
      <c r="B405" s="16"/>
      <c r="C405" s="16"/>
      <c r="D405" s="16"/>
    </row>
    <row r="406" spans="1:4" ht="14.25" customHeight="1" x14ac:dyDescent="0.25">
      <c r="A406" s="16"/>
      <c r="B406" s="16"/>
      <c r="C406" s="16"/>
      <c r="D406" s="16"/>
    </row>
    <row r="407" spans="1:4" ht="14.25" customHeight="1" x14ac:dyDescent="0.25">
      <c r="A407" s="16"/>
      <c r="B407" s="16"/>
      <c r="C407" s="16"/>
      <c r="D407" s="16"/>
    </row>
    <row r="408" spans="1:4" ht="14.25" customHeight="1" x14ac:dyDescent="0.25">
      <c r="A408" s="16"/>
      <c r="B408" s="16"/>
      <c r="C408" s="16"/>
      <c r="D408" s="16"/>
    </row>
    <row r="409" spans="1:4" ht="14.25" customHeight="1" x14ac:dyDescent="0.25">
      <c r="A409" s="16"/>
      <c r="B409" s="16"/>
      <c r="C409" s="16"/>
      <c r="D409" s="16"/>
    </row>
    <row r="410" spans="1:4" ht="14.25" customHeight="1" x14ac:dyDescent="0.25">
      <c r="A410" s="16"/>
      <c r="B410" s="16"/>
      <c r="C410" s="16"/>
      <c r="D410" s="16"/>
    </row>
    <row r="411" spans="1:4" ht="14.25" customHeight="1" x14ac:dyDescent="0.25">
      <c r="A411" s="16"/>
      <c r="B411" s="16"/>
      <c r="C411" s="16"/>
      <c r="D411" s="16"/>
    </row>
    <row r="412" spans="1:4" ht="14.25" customHeight="1" x14ac:dyDescent="0.25">
      <c r="A412" s="16"/>
      <c r="B412" s="16"/>
      <c r="C412" s="16"/>
      <c r="D412" s="16"/>
    </row>
    <row r="413" spans="1:4" ht="14.25" customHeight="1" x14ac:dyDescent="0.25">
      <c r="A413" s="16"/>
      <c r="B413" s="16"/>
      <c r="C413" s="16"/>
      <c r="D413" s="16"/>
    </row>
    <row r="414" spans="1:4" ht="14.25" customHeight="1" x14ac:dyDescent="0.25">
      <c r="A414" s="16"/>
      <c r="B414" s="16"/>
      <c r="C414" s="16"/>
      <c r="D414" s="16"/>
    </row>
    <row r="415" spans="1:4" ht="14.25" customHeight="1" x14ac:dyDescent="0.25">
      <c r="A415" s="16"/>
      <c r="B415" s="16"/>
      <c r="C415" s="16"/>
      <c r="D415" s="16"/>
    </row>
    <row r="416" spans="1:4" ht="14.25" customHeight="1" x14ac:dyDescent="0.25">
      <c r="A416" s="16"/>
      <c r="B416" s="16"/>
      <c r="C416" s="16"/>
      <c r="D416" s="16"/>
    </row>
    <row r="417" spans="1:4" ht="14.25" customHeight="1" x14ac:dyDescent="0.25">
      <c r="A417" s="16"/>
      <c r="B417" s="16"/>
      <c r="C417" s="16"/>
      <c r="D417" s="16"/>
    </row>
    <row r="418" spans="1:4" ht="14.25" customHeight="1" x14ac:dyDescent="0.25">
      <c r="A418" s="16"/>
      <c r="B418" s="16"/>
      <c r="C418" s="16"/>
      <c r="D418" s="16"/>
    </row>
    <row r="419" spans="1:4" ht="14.25" customHeight="1" x14ac:dyDescent="0.25">
      <c r="A419" s="16"/>
      <c r="B419" s="16"/>
      <c r="C419" s="16"/>
      <c r="D419" s="16"/>
    </row>
    <row r="420" spans="1:4" ht="14.25" customHeight="1" x14ac:dyDescent="0.25">
      <c r="A420" s="16"/>
      <c r="B420" s="16"/>
      <c r="C420" s="16"/>
      <c r="D420" s="16"/>
    </row>
    <row r="421" spans="1:4" ht="14.25" customHeight="1" x14ac:dyDescent="0.25">
      <c r="A421" s="16"/>
      <c r="B421" s="16"/>
      <c r="C421" s="16"/>
      <c r="D421" s="16"/>
    </row>
    <row r="422" spans="1:4" ht="14.25" customHeight="1" x14ac:dyDescent="0.25">
      <c r="A422" s="16"/>
      <c r="B422" s="16"/>
      <c r="C422" s="16"/>
      <c r="D422" s="16"/>
    </row>
    <row r="423" spans="1:4" ht="14.25" customHeight="1" x14ac:dyDescent="0.25">
      <c r="A423" s="16"/>
      <c r="B423" s="16"/>
      <c r="C423" s="16"/>
      <c r="D423" s="16"/>
    </row>
    <row r="424" spans="1:4" ht="14.25" customHeight="1" x14ac:dyDescent="0.25">
      <c r="A424" s="16"/>
      <c r="B424" s="16"/>
      <c r="C424" s="16"/>
      <c r="D424" s="16"/>
    </row>
    <row r="425" spans="1:4" ht="14.25" customHeight="1" x14ac:dyDescent="0.25">
      <c r="A425" s="16"/>
      <c r="B425" s="16"/>
      <c r="C425" s="16"/>
      <c r="D425" s="16"/>
    </row>
    <row r="426" spans="1:4" ht="14.25" customHeight="1" x14ac:dyDescent="0.25">
      <c r="A426" s="16"/>
      <c r="B426" s="16"/>
      <c r="C426" s="16"/>
      <c r="D426" s="16"/>
    </row>
    <row r="427" spans="1:4" ht="14.25" customHeight="1" x14ac:dyDescent="0.25">
      <c r="A427" s="16"/>
      <c r="B427" s="16"/>
      <c r="C427" s="16"/>
      <c r="D427" s="16"/>
    </row>
    <row r="428" spans="1:4" ht="14.25" customHeight="1" x14ac:dyDescent="0.25">
      <c r="A428" s="16"/>
      <c r="B428" s="16"/>
      <c r="C428" s="16"/>
      <c r="D428" s="16"/>
    </row>
    <row r="429" spans="1:4" ht="14.25" customHeight="1" x14ac:dyDescent="0.25">
      <c r="A429" s="16"/>
      <c r="B429" s="16"/>
      <c r="C429" s="16"/>
      <c r="D429" s="16"/>
    </row>
    <row r="430" spans="1:4" ht="14.25" customHeight="1" x14ac:dyDescent="0.25">
      <c r="A430" s="16"/>
      <c r="B430" s="16"/>
      <c r="C430" s="16"/>
      <c r="D430" s="16"/>
    </row>
    <row r="431" spans="1:4" ht="14.25" customHeight="1" x14ac:dyDescent="0.25">
      <c r="A431" s="16"/>
      <c r="B431" s="16"/>
      <c r="C431" s="16"/>
      <c r="D431" s="16"/>
    </row>
    <row r="432" spans="1:4" ht="14.25" customHeight="1" x14ac:dyDescent="0.25">
      <c r="A432" s="16"/>
      <c r="B432" s="16"/>
      <c r="C432" s="16"/>
      <c r="D432" s="16"/>
    </row>
    <row r="433" spans="1:4" ht="14.25" customHeight="1" x14ac:dyDescent="0.25">
      <c r="A433" s="16"/>
      <c r="B433" s="16"/>
      <c r="C433" s="16"/>
      <c r="D433" s="16"/>
    </row>
    <row r="434" spans="1:4" ht="14.25" customHeight="1" x14ac:dyDescent="0.25">
      <c r="A434" s="16"/>
      <c r="B434" s="16"/>
      <c r="C434" s="16"/>
      <c r="D434" s="16"/>
    </row>
    <row r="435" spans="1:4" ht="14.25" customHeight="1" x14ac:dyDescent="0.25">
      <c r="A435" s="16"/>
      <c r="B435" s="16"/>
      <c r="C435" s="16"/>
      <c r="D435" s="16"/>
    </row>
    <row r="436" spans="1:4" ht="14.25" customHeight="1" x14ac:dyDescent="0.25">
      <c r="A436" s="16"/>
      <c r="B436" s="16"/>
      <c r="C436" s="16"/>
      <c r="D436" s="16"/>
    </row>
    <row r="437" spans="1:4" ht="14.25" customHeight="1" x14ac:dyDescent="0.25">
      <c r="A437" s="16"/>
      <c r="B437" s="16"/>
      <c r="C437" s="16"/>
      <c r="D437" s="16"/>
    </row>
    <row r="438" spans="1:4" ht="14.25" customHeight="1" x14ac:dyDescent="0.25">
      <c r="A438" s="16"/>
      <c r="B438" s="16"/>
      <c r="C438" s="16"/>
      <c r="D438" s="16"/>
    </row>
    <row r="439" spans="1:4" ht="14.25" customHeight="1" x14ac:dyDescent="0.25">
      <c r="A439" s="16"/>
      <c r="B439" s="16"/>
      <c r="C439" s="16"/>
      <c r="D439" s="16"/>
    </row>
    <row r="440" spans="1:4" ht="14.25" customHeight="1" x14ac:dyDescent="0.25">
      <c r="A440" s="16"/>
      <c r="B440" s="16"/>
      <c r="C440" s="16"/>
      <c r="D440" s="16"/>
    </row>
    <row r="441" spans="1:4" ht="14.25" customHeight="1" x14ac:dyDescent="0.25">
      <c r="A441" s="16"/>
      <c r="B441" s="16"/>
      <c r="C441" s="16"/>
      <c r="D441" s="16"/>
    </row>
    <row r="442" spans="1:4" ht="14.25" customHeight="1" x14ac:dyDescent="0.25">
      <c r="A442" s="16"/>
      <c r="B442" s="16"/>
      <c r="C442" s="16"/>
      <c r="D442" s="16"/>
    </row>
    <row r="443" spans="1:4" ht="14.25" customHeight="1" x14ac:dyDescent="0.25">
      <c r="A443" s="16"/>
      <c r="B443" s="16"/>
      <c r="C443" s="16"/>
      <c r="D443" s="16"/>
    </row>
    <row r="444" spans="1:4" ht="14.25" customHeight="1" x14ac:dyDescent="0.25">
      <c r="A444" s="16"/>
      <c r="B444" s="16"/>
      <c r="C444" s="16"/>
      <c r="D444" s="16"/>
    </row>
    <row r="445" spans="1:4" ht="14.25" customHeight="1" x14ac:dyDescent="0.25">
      <c r="A445" s="16"/>
      <c r="B445" s="16"/>
      <c r="C445" s="16"/>
      <c r="D445" s="16"/>
    </row>
    <row r="446" spans="1:4" ht="14.25" customHeight="1" x14ac:dyDescent="0.25">
      <c r="A446" s="16"/>
      <c r="B446" s="16"/>
      <c r="C446" s="16"/>
      <c r="D446" s="16"/>
    </row>
    <row r="447" spans="1:4" ht="14.25" customHeight="1" x14ac:dyDescent="0.25">
      <c r="A447" s="16"/>
      <c r="B447" s="16"/>
      <c r="C447" s="16"/>
      <c r="D447" s="16"/>
    </row>
    <row r="448" spans="1:4" ht="14.25" customHeight="1" x14ac:dyDescent="0.25">
      <c r="A448" s="16"/>
      <c r="B448" s="16"/>
      <c r="C448" s="16"/>
      <c r="D448" s="16"/>
    </row>
    <row r="449" spans="1:4" ht="14.25" customHeight="1" x14ac:dyDescent="0.25">
      <c r="A449" s="16"/>
      <c r="B449" s="16"/>
      <c r="C449" s="16"/>
      <c r="D449" s="16"/>
    </row>
    <row r="450" spans="1:4" ht="14.25" customHeight="1" x14ac:dyDescent="0.25">
      <c r="A450" s="16"/>
      <c r="B450" s="16"/>
      <c r="C450" s="16"/>
      <c r="D450" s="16"/>
    </row>
    <row r="451" spans="1:4" ht="14.25" customHeight="1" x14ac:dyDescent="0.25">
      <c r="A451" s="16"/>
      <c r="B451" s="16"/>
      <c r="C451" s="16"/>
      <c r="D451" s="16"/>
    </row>
    <row r="452" spans="1:4" ht="14.25" customHeight="1" x14ac:dyDescent="0.25">
      <c r="A452" s="16"/>
      <c r="B452" s="16"/>
      <c r="C452" s="16"/>
      <c r="D452" s="16"/>
    </row>
    <row r="453" spans="1:4" ht="14.25" customHeight="1" x14ac:dyDescent="0.25">
      <c r="A453" s="16"/>
      <c r="B453" s="16"/>
      <c r="C453" s="16"/>
      <c r="D453" s="16"/>
    </row>
    <row r="454" spans="1:4" ht="14.25" customHeight="1" x14ac:dyDescent="0.25">
      <c r="A454" s="16"/>
      <c r="B454" s="16"/>
      <c r="C454" s="16"/>
      <c r="D454" s="16"/>
    </row>
    <row r="455" spans="1:4" ht="14.25" customHeight="1" x14ac:dyDescent="0.25">
      <c r="A455" s="16"/>
      <c r="B455" s="16"/>
      <c r="C455" s="16"/>
      <c r="D455" s="16"/>
    </row>
    <row r="456" spans="1:4" ht="14.25" customHeight="1" x14ac:dyDescent="0.25">
      <c r="A456" s="16"/>
      <c r="B456" s="16"/>
      <c r="C456" s="16"/>
      <c r="D456" s="16"/>
    </row>
    <row r="457" spans="1:4" ht="14.25" customHeight="1" x14ac:dyDescent="0.25">
      <c r="A457" s="16"/>
      <c r="B457" s="16"/>
      <c r="C457" s="16"/>
      <c r="D457" s="16"/>
    </row>
    <row r="458" spans="1:4" ht="14.25" customHeight="1" x14ac:dyDescent="0.25">
      <c r="A458" s="16"/>
      <c r="B458" s="16"/>
      <c r="C458" s="16"/>
      <c r="D458" s="16"/>
    </row>
    <row r="459" spans="1:4" ht="14.25" customHeight="1" x14ac:dyDescent="0.25">
      <c r="A459" s="16"/>
      <c r="B459" s="16"/>
      <c r="C459" s="16"/>
      <c r="D459" s="16"/>
    </row>
    <row r="460" spans="1:4" ht="14.25" customHeight="1" x14ac:dyDescent="0.25">
      <c r="A460" s="16"/>
      <c r="B460" s="16"/>
      <c r="C460" s="16"/>
      <c r="D460" s="16"/>
    </row>
    <row r="461" spans="1:4" ht="14.25" customHeight="1" x14ac:dyDescent="0.25">
      <c r="A461" s="16"/>
      <c r="B461" s="16"/>
      <c r="C461" s="16"/>
      <c r="D461" s="16"/>
    </row>
    <row r="462" spans="1:4" ht="14.25" customHeight="1" x14ac:dyDescent="0.25">
      <c r="A462" s="16"/>
      <c r="B462" s="16"/>
      <c r="C462" s="16"/>
      <c r="D462" s="16"/>
    </row>
    <row r="463" spans="1:4" ht="14.25" customHeight="1" x14ac:dyDescent="0.25">
      <c r="A463" s="16"/>
      <c r="B463" s="16"/>
      <c r="C463" s="16"/>
      <c r="D463" s="16"/>
    </row>
    <row r="464" spans="1:4" ht="14.25" customHeight="1" x14ac:dyDescent="0.25">
      <c r="A464" s="16"/>
      <c r="B464" s="16"/>
      <c r="C464" s="16"/>
      <c r="D464" s="16"/>
    </row>
    <row r="465" spans="1:4" ht="14.25" customHeight="1" x14ac:dyDescent="0.25">
      <c r="A465" s="16"/>
      <c r="B465" s="16"/>
      <c r="C465" s="16"/>
      <c r="D465" s="16"/>
    </row>
    <row r="466" spans="1:4" ht="14.25" customHeight="1" x14ac:dyDescent="0.25">
      <c r="A466" s="16"/>
      <c r="B466" s="16"/>
      <c r="C466" s="16"/>
      <c r="D466" s="16"/>
    </row>
    <row r="467" spans="1:4" ht="14.25" customHeight="1" x14ac:dyDescent="0.25">
      <c r="A467" s="16"/>
      <c r="B467" s="16"/>
      <c r="C467" s="16"/>
      <c r="D467" s="16"/>
    </row>
    <row r="468" spans="1:4" ht="14.25" customHeight="1" x14ac:dyDescent="0.25">
      <c r="A468" s="16"/>
      <c r="B468" s="16"/>
      <c r="C468" s="16"/>
      <c r="D468" s="16"/>
    </row>
    <row r="469" spans="1:4" ht="14.25" customHeight="1" x14ac:dyDescent="0.25">
      <c r="A469" s="16"/>
      <c r="B469" s="16"/>
      <c r="C469" s="16"/>
      <c r="D469" s="16"/>
    </row>
    <row r="470" spans="1:4" ht="14.25" customHeight="1" x14ac:dyDescent="0.25">
      <c r="A470" s="16"/>
      <c r="B470" s="16"/>
      <c r="C470" s="16"/>
      <c r="D470" s="16"/>
    </row>
    <row r="471" spans="1:4" ht="14.25" customHeight="1" x14ac:dyDescent="0.25">
      <c r="A471" s="16"/>
      <c r="B471" s="16"/>
      <c r="C471" s="16"/>
      <c r="D471" s="16"/>
    </row>
    <row r="472" spans="1:4" ht="14.25" customHeight="1" x14ac:dyDescent="0.25">
      <c r="A472" s="16"/>
      <c r="B472" s="16"/>
      <c r="C472" s="16"/>
      <c r="D472" s="16"/>
    </row>
    <row r="473" spans="1:4" ht="14.25" customHeight="1" x14ac:dyDescent="0.25">
      <c r="A473" s="16"/>
      <c r="B473" s="16"/>
      <c r="C473" s="16"/>
      <c r="D473" s="16"/>
    </row>
    <row r="474" spans="1:4" ht="14.25" customHeight="1" x14ac:dyDescent="0.25">
      <c r="A474" s="16"/>
      <c r="B474" s="16"/>
      <c r="C474" s="16"/>
      <c r="D474" s="16"/>
    </row>
    <row r="475" spans="1:4" ht="14.25" customHeight="1" x14ac:dyDescent="0.25">
      <c r="A475" s="16"/>
      <c r="B475" s="16"/>
      <c r="C475" s="16"/>
      <c r="D475" s="16"/>
    </row>
    <row r="476" spans="1:4" ht="14.25" customHeight="1" x14ac:dyDescent="0.25">
      <c r="A476" s="16"/>
      <c r="B476" s="16"/>
      <c r="C476" s="16"/>
      <c r="D476" s="16"/>
    </row>
    <row r="477" spans="1:4" ht="14.25" customHeight="1" x14ac:dyDescent="0.25">
      <c r="A477" s="16"/>
      <c r="B477" s="16"/>
      <c r="C477" s="16"/>
      <c r="D477" s="16"/>
    </row>
    <row r="478" spans="1:4" ht="14.25" customHeight="1" x14ac:dyDescent="0.25">
      <c r="A478" s="16"/>
      <c r="B478" s="16"/>
      <c r="C478" s="16"/>
      <c r="D478" s="16"/>
    </row>
    <row r="479" spans="1:4" ht="14.25" customHeight="1" x14ac:dyDescent="0.25">
      <c r="A479" s="16"/>
      <c r="B479" s="16"/>
      <c r="C479" s="16"/>
      <c r="D479" s="16"/>
    </row>
    <row r="480" spans="1:4" ht="14.25" customHeight="1" x14ac:dyDescent="0.25">
      <c r="A480" s="16"/>
      <c r="B480" s="16"/>
      <c r="C480" s="16"/>
      <c r="D480" s="16"/>
    </row>
    <row r="481" spans="1:4" ht="14.25" customHeight="1" x14ac:dyDescent="0.25">
      <c r="A481" s="16"/>
      <c r="B481" s="16"/>
      <c r="C481" s="16"/>
      <c r="D481" s="16"/>
    </row>
    <row r="482" spans="1:4" ht="14.25" customHeight="1" x14ac:dyDescent="0.25">
      <c r="A482" s="16"/>
      <c r="B482" s="16"/>
      <c r="C482" s="16"/>
      <c r="D482" s="16"/>
    </row>
    <row r="483" spans="1:4" ht="14.25" customHeight="1" x14ac:dyDescent="0.25">
      <c r="A483" s="16"/>
      <c r="B483" s="16"/>
      <c r="C483" s="16"/>
      <c r="D483" s="16"/>
    </row>
    <row r="484" spans="1:4" ht="14.25" customHeight="1" x14ac:dyDescent="0.25">
      <c r="A484" s="16"/>
      <c r="B484" s="16"/>
      <c r="C484" s="16"/>
      <c r="D484" s="16"/>
    </row>
    <row r="485" spans="1:4" ht="14.25" customHeight="1" x14ac:dyDescent="0.25">
      <c r="A485" s="16"/>
      <c r="B485" s="16"/>
      <c r="C485" s="16"/>
      <c r="D485" s="16"/>
    </row>
    <row r="486" spans="1:4" ht="14.25" customHeight="1" x14ac:dyDescent="0.25">
      <c r="A486" s="16"/>
      <c r="B486" s="16"/>
      <c r="C486" s="16"/>
      <c r="D486" s="16"/>
    </row>
    <row r="487" spans="1:4" ht="14.25" customHeight="1" x14ac:dyDescent="0.25">
      <c r="A487" s="16"/>
      <c r="B487" s="16"/>
      <c r="C487" s="16"/>
      <c r="D487" s="16"/>
    </row>
    <row r="488" spans="1:4" ht="14.25" customHeight="1" x14ac:dyDescent="0.25">
      <c r="A488" s="16"/>
      <c r="B488" s="16"/>
      <c r="C488" s="16"/>
      <c r="D488" s="16"/>
    </row>
    <row r="489" spans="1:4" ht="14.25" customHeight="1" x14ac:dyDescent="0.25">
      <c r="A489" s="16"/>
      <c r="B489" s="16"/>
      <c r="C489" s="16"/>
      <c r="D489" s="16"/>
    </row>
    <row r="490" spans="1:4" ht="14.25" customHeight="1" x14ac:dyDescent="0.25">
      <c r="A490" s="16"/>
      <c r="B490" s="16"/>
      <c r="C490" s="16"/>
      <c r="D490" s="16"/>
    </row>
    <row r="491" spans="1:4" ht="14.25" customHeight="1" x14ac:dyDescent="0.25">
      <c r="A491" s="16"/>
      <c r="B491" s="16"/>
      <c r="C491" s="16"/>
      <c r="D491" s="16"/>
    </row>
    <row r="492" spans="1:4" ht="14.25" customHeight="1" x14ac:dyDescent="0.25">
      <c r="A492" s="16"/>
      <c r="B492" s="16"/>
      <c r="C492" s="16"/>
      <c r="D492" s="16"/>
    </row>
    <row r="493" spans="1:4" ht="14.25" customHeight="1" x14ac:dyDescent="0.25">
      <c r="A493" s="16"/>
      <c r="B493" s="16"/>
      <c r="C493" s="16"/>
      <c r="D493" s="16"/>
    </row>
    <row r="494" spans="1:4" ht="14.25" customHeight="1" x14ac:dyDescent="0.25">
      <c r="A494" s="16"/>
      <c r="B494" s="16"/>
      <c r="C494" s="16"/>
      <c r="D494" s="16"/>
    </row>
    <row r="495" spans="1:4" ht="14.25" customHeight="1" x14ac:dyDescent="0.25">
      <c r="A495" s="16"/>
      <c r="B495" s="16"/>
      <c r="C495" s="16"/>
      <c r="D495" s="16"/>
    </row>
    <row r="496" spans="1:4" ht="14.25" customHeight="1" x14ac:dyDescent="0.25">
      <c r="A496" s="16"/>
      <c r="B496" s="16"/>
      <c r="C496" s="16"/>
      <c r="D496" s="16"/>
    </row>
    <row r="497" spans="1:4" ht="14.25" customHeight="1" x14ac:dyDescent="0.25">
      <c r="A497" s="16"/>
      <c r="B497" s="16"/>
      <c r="C497" s="16"/>
      <c r="D497" s="16"/>
    </row>
    <row r="498" spans="1:4" ht="14.25" customHeight="1" x14ac:dyDescent="0.25">
      <c r="A498" s="16"/>
      <c r="B498" s="16"/>
      <c r="C498" s="16"/>
      <c r="D498" s="16"/>
    </row>
    <row r="499" spans="1:4" ht="14.25" customHeight="1" x14ac:dyDescent="0.25">
      <c r="A499" s="16"/>
      <c r="B499" s="16"/>
      <c r="C499" s="16"/>
      <c r="D499" s="16"/>
    </row>
    <row r="500" spans="1:4" ht="14.25" customHeight="1" x14ac:dyDescent="0.25">
      <c r="A500" s="16"/>
      <c r="B500" s="16"/>
      <c r="C500" s="16"/>
      <c r="D500" s="16"/>
    </row>
    <row r="501" spans="1:4" ht="14.25" customHeight="1" x14ac:dyDescent="0.25">
      <c r="A501" s="16"/>
      <c r="B501" s="16"/>
      <c r="C501" s="16"/>
      <c r="D501" s="16"/>
    </row>
    <row r="502" spans="1:4" ht="14.25" customHeight="1" x14ac:dyDescent="0.25">
      <c r="A502" s="16"/>
      <c r="B502" s="16"/>
      <c r="C502" s="16"/>
      <c r="D502" s="16"/>
    </row>
    <row r="503" spans="1:4" ht="14.25" customHeight="1" x14ac:dyDescent="0.25">
      <c r="A503" s="16"/>
      <c r="B503" s="16"/>
      <c r="C503" s="16"/>
      <c r="D503" s="16"/>
    </row>
    <row r="504" spans="1:4" ht="14.25" customHeight="1" x14ac:dyDescent="0.25">
      <c r="A504" s="16"/>
      <c r="B504" s="16"/>
      <c r="C504" s="16"/>
      <c r="D504" s="16"/>
    </row>
    <row r="505" spans="1:4" ht="14.25" customHeight="1" x14ac:dyDescent="0.25">
      <c r="A505" s="16"/>
      <c r="B505" s="16"/>
      <c r="C505" s="16"/>
      <c r="D505" s="16"/>
    </row>
    <row r="506" spans="1:4" ht="14.25" customHeight="1" x14ac:dyDescent="0.25">
      <c r="A506" s="16"/>
      <c r="B506" s="16"/>
      <c r="C506" s="16"/>
      <c r="D506" s="16"/>
    </row>
    <row r="507" spans="1:4" ht="14.25" customHeight="1" x14ac:dyDescent="0.25">
      <c r="A507" s="16"/>
      <c r="B507" s="16"/>
      <c r="C507" s="16"/>
      <c r="D507" s="16"/>
    </row>
    <row r="508" spans="1:4" ht="14.25" customHeight="1" x14ac:dyDescent="0.25">
      <c r="A508" s="16"/>
      <c r="B508" s="16"/>
      <c r="C508" s="16"/>
      <c r="D508" s="16"/>
    </row>
    <row r="509" spans="1:4" ht="14.25" customHeight="1" x14ac:dyDescent="0.25">
      <c r="A509" s="16"/>
      <c r="B509" s="16"/>
      <c r="C509" s="16"/>
      <c r="D509" s="16"/>
    </row>
    <row r="510" spans="1:4" ht="14.25" customHeight="1" x14ac:dyDescent="0.25">
      <c r="A510" s="16"/>
      <c r="B510" s="16"/>
      <c r="C510" s="16"/>
      <c r="D510" s="16"/>
    </row>
    <row r="511" spans="1:4" ht="14.25" customHeight="1" x14ac:dyDescent="0.25">
      <c r="A511" s="16"/>
      <c r="B511" s="16"/>
      <c r="C511" s="16"/>
      <c r="D511" s="16"/>
    </row>
    <row r="512" spans="1:4" ht="14.25" customHeight="1" x14ac:dyDescent="0.25">
      <c r="A512" s="16"/>
      <c r="B512" s="16"/>
      <c r="C512" s="16"/>
      <c r="D512" s="16"/>
    </row>
    <row r="513" spans="1:4" ht="14.25" customHeight="1" x14ac:dyDescent="0.25">
      <c r="A513" s="16"/>
      <c r="B513" s="16"/>
      <c r="C513" s="16"/>
      <c r="D513" s="16"/>
    </row>
    <row r="514" spans="1:4" ht="14.25" customHeight="1" x14ac:dyDescent="0.25">
      <c r="A514" s="16"/>
      <c r="B514" s="16"/>
      <c r="C514" s="16"/>
      <c r="D514" s="16"/>
    </row>
    <row r="515" spans="1:4" ht="14.25" customHeight="1" x14ac:dyDescent="0.25">
      <c r="A515" s="16"/>
      <c r="B515" s="16"/>
      <c r="C515" s="16"/>
      <c r="D515" s="16"/>
    </row>
    <row r="516" spans="1:4" ht="14.25" customHeight="1" x14ac:dyDescent="0.25">
      <c r="A516" s="16"/>
      <c r="B516" s="16"/>
      <c r="C516" s="16"/>
      <c r="D516" s="16"/>
    </row>
    <row r="517" spans="1:4" ht="14.25" customHeight="1" x14ac:dyDescent="0.25">
      <c r="A517" s="16"/>
      <c r="B517" s="16"/>
      <c r="C517" s="16"/>
      <c r="D517" s="16"/>
    </row>
    <row r="518" spans="1:4" ht="14.25" customHeight="1" x14ac:dyDescent="0.25">
      <c r="A518" s="16"/>
      <c r="B518" s="16"/>
      <c r="C518" s="16"/>
      <c r="D518" s="16"/>
    </row>
    <row r="519" spans="1:4" ht="14.25" customHeight="1" x14ac:dyDescent="0.25">
      <c r="A519" s="16"/>
      <c r="B519" s="16"/>
      <c r="C519" s="16"/>
      <c r="D519" s="16"/>
    </row>
    <row r="520" spans="1:4" ht="14.25" customHeight="1" x14ac:dyDescent="0.25">
      <c r="A520" s="16"/>
      <c r="B520" s="16"/>
      <c r="C520" s="16"/>
      <c r="D520" s="16"/>
    </row>
    <row r="521" spans="1:4" ht="14.25" customHeight="1" x14ac:dyDescent="0.25">
      <c r="A521" s="16"/>
      <c r="B521" s="16"/>
      <c r="C521" s="16"/>
      <c r="D521" s="16"/>
    </row>
    <row r="522" spans="1:4" ht="14.25" customHeight="1" x14ac:dyDescent="0.25">
      <c r="A522" s="16"/>
      <c r="B522" s="16"/>
      <c r="C522" s="16"/>
      <c r="D522" s="16"/>
    </row>
    <row r="523" spans="1:4" ht="14.25" customHeight="1" x14ac:dyDescent="0.25">
      <c r="A523" s="16"/>
      <c r="B523" s="16"/>
      <c r="C523" s="16"/>
      <c r="D523" s="16"/>
    </row>
    <row r="524" spans="1:4" ht="14.25" customHeight="1" x14ac:dyDescent="0.25">
      <c r="A524" s="16"/>
      <c r="B524" s="16"/>
      <c r="C524" s="16"/>
      <c r="D524" s="16"/>
    </row>
    <row r="525" spans="1:4" ht="14.25" customHeight="1" x14ac:dyDescent="0.25">
      <c r="A525" s="16"/>
      <c r="B525" s="16"/>
      <c r="C525" s="16"/>
      <c r="D525" s="16"/>
    </row>
    <row r="526" spans="1:4" ht="14.25" customHeight="1" x14ac:dyDescent="0.25">
      <c r="A526" s="16"/>
      <c r="B526" s="16"/>
      <c r="C526" s="16"/>
      <c r="D526" s="16"/>
    </row>
    <row r="527" spans="1:4" ht="14.25" customHeight="1" x14ac:dyDescent="0.25">
      <c r="A527" s="16"/>
      <c r="B527" s="16"/>
      <c r="C527" s="16"/>
      <c r="D527" s="16"/>
    </row>
    <row r="528" spans="1:4" ht="14.25" customHeight="1" x14ac:dyDescent="0.25">
      <c r="A528" s="16"/>
      <c r="B528" s="16"/>
      <c r="C528" s="16"/>
      <c r="D528" s="16"/>
    </row>
    <row r="529" spans="1:4" ht="14.25" customHeight="1" x14ac:dyDescent="0.25">
      <c r="A529" s="16"/>
      <c r="B529" s="16"/>
      <c r="C529" s="16"/>
      <c r="D529" s="16"/>
    </row>
    <row r="530" spans="1:4" ht="14.25" customHeight="1" x14ac:dyDescent="0.25">
      <c r="A530" s="16"/>
      <c r="B530" s="16"/>
      <c r="C530" s="16"/>
      <c r="D530" s="16"/>
    </row>
    <row r="531" spans="1:4" ht="14.25" customHeight="1" x14ac:dyDescent="0.25">
      <c r="A531" s="16"/>
      <c r="B531" s="16"/>
      <c r="C531" s="16"/>
      <c r="D531" s="16"/>
    </row>
    <row r="532" spans="1:4" ht="14.25" customHeight="1" x14ac:dyDescent="0.25">
      <c r="A532" s="16"/>
      <c r="B532" s="16"/>
      <c r="C532" s="16"/>
      <c r="D532" s="16"/>
    </row>
    <row r="533" spans="1:4" ht="14.25" customHeight="1" x14ac:dyDescent="0.25">
      <c r="A533" s="16"/>
      <c r="B533" s="16"/>
      <c r="C533" s="16"/>
      <c r="D533" s="16"/>
    </row>
    <row r="534" spans="1:4" ht="14.25" customHeight="1" x14ac:dyDescent="0.25">
      <c r="A534" s="16"/>
      <c r="B534" s="16"/>
      <c r="C534" s="16"/>
      <c r="D534" s="16"/>
    </row>
    <row r="535" spans="1:4" ht="14.25" customHeight="1" x14ac:dyDescent="0.25">
      <c r="A535" s="16"/>
      <c r="B535" s="16"/>
      <c r="C535" s="16"/>
      <c r="D535" s="16"/>
    </row>
    <row r="536" spans="1:4" ht="14.25" customHeight="1" x14ac:dyDescent="0.25">
      <c r="A536" s="16"/>
      <c r="B536" s="16"/>
      <c r="C536" s="16"/>
      <c r="D536" s="16"/>
    </row>
    <row r="537" spans="1:4" ht="14.25" customHeight="1" x14ac:dyDescent="0.25">
      <c r="A537" s="16"/>
      <c r="B537" s="16"/>
      <c r="C537" s="16"/>
      <c r="D537" s="16"/>
    </row>
    <row r="538" spans="1:4" ht="14.25" customHeight="1" x14ac:dyDescent="0.25">
      <c r="A538" s="16"/>
      <c r="B538" s="16"/>
      <c r="C538" s="16"/>
      <c r="D538" s="16"/>
    </row>
    <row r="539" spans="1:4" ht="14.25" customHeight="1" x14ac:dyDescent="0.25">
      <c r="A539" s="16"/>
      <c r="B539" s="16"/>
      <c r="C539" s="16"/>
      <c r="D539" s="16"/>
    </row>
    <row r="540" spans="1:4" ht="14.25" customHeight="1" x14ac:dyDescent="0.25">
      <c r="A540" s="16"/>
      <c r="B540" s="16"/>
      <c r="C540" s="16"/>
      <c r="D540" s="16"/>
    </row>
    <row r="541" spans="1:4" ht="14.25" customHeight="1" x14ac:dyDescent="0.25">
      <c r="A541" s="16"/>
      <c r="B541" s="16"/>
      <c r="C541" s="16"/>
      <c r="D541" s="16"/>
    </row>
    <row r="542" spans="1:4" ht="14.25" customHeight="1" x14ac:dyDescent="0.25">
      <c r="A542" s="16"/>
      <c r="B542" s="16"/>
      <c r="C542" s="16"/>
      <c r="D542" s="16"/>
    </row>
    <row r="543" spans="1:4" ht="14.25" customHeight="1" x14ac:dyDescent="0.25">
      <c r="A543" s="16"/>
      <c r="B543" s="16"/>
      <c r="C543" s="16"/>
      <c r="D543" s="16"/>
    </row>
    <row r="544" spans="1:4" ht="14.25" customHeight="1" x14ac:dyDescent="0.25">
      <c r="A544" s="16"/>
      <c r="B544" s="16"/>
      <c r="C544" s="16"/>
      <c r="D544" s="16"/>
    </row>
    <row r="545" spans="1:4" ht="14.25" customHeight="1" x14ac:dyDescent="0.25">
      <c r="A545" s="16"/>
      <c r="B545" s="16"/>
      <c r="C545" s="16"/>
      <c r="D545" s="16"/>
    </row>
    <row r="546" spans="1:4" ht="14.25" customHeight="1" x14ac:dyDescent="0.25">
      <c r="A546" s="16"/>
      <c r="B546" s="16"/>
      <c r="C546" s="16"/>
      <c r="D546" s="16"/>
    </row>
    <row r="547" spans="1:4" ht="14.25" customHeight="1" x14ac:dyDescent="0.25">
      <c r="A547" s="16"/>
      <c r="B547" s="16"/>
      <c r="C547" s="16"/>
      <c r="D547" s="16"/>
    </row>
    <row r="548" spans="1:4" ht="14.25" customHeight="1" x14ac:dyDescent="0.25">
      <c r="A548" s="16"/>
      <c r="B548" s="16"/>
      <c r="C548" s="16"/>
      <c r="D548" s="16"/>
    </row>
    <row r="549" spans="1:4" ht="14.25" customHeight="1" x14ac:dyDescent="0.25">
      <c r="A549" s="16"/>
      <c r="B549" s="16"/>
      <c r="C549" s="16"/>
      <c r="D549" s="16"/>
    </row>
    <row r="550" spans="1:4" ht="14.25" customHeight="1" x14ac:dyDescent="0.25">
      <c r="A550" s="16"/>
      <c r="B550" s="16"/>
      <c r="C550" s="16"/>
      <c r="D550" s="16"/>
    </row>
    <row r="551" spans="1:4" ht="14.25" customHeight="1" x14ac:dyDescent="0.25">
      <c r="A551" s="16"/>
      <c r="B551" s="16"/>
      <c r="C551" s="16"/>
      <c r="D551" s="16"/>
    </row>
    <row r="552" spans="1:4" ht="14.25" customHeight="1" x14ac:dyDescent="0.25">
      <c r="A552" s="16"/>
      <c r="B552" s="16"/>
      <c r="C552" s="16"/>
      <c r="D552" s="16"/>
    </row>
    <row r="553" spans="1:4" ht="14.25" customHeight="1" x14ac:dyDescent="0.25">
      <c r="A553" s="16"/>
      <c r="B553" s="16"/>
      <c r="C553" s="16"/>
      <c r="D553" s="16"/>
    </row>
    <row r="554" spans="1:4" ht="14.25" customHeight="1" x14ac:dyDescent="0.25">
      <c r="A554" s="16"/>
      <c r="B554" s="16"/>
      <c r="C554" s="16"/>
      <c r="D554" s="16"/>
    </row>
    <row r="555" spans="1:4" ht="14.25" customHeight="1" x14ac:dyDescent="0.25">
      <c r="A555" s="16"/>
      <c r="B555" s="16"/>
      <c r="C555" s="16"/>
      <c r="D555" s="16"/>
    </row>
    <row r="556" spans="1:4" ht="14.25" customHeight="1" x14ac:dyDescent="0.25">
      <c r="A556" s="16"/>
      <c r="B556" s="16"/>
      <c r="C556" s="16"/>
      <c r="D556" s="16"/>
    </row>
    <row r="557" spans="1:4" ht="14.25" customHeight="1" x14ac:dyDescent="0.25">
      <c r="A557" s="16"/>
      <c r="B557" s="16"/>
      <c r="C557" s="16"/>
      <c r="D557" s="16"/>
    </row>
    <row r="558" spans="1:4" ht="14.25" customHeight="1" x14ac:dyDescent="0.25">
      <c r="A558" s="16"/>
      <c r="B558" s="16"/>
      <c r="C558" s="16"/>
      <c r="D558" s="16"/>
    </row>
    <row r="559" spans="1:4" ht="14.25" customHeight="1" x14ac:dyDescent="0.25">
      <c r="A559" s="16"/>
      <c r="B559" s="16"/>
      <c r="C559" s="16"/>
      <c r="D559" s="16"/>
    </row>
    <row r="560" spans="1:4" ht="14.25" customHeight="1" x14ac:dyDescent="0.25">
      <c r="A560" s="16"/>
      <c r="B560" s="16"/>
      <c r="C560" s="16"/>
      <c r="D560" s="16"/>
    </row>
    <row r="561" spans="1:4" ht="14.25" customHeight="1" x14ac:dyDescent="0.25">
      <c r="A561" s="16"/>
      <c r="B561" s="16"/>
      <c r="C561" s="16"/>
      <c r="D561" s="16"/>
    </row>
    <row r="562" spans="1:4" ht="14.25" customHeight="1" x14ac:dyDescent="0.25">
      <c r="A562" s="16"/>
      <c r="B562" s="16"/>
      <c r="C562" s="16"/>
      <c r="D562" s="16"/>
    </row>
    <row r="563" spans="1:4" ht="14.25" customHeight="1" x14ac:dyDescent="0.25">
      <c r="A563" s="16"/>
      <c r="B563" s="16"/>
      <c r="C563" s="16"/>
      <c r="D563" s="16"/>
    </row>
    <row r="564" spans="1:4" ht="14.25" customHeight="1" x14ac:dyDescent="0.25">
      <c r="A564" s="16"/>
      <c r="B564" s="16"/>
      <c r="C564" s="16"/>
      <c r="D564" s="16"/>
    </row>
    <row r="565" spans="1:4" ht="14.25" customHeight="1" x14ac:dyDescent="0.25">
      <c r="A565" s="16"/>
      <c r="B565" s="16"/>
      <c r="C565" s="16"/>
      <c r="D565" s="16"/>
    </row>
    <row r="566" spans="1:4" ht="14.25" customHeight="1" x14ac:dyDescent="0.25">
      <c r="A566" s="16"/>
      <c r="B566" s="16"/>
      <c r="C566" s="16"/>
      <c r="D566" s="16"/>
    </row>
    <row r="567" spans="1:4" ht="14.25" customHeight="1" x14ac:dyDescent="0.25">
      <c r="A567" s="16"/>
      <c r="B567" s="16"/>
      <c r="C567" s="16"/>
      <c r="D567" s="16"/>
    </row>
    <row r="568" spans="1:4" ht="14.25" customHeight="1" x14ac:dyDescent="0.25">
      <c r="A568" s="16"/>
      <c r="B568" s="16"/>
      <c r="C568" s="16"/>
      <c r="D568" s="16"/>
    </row>
    <row r="569" spans="1:4" ht="14.25" customHeight="1" x14ac:dyDescent="0.25">
      <c r="A569" s="16"/>
      <c r="B569" s="16"/>
      <c r="C569" s="16"/>
      <c r="D569" s="16"/>
    </row>
    <row r="570" spans="1:4" ht="14.25" customHeight="1" x14ac:dyDescent="0.25">
      <c r="A570" s="16"/>
      <c r="B570" s="16"/>
      <c r="C570" s="16"/>
      <c r="D570" s="16"/>
    </row>
    <row r="571" spans="1:4" ht="14.25" customHeight="1" x14ac:dyDescent="0.25">
      <c r="A571" s="16"/>
      <c r="B571" s="16"/>
      <c r="C571" s="16"/>
      <c r="D571" s="16"/>
    </row>
    <row r="572" spans="1:4" ht="14.25" customHeight="1" x14ac:dyDescent="0.25">
      <c r="A572" s="16"/>
      <c r="B572" s="16"/>
      <c r="C572" s="16"/>
      <c r="D572" s="16"/>
    </row>
    <row r="573" spans="1:4" ht="14.25" customHeight="1" x14ac:dyDescent="0.25">
      <c r="A573" s="16"/>
      <c r="B573" s="16"/>
      <c r="C573" s="16"/>
      <c r="D573" s="16"/>
    </row>
    <row r="574" spans="1:4" ht="14.25" customHeight="1" x14ac:dyDescent="0.25">
      <c r="A574" s="16"/>
      <c r="B574" s="16"/>
      <c r="C574" s="16"/>
      <c r="D574" s="16"/>
    </row>
    <row r="575" spans="1:4" ht="14.25" customHeight="1" x14ac:dyDescent="0.25">
      <c r="A575" s="16"/>
      <c r="B575" s="16"/>
      <c r="C575" s="16"/>
      <c r="D575" s="16"/>
    </row>
    <row r="576" spans="1:4" ht="14.25" customHeight="1" x14ac:dyDescent="0.25">
      <c r="A576" s="16"/>
      <c r="B576" s="16"/>
      <c r="C576" s="16"/>
      <c r="D576" s="16"/>
    </row>
    <row r="577" spans="1:4" ht="14.25" customHeight="1" x14ac:dyDescent="0.25">
      <c r="A577" s="16"/>
      <c r="B577" s="16"/>
      <c r="C577" s="16"/>
      <c r="D577" s="16"/>
    </row>
    <row r="578" spans="1:4" ht="14.25" customHeight="1" x14ac:dyDescent="0.25">
      <c r="A578" s="16"/>
      <c r="B578" s="16"/>
      <c r="C578" s="16"/>
      <c r="D578" s="16"/>
    </row>
    <row r="579" spans="1:4" ht="14.25" customHeight="1" x14ac:dyDescent="0.25">
      <c r="A579" s="16"/>
      <c r="B579" s="16"/>
      <c r="C579" s="16"/>
      <c r="D579" s="16"/>
    </row>
    <row r="580" spans="1:4" ht="14.25" customHeight="1" x14ac:dyDescent="0.25">
      <c r="A580" s="16"/>
      <c r="B580" s="16"/>
      <c r="C580" s="16"/>
      <c r="D580" s="16"/>
    </row>
    <row r="581" spans="1:4" ht="14.25" customHeight="1" x14ac:dyDescent="0.25">
      <c r="A581" s="16"/>
      <c r="B581" s="16"/>
      <c r="C581" s="16"/>
      <c r="D581" s="16"/>
    </row>
    <row r="582" spans="1:4" ht="14.25" customHeight="1" x14ac:dyDescent="0.25">
      <c r="A582" s="16"/>
      <c r="B582" s="16"/>
      <c r="C582" s="16"/>
      <c r="D582" s="16"/>
    </row>
    <row r="583" spans="1:4" ht="14.25" customHeight="1" x14ac:dyDescent="0.25">
      <c r="A583" s="16"/>
      <c r="B583" s="16"/>
      <c r="C583" s="16"/>
      <c r="D583" s="16"/>
    </row>
    <row r="584" spans="1:4" ht="14.25" customHeight="1" x14ac:dyDescent="0.25">
      <c r="A584" s="16"/>
      <c r="B584" s="16"/>
      <c r="C584" s="16"/>
      <c r="D584" s="16"/>
    </row>
    <row r="585" spans="1:4" ht="14.25" customHeight="1" x14ac:dyDescent="0.25">
      <c r="A585" s="16"/>
      <c r="B585" s="16"/>
      <c r="C585" s="16"/>
      <c r="D585" s="16"/>
    </row>
    <row r="586" spans="1:4" ht="14.25" customHeight="1" x14ac:dyDescent="0.25">
      <c r="A586" s="16"/>
      <c r="B586" s="16"/>
      <c r="C586" s="16"/>
      <c r="D586" s="16"/>
    </row>
    <row r="587" spans="1:4" ht="14.25" customHeight="1" x14ac:dyDescent="0.25">
      <c r="A587" s="16"/>
      <c r="B587" s="16"/>
      <c r="C587" s="16"/>
      <c r="D587" s="16"/>
    </row>
    <row r="588" spans="1:4" ht="14.25" customHeight="1" x14ac:dyDescent="0.25">
      <c r="A588" s="16"/>
      <c r="B588" s="16"/>
      <c r="C588" s="16"/>
      <c r="D588" s="16"/>
    </row>
    <row r="589" spans="1:4" ht="14.25" customHeight="1" x14ac:dyDescent="0.25">
      <c r="A589" s="16"/>
      <c r="B589" s="16"/>
      <c r="C589" s="16"/>
      <c r="D589" s="16"/>
    </row>
    <row r="590" spans="1:4" ht="14.25" customHeight="1" x14ac:dyDescent="0.25">
      <c r="A590" s="16"/>
      <c r="B590" s="16"/>
      <c r="C590" s="16"/>
      <c r="D590" s="16"/>
    </row>
    <row r="591" spans="1:4" ht="14.25" customHeight="1" x14ac:dyDescent="0.25">
      <c r="A591" s="16"/>
      <c r="B591" s="16"/>
      <c r="C591" s="16"/>
      <c r="D591" s="16"/>
    </row>
    <row r="592" spans="1:4" ht="14.25" customHeight="1" x14ac:dyDescent="0.25">
      <c r="A592" s="16"/>
      <c r="B592" s="16"/>
      <c r="C592" s="16"/>
      <c r="D592" s="16"/>
    </row>
    <row r="593" spans="1:4" ht="14.25" customHeight="1" x14ac:dyDescent="0.25">
      <c r="A593" s="16"/>
      <c r="B593" s="16"/>
      <c r="C593" s="16"/>
      <c r="D593" s="16"/>
    </row>
    <row r="594" spans="1:4" ht="14.25" customHeight="1" x14ac:dyDescent="0.25">
      <c r="A594" s="16"/>
      <c r="B594" s="16"/>
      <c r="C594" s="16"/>
      <c r="D594" s="16"/>
    </row>
    <row r="595" spans="1:4" ht="14.25" customHeight="1" x14ac:dyDescent="0.25">
      <c r="A595" s="16"/>
      <c r="B595" s="16"/>
      <c r="C595" s="16"/>
      <c r="D595" s="16"/>
    </row>
    <row r="596" spans="1:4" ht="14.25" customHeight="1" x14ac:dyDescent="0.25">
      <c r="A596" s="16"/>
      <c r="B596" s="16"/>
      <c r="C596" s="16"/>
      <c r="D596" s="16"/>
    </row>
    <row r="597" spans="1:4" ht="14.25" customHeight="1" x14ac:dyDescent="0.25">
      <c r="A597" s="16"/>
      <c r="B597" s="16"/>
      <c r="C597" s="16"/>
      <c r="D597" s="16"/>
    </row>
    <row r="598" spans="1:4" ht="14.25" customHeight="1" x14ac:dyDescent="0.25">
      <c r="A598" s="16"/>
      <c r="B598" s="16"/>
      <c r="C598" s="16"/>
      <c r="D598" s="16"/>
    </row>
    <row r="599" spans="1:4" ht="14.25" customHeight="1" x14ac:dyDescent="0.25">
      <c r="A599" s="16"/>
      <c r="B599" s="16"/>
      <c r="C599" s="16"/>
      <c r="D599" s="16"/>
    </row>
    <row r="600" spans="1:4" ht="14.25" customHeight="1" x14ac:dyDescent="0.25">
      <c r="A600" s="16"/>
      <c r="B600" s="16"/>
      <c r="C600" s="16"/>
      <c r="D600" s="16"/>
    </row>
    <row r="601" spans="1:4" ht="14.25" customHeight="1" x14ac:dyDescent="0.25">
      <c r="A601" s="16"/>
      <c r="B601" s="16"/>
      <c r="C601" s="16"/>
      <c r="D601" s="16"/>
    </row>
    <row r="602" spans="1:4" ht="14.25" customHeight="1" x14ac:dyDescent="0.25">
      <c r="A602" s="16"/>
      <c r="B602" s="16"/>
      <c r="C602" s="16"/>
      <c r="D602" s="16"/>
    </row>
    <row r="603" spans="1:4" ht="14.25" customHeight="1" x14ac:dyDescent="0.25">
      <c r="A603" s="16"/>
      <c r="B603" s="16"/>
      <c r="C603" s="16"/>
      <c r="D603" s="16"/>
    </row>
    <row r="604" spans="1:4" ht="14.25" customHeight="1" x14ac:dyDescent="0.25">
      <c r="A604" s="16"/>
      <c r="B604" s="16"/>
      <c r="C604" s="16"/>
      <c r="D604" s="16"/>
    </row>
    <row r="605" spans="1:4" ht="14.25" customHeight="1" x14ac:dyDescent="0.25">
      <c r="A605" s="16"/>
      <c r="B605" s="16"/>
      <c r="C605" s="16"/>
      <c r="D605" s="16"/>
    </row>
    <row r="606" spans="1:4" ht="14.25" customHeight="1" x14ac:dyDescent="0.25">
      <c r="A606" s="16"/>
      <c r="B606" s="16"/>
      <c r="C606" s="16"/>
      <c r="D606" s="16"/>
    </row>
    <row r="607" spans="1:4" ht="14.25" customHeight="1" x14ac:dyDescent="0.25">
      <c r="A607" s="16"/>
      <c r="B607" s="16"/>
      <c r="C607" s="16"/>
      <c r="D607" s="16"/>
    </row>
    <row r="608" spans="1:4" ht="14.25" customHeight="1" x14ac:dyDescent="0.25">
      <c r="A608" s="16"/>
      <c r="B608" s="16"/>
      <c r="C608" s="16"/>
      <c r="D608" s="16"/>
    </row>
    <row r="609" spans="1:4" ht="14.25" customHeight="1" x14ac:dyDescent="0.25">
      <c r="A609" s="16"/>
      <c r="B609" s="16"/>
      <c r="C609" s="16"/>
      <c r="D609" s="16"/>
    </row>
    <row r="610" spans="1:4" ht="14.25" customHeight="1" x14ac:dyDescent="0.25">
      <c r="A610" s="16"/>
      <c r="B610" s="16"/>
      <c r="C610" s="16"/>
      <c r="D610" s="16"/>
    </row>
    <row r="611" spans="1:4" ht="14.25" customHeight="1" x14ac:dyDescent="0.25">
      <c r="A611" s="16"/>
      <c r="B611" s="16"/>
      <c r="C611" s="16"/>
      <c r="D611" s="16"/>
    </row>
    <row r="612" spans="1:4" ht="14.25" customHeight="1" x14ac:dyDescent="0.25">
      <c r="A612" s="16"/>
      <c r="B612" s="16"/>
      <c r="C612" s="16"/>
      <c r="D612" s="16"/>
    </row>
    <row r="613" spans="1:4" ht="14.25" customHeight="1" x14ac:dyDescent="0.25">
      <c r="A613" s="16"/>
      <c r="B613" s="16"/>
      <c r="C613" s="16"/>
      <c r="D613" s="16"/>
    </row>
    <row r="614" spans="1:4" ht="14.25" customHeight="1" x14ac:dyDescent="0.25">
      <c r="A614" s="16"/>
      <c r="B614" s="16"/>
      <c r="C614" s="16"/>
      <c r="D614" s="16"/>
    </row>
    <row r="615" spans="1:4" ht="14.25" customHeight="1" x14ac:dyDescent="0.25">
      <c r="A615" s="16"/>
      <c r="B615" s="16"/>
      <c r="C615" s="16"/>
      <c r="D615" s="16"/>
    </row>
    <row r="616" spans="1:4" ht="14.25" customHeight="1" x14ac:dyDescent="0.25">
      <c r="A616" s="16"/>
      <c r="B616" s="16"/>
      <c r="C616" s="16"/>
      <c r="D616" s="16"/>
    </row>
    <row r="617" spans="1:4" ht="14.25" customHeight="1" x14ac:dyDescent="0.25">
      <c r="A617" s="16"/>
      <c r="B617" s="16"/>
      <c r="C617" s="16"/>
      <c r="D617" s="16"/>
    </row>
    <row r="618" spans="1:4" ht="14.25" customHeight="1" x14ac:dyDescent="0.25">
      <c r="A618" s="16"/>
      <c r="B618" s="16"/>
      <c r="C618" s="16"/>
      <c r="D618" s="16"/>
    </row>
    <row r="619" spans="1:4" ht="14.25" customHeight="1" x14ac:dyDescent="0.25">
      <c r="A619" s="16"/>
      <c r="B619" s="16"/>
      <c r="C619" s="16"/>
      <c r="D619" s="16"/>
    </row>
    <row r="620" spans="1:4" ht="14.25" customHeight="1" x14ac:dyDescent="0.25">
      <c r="A620" s="16"/>
      <c r="B620" s="16"/>
      <c r="C620" s="16"/>
      <c r="D620" s="16"/>
    </row>
    <row r="621" spans="1:4" ht="14.25" customHeight="1" x14ac:dyDescent="0.25">
      <c r="A621" s="16"/>
      <c r="B621" s="16"/>
      <c r="C621" s="16"/>
      <c r="D621" s="16"/>
    </row>
    <row r="622" spans="1:4" ht="14.25" customHeight="1" x14ac:dyDescent="0.25">
      <c r="A622" s="16"/>
      <c r="B622" s="16"/>
      <c r="C622" s="16"/>
      <c r="D622" s="16"/>
    </row>
    <row r="623" spans="1:4" ht="14.25" customHeight="1" x14ac:dyDescent="0.25">
      <c r="A623" s="16"/>
      <c r="B623" s="16"/>
      <c r="C623" s="16"/>
      <c r="D623" s="16"/>
    </row>
    <row r="624" spans="1:4" ht="14.25" customHeight="1" x14ac:dyDescent="0.25">
      <c r="A624" s="16"/>
      <c r="B624" s="16"/>
      <c r="C624" s="16"/>
      <c r="D624" s="16"/>
    </row>
    <row r="625" spans="1:4" ht="14.25" customHeight="1" x14ac:dyDescent="0.25">
      <c r="A625" s="16"/>
      <c r="B625" s="16"/>
      <c r="C625" s="16"/>
      <c r="D625" s="16"/>
    </row>
    <row r="626" spans="1:4" ht="14.25" customHeight="1" x14ac:dyDescent="0.25">
      <c r="A626" s="16"/>
      <c r="B626" s="16"/>
      <c r="C626" s="16"/>
      <c r="D626" s="16"/>
    </row>
    <row r="627" spans="1:4" ht="14.25" customHeight="1" x14ac:dyDescent="0.25">
      <c r="A627" s="16"/>
      <c r="B627" s="16"/>
      <c r="C627" s="16"/>
      <c r="D627" s="16"/>
    </row>
    <row r="628" spans="1:4" ht="14.25" customHeight="1" x14ac:dyDescent="0.25">
      <c r="A628" s="16"/>
      <c r="B628" s="16"/>
      <c r="C628" s="16"/>
      <c r="D628" s="16"/>
    </row>
    <row r="629" spans="1:4" ht="14.25" customHeight="1" x14ac:dyDescent="0.25">
      <c r="A629" s="16"/>
      <c r="B629" s="16"/>
      <c r="C629" s="16"/>
      <c r="D629" s="16"/>
    </row>
    <row r="630" spans="1:4" ht="14.25" customHeight="1" x14ac:dyDescent="0.25">
      <c r="A630" s="16"/>
      <c r="B630" s="16"/>
      <c r="C630" s="16"/>
      <c r="D630" s="16"/>
    </row>
    <row r="631" spans="1:4" ht="14.25" customHeight="1" x14ac:dyDescent="0.25">
      <c r="A631" s="16"/>
      <c r="B631" s="16"/>
      <c r="C631" s="16"/>
      <c r="D631" s="16"/>
    </row>
    <row r="632" spans="1:4" ht="14.25" customHeight="1" x14ac:dyDescent="0.25">
      <c r="A632" s="16"/>
      <c r="B632" s="16"/>
      <c r="C632" s="16"/>
      <c r="D632" s="16"/>
    </row>
    <row r="633" spans="1:4" ht="14.25" customHeight="1" x14ac:dyDescent="0.25">
      <c r="A633" s="16"/>
      <c r="B633" s="16"/>
      <c r="C633" s="16"/>
      <c r="D633" s="16"/>
    </row>
    <row r="634" spans="1:4" ht="14.25" customHeight="1" x14ac:dyDescent="0.25">
      <c r="A634" s="16"/>
      <c r="B634" s="16"/>
      <c r="C634" s="16"/>
      <c r="D634" s="16"/>
    </row>
    <row r="635" spans="1:4" ht="14.25" customHeight="1" x14ac:dyDescent="0.25">
      <c r="A635" s="16"/>
      <c r="B635" s="16"/>
      <c r="C635" s="16"/>
      <c r="D635" s="16"/>
    </row>
    <row r="636" spans="1:4" ht="14.25" customHeight="1" x14ac:dyDescent="0.25">
      <c r="A636" s="16"/>
      <c r="B636" s="16"/>
      <c r="C636" s="16"/>
      <c r="D636" s="16"/>
    </row>
    <row r="637" spans="1:4" ht="14.25" customHeight="1" x14ac:dyDescent="0.25">
      <c r="A637" s="16"/>
      <c r="B637" s="16"/>
      <c r="C637" s="16"/>
      <c r="D637" s="16"/>
    </row>
    <row r="638" spans="1:4" ht="14.25" customHeight="1" x14ac:dyDescent="0.25">
      <c r="A638" s="16"/>
      <c r="B638" s="16"/>
      <c r="C638" s="16"/>
      <c r="D638" s="16"/>
    </row>
    <row r="639" spans="1:4" ht="14.25" customHeight="1" x14ac:dyDescent="0.25">
      <c r="A639" s="16"/>
      <c r="B639" s="16"/>
      <c r="C639" s="16"/>
      <c r="D639" s="16"/>
    </row>
    <row r="640" spans="1:4" ht="14.25" customHeight="1" x14ac:dyDescent="0.25">
      <c r="A640" s="16"/>
      <c r="B640" s="16"/>
      <c r="C640" s="16"/>
      <c r="D640" s="16"/>
    </row>
    <row r="641" spans="1:4" ht="14.25" customHeight="1" x14ac:dyDescent="0.25">
      <c r="A641" s="16"/>
      <c r="B641" s="16"/>
      <c r="C641" s="16"/>
      <c r="D641" s="16"/>
    </row>
    <row r="642" spans="1:4" ht="14.25" customHeight="1" x14ac:dyDescent="0.25">
      <c r="A642" s="16"/>
      <c r="B642" s="16"/>
      <c r="C642" s="16"/>
      <c r="D642" s="16"/>
    </row>
    <row r="643" spans="1:4" ht="14.25" customHeight="1" x14ac:dyDescent="0.25">
      <c r="A643" s="16"/>
      <c r="B643" s="16"/>
      <c r="C643" s="16"/>
      <c r="D643" s="16"/>
    </row>
    <row r="644" spans="1:4" ht="14.25" customHeight="1" x14ac:dyDescent="0.25">
      <c r="A644" s="16"/>
      <c r="B644" s="16"/>
      <c r="C644" s="16"/>
      <c r="D644" s="16"/>
    </row>
    <row r="645" spans="1:4" ht="14.25" customHeight="1" x14ac:dyDescent="0.25">
      <c r="A645" s="16"/>
      <c r="B645" s="16"/>
      <c r="C645" s="16"/>
      <c r="D645" s="16"/>
    </row>
    <row r="646" spans="1:4" ht="14.25" customHeight="1" x14ac:dyDescent="0.25">
      <c r="A646" s="16"/>
      <c r="B646" s="16"/>
      <c r="C646" s="16"/>
      <c r="D646" s="16"/>
    </row>
    <row r="647" spans="1:4" ht="14.25" customHeight="1" x14ac:dyDescent="0.25">
      <c r="A647" s="16"/>
      <c r="B647" s="16"/>
      <c r="C647" s="16"/>
      <c r="D647" s="16"/>
    </row>
    <row r="648" spans="1:4" ht="14.25" customHeight="1" x14ac:dyDescent="0.25">
      <c r="A648" s="16"/>
      <c r="B648" s="16"/>
      <c r="C648" s="16"/>
      <c r="D648" s="16"/>
    </row>
    <row r="649" spans="1:4" ht="14.25" customHeight="1" x14ac:dyDescent="0.25">
      <c r="A649" s="16"/>
      <c r="B649" s="16"/>
      <c r="C649" s="16"/>
      <c r="D649" s="16"/>
    </row>
    <row r="650" spans="1:4" ht="14.25" customHeight="1" x14ac:dyDescent="0.25">
      <c r="A650" s="16"/>
      <c r="B650" s="16"/>
      <c r="C650" s="16"/>
      <c r="D650" s="16"/>
    </row>
    <row r="651" spans="1:4" ht="14.25" customHeight="1" x14ac:dyDescent="0.25">
      <c r="A651" s="16"/>
      <c r="B651" s="16"/>
      <c r="C651" s="16"/>
      <c r="D651" s="16"/>
    </row>
    <row r="652" spans="1:4" ht="14.25" customHeight="1" x14ac:dyDescent="0.25">
      <c r="A652" s="16"/>
      <c r="B652" s="16"/>
      <c r="C652" s="16"/>
      <c r="D652" s="16"/>
    </row>
    <row r="653" spans="1:4" ht="14.25" customHeight="1" x14ac:dyDescent="0.25">
      <c r="A653" s="16"/>
      <c r="B653" s="16"/>
      <c r="C653" s="16"/>
      <c r="D653" s="16"/>
    </row>
    <row r="654" spans="1:4" ht="14.25" customHeight="1" x14ac:dyDescent="0.25">
      <c r="A654" s="16"/>
      <c r="B654" s="16"/>
      <c r="C654" s="16"/>
      <c r="D654" s="16"/>
    </row>
    <row r="655" spans="1:4" ht="14.25" customHeight="1" x14ac:dyDescent="0.25">
      <c r="A655" s="16"/>
      <c r="B655" s="16"/>
      <c r="C655" s="16"/>
      <c r="D655" s="16"/>
    </row>
    <row r="656" spans="1:4" ht="14.25" customHeight="1" x14ac:dyDescent="0.25">
      <c r="A656" s="16"/>
      <c r="B656" s="16"/>
      <c r="C656" s="16"/>
      <c r="D656" s="16"/>
    </row>
    <row r="657" spans="1:4" ht="14.25" customHeight="1" x14ac:dyDescent="0.25">
      <c r="A657" s="16"/>
      <c r="B657" s="16"/>
      <c r="C657" s="16"/>
      <c r="D657" s="16"/>
    </row>
    <row r="658" spans="1:4" ht="14.25" customHeight="1" x14ac:dyDescent="0.25">
      <c r="A658" s="16"/>
      <c r="B658" s="16"/>
      <c r="C658" s="16"/>
      <c r="D658" s="16"/>
    </row>
    <row r="659" spans="1:4" ht="14.25" customHeight="1" x14ac:dyDescent="0.25">
      <c r="A659" s="16"/>
      <c r="B659" s="16"/>
      <c r="C659" s="16"/>
      <c r="D659" s="16"/>
    </row>
    <row r="660" spans="1:4" ht="14.25" customHeight="1" x14ac:dyDescent="0.25">
      <c r="A660" s="16"/>
      <c r="B660" s="16"/>
      <c r="C660" s="16"/>
      <c r="D660" s="16"/>
    </row>
    <row r="661" spans="1:4" ht="14.25" customHeight="1" x14ac:dyDescent="0.25">
      <c r="A661" s="16"/>
      <c r="B661" s="16"/>
      <c r="C661" s="16"/>
      <c r="D661" s="16"/>
    </row>
    <row r="662" spans="1:4" ht="14.25" customHeight="1" x14ac:dyDescent="0.25">
      <c r="A662" s="16"/>
      <c r="B662" s="16"/>
      <c r="C662" s="16"/>
      <c r="D662" s="16"/>
    </row>
    <row r="663" spans="1:4" ht="14.25" customHeight="1" x14ac:dyDescent="0.25">
      <c r="A663" s="16"/>
      <c r="B663" s="16"/>
      <c r="C663" s="16"/>
      <c r="D663" s="16"/>
    </row>
    <row r="664" spans="1:4" ht="14.25" customHeight="1" x14ac:dyDescent="0.25">
      <c r="A664" s="16"/>
      <c r="B664" s="16"/>
      <c r="C664" s="16"/>
      <c r="D664" s="16"/>
    </row>
    <row r="665" spans="1:4" ht="14.25" customHeight="1" x14ac:dyDescent="0.25">
      <c r="A665" s="16"/>
      <c r="B665" s="16"/>
      <c r="C665" s="16"/>
      <c r="D665" s="16"/>
    </row>
    <row r="666" spans="1:4" ht="14.25" customHeight="1" x14ac:dyDescent="0.25">
      <c r="A666" s="16"/>
      <c r="B666" s="16"/>
      <c r="C666" s="16"/>
      <c r="D666" s="16"/>
    </row>
    <row r="667" spans="1:4" ht="14.25" customHeight="1" x14ac:dyDescent="0.25">
      <c r="A667" s="16"/>
      <c r="B667" s="16"/>
      <c r="C667" s="16"/>
      <c r="D667" s="16"/>
    </row>
    <row r="668" spans="1:4" ht="14.25" customHeight="1" x14ac:dyDescent="0.25">
      <c r="A668" s="16"/>
      <c r="B668" s="16"/>
      <c r="C668" s="16"/>
      <c r="D668" s="16"/>
    </row>
    <row r="669" spans="1:4" ht="14.25" customHeight="1" x14ac:dyDescent="0.25">
      <c r="A669" s="16"/>
      <c r="B669" s="16"/>
      <c r="C669" s="16"/>
      <c r="D669" s="16"/>
    </row>
    <row r="670" spans="1:4" ht="14.25" customHeight="1" x14ac:dyDescent="0.25">
      <c r="A670" s="16"/>
      <c r="B670" s="16"/>
      <c r="C670" s="16"/>
      <c r="D670" s="16"/>
    </row>
    <row r="671" spans="1:4" ht="14.25" customHeight="1" x14ac:dyDescent="0.25">
      <c r="A671" s="16"/>
      <c r="B671" s="16"/>
      <c r="C671" s="16"/>
      <c r="D671" s="16"/>
    </row>
    <row r="672" spans="1:4" ht="14.25" customHeight="1" x14ac:dyDescent="0.25">
      <c r="A672" s="16"/>
      <c r="B672" s="16"/>
      <c r="C672" s="16"/>
      <c r="D672" s="16"/>
    </row>
    <row r="673" spans="1:4" ht="14.25" customHeight="1" x14ac:dyDescent="0.25">
      <c r="A673" s="16"/>
      <c r="B673" s="16"/>
      <c r="C673" s="16"/>
      <c r="D673" s="16"/>
    </row>
    <row r="674" spans="1:4" ht="14.25" customHeight="1" x14ac:dyDescent="0.25">
      <c r="A674" s="16"/>
      <c r="B674" s="16"/>
      <c r="C674" s="16"/>
      <c r="D674" s="16"/>
    </row>
    <row r="675" spans="1:4" ht="14.25" customHeight="1" x14ac:dyDescent="0.25">
      <c r="A675" s="16"/>
      <c r="B675" s="16"/>
      <c r="C675" s="16"/>
      <c r="D675" s="16"/>
    </row>
    <row r="676" spans="1:4" ht="14.25" customHeight="1" x14ac:dyDescent="0.25">
      <c r="A676" s="16"/>
      <c r="B676" s="16"/>
      <c r="C676" s="16"/>
      <c r="D676" s="16"/>
    </row>
    <row r="677" spans="1:4" ht="14.25" customHeight="1" x14ac:dyDescent="0.25">
      <c r="A677" s="16"/>
      <c r="B677" s="16"/>
      <c r="C677" s="16"/>
      <c r="D677" s="16"/>
    </row>
    <row r="678" spans="1:4" ht="14.25" customHeight="1" x14ac:dyDescent="0.25">
      <c r="A678" s="16"/>
      <c r="B678" s="16"/>
      <c r="C678" s="16"/>
      <c r="D678" s="16"/>
    </row>
    <row r="679" spans="1:4" ht="14.25" customHeight="1" x14ac:dyDescent="0.25">
      <c r="A679" s="16"/>
      <c r="B679" s="16"/>
      <c r="C679" s="16"/>
      <c r="D679" s="16"/>
    </row>
    <row r="680" spans="1:4" ht="14.25" customHeight="1" x14ac:dyDescent="0.25">
      <c r="A680" s="16"/>
      <c r="B680" s="16"/>
      <c r="C680" s="16"/>
      <c r="D680" s="16"/>
    </row>
    <row r="681" spans="1:4" ht="14.25" customHeight="1" x14ac:dyDescent="0.25">
      <c r="A681" s="16"/>
      <c r="B681" s="16"/>
      <c r="C681" s="16"/>
      <c r="D681" s="16"/>
    </row>
    <row r="682" spans="1:4" ht="14.25" customHeight="1" x14ac:dyDescent="0.25">
      <c r="A682" s="16"/>
      <c r="B682" s="16"/>
      <c r="C682" s="16"/>
      <c r="D682" s="16"/>
    </row>
    <row r="683" spans="1:4" ht="14.25" customHeight="1" x14ac:dyDescent="0.25">
      <c r="A683" s="16"/>
      <c r="B683" s="16"/>
      <c r="C683" s="16"/>
      <c r="D683" s="16"/>
    </row>
    <row r="684" spans="1:4" ht="14.25" customHeight="1" x14ac:dyDescent="0.25">
      <c r="A684" s="16"/>
      <c r="B684" s="16"/>
      <c r="C684" s="16"/>
      <c r="D684" s="16"/>
    </row>
    <row r="685" spans="1:4" ht="14.25" customHeight="1" x14ac:dyDescent="0.25">
      <c r="A685" s="16"/>
      <c r="B685" s="16"/>
      <c r="C685" s="16"/>
      <c r="D685" s="16"/>
    </row>
    <row r="686" spans="1:4" ht="14.25" customHeight="1" x14ac:dyDescent="0.25">
      <c r="A686" s="16"/>
      <c r="B686" s="16"/>
      <c r="C686" s="16"/>
      <c r="D686" s="16"/>
    </row>
    <row r="687" spans="1:4" ht="14.25" customHeight="1" x14ac:dyDescent="0.25">
      <c r="A687" s="16"/>
      <c r="B687" s="16"/>
      <c r="C687" s="16"/>
      <c r="D687" s="16"/>
    </row>
    <row r="688" spans="1:4" ht="14.25" customHeight="1" x14ac:dyDescent="0.25">
      <c r="A688" s="16"/>
      <c r="B688" s="16"/>
      <c r="C688" s="16"/>
      <c r="D688" s="16"/>
    </row>
    <row r="689" spans="1:4" ht="14.25" customHeight="1" x14ac:dyDescent="0.25">
      <c r="A689" s="16"/>
      <c r="B689" s="16"/>
      <c r="C689" s="16"/>
      <c r="D689" s="16"/>
    </row>
    <row r="690" spans="1:4" ht="14.25" customHeight="1" x14ac:dyDescent="0.25">
      <c r="A690" s="16"/>
      <c r="B690" s="16"/>
      <c r="C690" s="16"/>
      <c r="D690" s="16"/>
    </row>
    <row r="691" spans="1:4" ht="14.25" customHeight="1" x14ac:dyDescent="0.25">
      <c r="A691" s="16"/>
      <c r="B691" s="16"/>
      <c r="C691" s="16"/>
      <c r="D691" s="16"/>
    </row>
    <row r="692" spans="1:4" ht="14.25" customHeight="1" x14ac:dyDescent="0.25">
      <c r="A692" s="16"/>
      <c r="B692" s="16"/>
      <c r="C692" s="16"/>
      <c r="D692" s="16"/>
    </row>
    <row r="693" spans="1:4" ht="14.25" customHeight="1" x14ac:dyDescent="0.25">
      <c r="A693" s="16"/>
      <c r="B693" s="16"/>
      <c r="C693" s="16"/>
      <c r="D693" s="16"/>
    </row>
    <row r="694" spans="1:4" ht="14.25" customHeight="1" x14ac:dyDescent="0.25">
      <c r="A694" s="16"/>
      <c r="B694" s="16"/>
      <c r="C694" s="16"/>
      <c r="D694" s="16"/>
    </row>
    <row r="695" spans="1:4" ht="14.25" customHeight="1" x14ac:dyDescent="0.25">
      <c r="A695" s="16"/>
      <c r="B695" s="16"/>
      <c r="C695" s="16"/>
      <c r="D695" s="16"/>
    </row>
    <row r="696" spans="1:4" ht="14.25" customHeight="1" x14ac:dyDescent="0.25">
      <c r="A696" s="16"/>
      <c r="B696" s="16"/>
      <c r="C696" s="16"/>
      <c r="D696" s="16"/>
    </row>
    <row r="697" spans="1:4" ht="14.25" customHeight="1" x14ac:dyDescent="0.25">
      <c r="A697" s="16"/>
      <c r="B697" s="16"/>
      <c r="C697" s="16"/>
      <c r="D697" s="16"/>
    </row>
    <row r="698" spans="1:4" ht="14.25" customHeight="1" x14ac:dyDescent="0.25">
      <c r="A698" s="16"/>
      <c r="B698" s="16"/>
      <c r="C698" s="16"/>
      <c r="D698" s="16"/>
    </row>
    <row r="699" spans="1:4" ht="14.25" customHeight="1" x14ac:dyDescent="0.25">
      <c r="A699" s="16"/>
      <c r="B699" s="16"/>
      <c r="C699" s="16"/>
      <c r="D699" s="16"/>
    </row>
    <row r="700" spans="1:4" ht="14.25" customHeight="1" x14ac:dyDescent="0.25">
      <c r="A700" s="16"/>
      <c r="B700" s="16"/>
      <c r="C700" s="16"/>
      <c r="D700" s="16"/>
    </row>
    <row r="701" spans="1:4" ht="14.25" customHeight="1" x14ac:dyDescent="0.25">
      <c r="A701" s="16"/>
      <c r="B701" s="16"/>
      <c r="C701" s="16"/>
      <c r="D701" s="16"/>
    </row>
    <row r="702" spans="1:4" ht="14.25" customHeight="1" x14ac:dyDescent="0.25">
      <c r="A702" s="16"/>
      <c r="B702" s="16"/>
      <c r="C702" s="16"/>
      <c r="D702" s="16"/>
    </row>
    <row r="703" spans="1:4" ht="14.25" customHeight="1" x14ac:dyDescent="0.25">
      <c r="A703" s="16"/>
      <c r="B703" s="16"/>
      <c r="C703" s="16"/>
      <c r="D703" s="16"/>
    </row>
    <row r="704" spans="1:4" ht="14.25" customHeight="1" x14ac:dyDescent="0.25">
      <c r="A704" s="16"/>
      <c r="B704" s="16"/>
      <c r="C704" s="16"/>
      <c r="D704" s="16"/>
    </row>
    <row r="705" spans="1:4" ht="14.25" customHeight="1" x14ac:dyDescent="0.25">
      <c r="A705" s="16"/>
      <c r="B705" s="16"/>
      <c r="C705" s="16"/>
      <c r="D705" s="16"/>
    </row>
    <row r="706" spans="1:4" ht="14.25" customHeight="1" x14ac:dyDescent="0.25">
      <c r="A706" s="16"/>
      <c r="B706" s="16"/>
      <c r="C706" s="16"/>
      <c r="D706" s="16"/>
    </row>
    <row r="707" spans="1:4" ht="14.25" customHeight="1" x14ac:dyDescent="0.25">
      <c r="A707" s="16"/>
      <c r="B707" s="16"/>
      <c r="C707" s="16"/>
      <c r="D707" s="16"/>
    </row>
    <row r="708" spans="1:4" ht="14.25" customHeight="1" x14ac:dyDescent="0.25">
      <c r="A708" s="16"/>
      <c r="B708" s="16"/>
      <c r="C708" s="16"/>
      <c r="D708" s="16"/>
    </row>
    <row r="709" spans="1:4" ht="14.25" customHeight="1" x14ac:dyDescent="0.25">
      <c r="A709" s="16"/>
      <c r="B709" s="16"/>
      <c r="C709" s="16"/>
      <c r="D709" s="16"/>
    </row>
    <row r="710" spans="1:4" ht="14.25" customHeight="1" x14ac:dyDescent="0.25">
      <c r="A710" s="16"/>
      <c r="B710" s="16"/>
      <c r="C710" s="16"/>
      <c r="D710" s="16"/>
    </row>
    <row r="711" spans="1:4" ht="14.25" customHeight="1" x14ac:dyDescent="0.25">
      <c r="A711" s="16"/>
      <c r="B711" s="16"/>
      <c r="C711" s="16"/>
      <c r="D711" s="16"/>
    </row>
    <row r="712" spans="1:4" ht="14.25" customHeight="1" x14ac:dyDescent="0.25">
      <c r="A712" s="16"/>
      <c r="B712" s="16"/>
      <c r="C712" s="16"/>
      <c r="D712" s="16"/>
    </row>
    <row r="713" spans="1:4" ht="14.25" customHeight="1" x14ac:dyDescent="0.25">
      <c r="A713" s="16"/>
      <c r="B713" s="16"/>
      <c r="C713" s="16"/>
      <c r="D713" s="16"/>
    </row>
    <row r="714" spans="1:4" ht="14.25" customHeight="1" x14ac:dyDescent="0.25">
      <c r="A714" s="16"/>
      <c r="B714" s="16"/>
      <c r="C714" s="16"/>
      <c r="D714" s="16"/>
    </row>
    <row r="715" spans="1:4" ht="14.25" customHeight="1" x14ac:dyDescent="0.25">
      <c r="A715" s="16"/>
      <c r="B715" s="16"/>
      <c r="C715" s="16"/>
      <c r="D715" s="16"/>
    </row>
    <row r="716" spans="1:4" ht="14.25" customHeight="1" x14ac:dyDescent="0.25">
      <c r="A716" s="16"/>
      <c r="B716" s="16"/>
      <c r="C716" s="16"/>
      <c r="D716" s="16"/>
    </row>
    <row r="717" spans="1:4" ht="14.25" customHeight="1" x14ac:dyDescent="0.25">
      <c r="A717" s="16"/>
      <c r="B717" s="16"/>
      <c r="C717" s="16"/>
      <c r="D717" s="16"/>
    </row>
    <row r="718" spans="1:4" ht="14.25" customHeight="1" x14ac:dyDescent="0.25">
      <c r="A718" s="16"/>
      <c r="B718" s="16"/>
      <c r="C718" s="16"/>
      <c r="D718" s="16"/>
    </row>
    <row r="719" spans="1:4" ht="14.25" customHeight="1" x14ac:dyDescent="0.25">
      <c r="A719" s="16"/>
      <c r="B719" s="16"/>
      <c r="C719" s="16"/>
      <c r="D719" s="16"/>
    </row>
    <row r="720" spans="1:4" ht="14.25" customHeight="1" x14ac:dyDescent="0.25">
      <c r="A720" s="16"/>
      <c r="B720" s="16"/>
      <c r="C720" s="16"/>
      <c r="D720" s="16"/>
    </row>
    <row r="721" spans="1:4" ht="14.25" customHeight="1" x14ac:dyDescent="0.25">
      <c r="A721" s="16"/>
      <c r="B721" s="16"/>
      <c r="C721" s="16"/>
      <c r="D721" s="16"/>
    </row>
    <row r="722" spans="1:4" ht="14.25" customHeight="1" x14ac:dyDescent="0.25">
      <c r="A722" s="16"/>
      <c r="B722" s="16"/>
      <c r="C722" s="16"/>
      <c r="D722" s="16"/>
    </row>
    <row r="723" spans="1:4" ht="14.25" customHeight="1" x14ac:dyDescent="0.25">
      <c r="A723" s="16"/>
      <c r="B723" s="16"/>
      <c r="C723" s="16"/>
      <c r="D723" s="16"/>
    </row>
    <row r="724" spans="1:4" ht="14.25" customHeight="1" x14ac:dyDescent="0.25">
      <c r="A724" s="16"/>
      <c r="B724" s="16"/>
      <c r="C724" s="16"/>
      <c r="D724" s="16"/>
    </row>
    <row r="725" spans="1:4" ht="14.25" customHeight="1" x14ac:dyDescent="0.25">
      <c r="A725" s="16"/>
      <c r="B725" s="16"/>
      <c r="C725" s="16"/>
      <c r="D725" s="16"/>
    </row>
    <row r="726" spans="1:4" ht="14.25" customHeight="1" x14ac:dyDescent="0.25">
      <c r="A726" s="16"/>
      <c r="B726" s="16"/>
      <c r="C726" s="16"/>
      <c r="D726" s="16"/>
    </row>
    <row r="727" spans="1:4" ht="14.25" customHeight="1" x14ac:dyDescent="0.25">
      <c r="A727" s="16"/>
      <c r="B727" s="16"/>
      <c r="C727" s="16"/>
      <c r="D727" s="16"/>
    </row>
    <row r="728" spans="1:4" ht="14.25" customHeight="1" x14ac:dyDescent="0.25">
      <c r="A728" s="16"/>
      <c r="B728" s="16"/>
      <c r="C728" s="16"/>
      <c r="D728" s="16"/>
    </row>
    <row r="729" spans="1:4" ht="14.25" customHeight="1" x14ac:dyDescent="0.25">
      <c r="A729" s="16"/>
      <c r="B729" s="16"/>
      <c r="C729" s="16"/>
      <c r="D729" s="16"/>
    </row>
    <row r="730" spans="1:4" ht="14.25" customHeight="1" x14ac:dyDescent="0.25">
      <c r="A730" s="16"/>
      <c r="B730" s="16"/>
      <c r="C730" s="16"/>
      <c r="D730" s="16"/>
    </row>
    <row r="731" spans="1:4" ht="14.25" customHeight="1" x14ac:dyDescent="0.25">
      <c r="A731" s="16"/>
      <c r="B731" s="16"/>
      <c r="C731" s="16"/>
      <c r="D731" s="16"/>
    </row>
    <row r="732" spans="1:4" ht="14.25" customHeight="1" x14ac:dyDescent="0.25">
      <c r="A732" s="16"/>
      <c r="B732" s="16"/>
      <c r="C732" s="16"/>
      <c r="D732" s="16"/>
    </row>
    <row r="733" spans="1:4" ht="14.25" customHeight="1" x14ac:dyDescent="0.25">
      <c r="A733" s="16"/>
      <c r="B733" s="16"/>
      <c r="C733" s="16"/>
      <c r="D733" s="16"/>
    </row>
    <row r="734" spans="1:4" ht="14.25" customHeight="1" x14ac:dyDescent="0.25">
      <c r="A734" s="16"/>
      <c r="B734" s="16"/>
      <c r="C734" s="16"/>
      <c r="D734" s="16"/>
    </row>
    <row r="735" spans="1:4" ht="14.25" customHeight="1" x14ac:dyDescent="0.25">
      <c r="A735" s="16"/>
      <c r="B735" s="16"/>
      <c r="C735" s="16"/>
      <c r="D735" s="16"/>
    </row>
    <row r="736" spans="1:4" ht="14.25" customHeight="1" x14ac:dyDescent="0.25">
      <c r="A736" s="16"/>
      <c r="B736" s="16"/>
      <c r="C736" s="16"/>
      <c r="D736" s="16"/>
    </row>
    <row r="737" spans="1:4" ht="14.25" customHeight="1" x14ac:dyDescent="0.25">
      <c r="A737" s="16"/>
      <c r="B737" s="16"/>
      <c r="C737" s="16"/>
      <c r="D737" s="16"/>
    </row>
    <row r="738" spans="1:4" ht="14.25" customHeight="1" x14ac:dyDescent="0.25">
      <c r="A738" s="16"/>
      <c r="B738" s="16"/>
      <c r="C738" s="16"/>
      <c r="D738" s="16"/>
    </row>
    <row r="739" spans="1:4" ht="14.25" customHeight="1" x14ac:dyDescent="0.25">
      <c r="A739" s="16"/>
      <c r="B739" s="16"/>
      <c r="C739" s="16"/>
      <c r="D739" s="16"/>
    </row>
    <row r="740" spans="1:4" ht="14.25" customHeight="1" x14ac:dyDescent="0.25">
      <c r="A740" s="16"/>
      <c r="B740" s="16"/>
      <c r="C740" s="16"/>
      <c r="D740" s="16"/>
    </row>
    <row r="741" spans="1:4" ht="14.25" customHeight="1" x14ac:dyDescent="0.25">
      <c r="A741" s="16"/>
      <c r="B741" s="16"/>
      <c r="C741" s="16"/>
      <c r="D741" s="16"/>
    </row>
    <row r="742" spans="1:4" ht="14.25" customHeight="1" x14ac:dyDescent="0.25">
      <c r="A742" s="16"/>
      <c r="B742" s="16"/>
      <c r="C742" s="16"/>
      <c r="D742" s="16"/>
    </row>
    <row r="743" spans="1:4" ht="14.25" customHeight="1" x14ac:dyDescent="0.25">
      <c r="A743" s="16"/>
      <c r="B743" s="16"/>
      <c r="C743" s="16"/>
      <c r="D743" s="16"/>
    </row>
    <row r="744" spans="1:4" ht="14.25" customHeight="1" x14ac:dyDescent="0.25">
      <c r="A744" s="16"/>
      <c r="B744" s="16"/>
      <c r="C744" s="16"/>
      <c r="D744" s="16"/>
    </row>
    <row r="745" spans="1:4" ht="14.25" customHeight="1" x14ac:dyDescent="0.25">
      <c r="A745" s="16"/>
      <c r="B745" s="16"/>
      <c r="C745" s="16"/>
      <c r="D745" s="16"/>
    </row>
    <row r="746" spans="1:4" ht="14.25" customHeight="1" x14ac:dyDescent="0.25">
      <c r="A746" s="16"/>
      <c r="B746" s="16"/>
      <c r="C746" s="16"/>
      <c r="D746" s="16"/>
    </row>
    <row r="747" spans="1:4" ht="14.25" customHeight="1" x14ac:dyDescent="0.25">
      <c r="A747" s="16"/>
      <c r="B747" s="16"/>
      <c r="C747" s="16"/>
      <c r="D747" s="16"/>
    </row>
    <row r="748" spans="1:4" ht="14.25" customHeight="1" x14ac:dyDescent="0.25">
      <c r="A748" s="16"/>
      <c r="B748" s="16"/>
      <c r="C748" s="16"/>
      <c r="D748" s="16"/>
    </row>
    <row r="749" spans="1:4" ht="14.25" customHeight="1" x14ac:dyDescent="0.25">
      <c r="A749" s="16"/>
      <c r="B749" s="16"/>
      <c r="C749" s="16"/>
      <c r="D749" s="16"/>
    </row>
    <row r="750" spans="1:4" ht="14.25" customHeight="1" x14ac:dyDescent="0.25">
      <c r="A750" s="16"/>
      <c r="B750" s="16"/>
      <c r="C750" s="16"/>
      <c r="D750" s="16"/>
    </row>
    <row r="751" spans="1:4" ht="14.25" customHeight="1" x14ac:dyDescent="0.25">
      <c r="A751" s="16"/>
      <c r="B751" s="16"/>
      <c r="C751" s="16"/>
      <c r="D751" s="16"/>
    </row>
    <row r="752" spans="1:4" ht="14.25" customHeight="1" x14ac:dyDescent="0.25">
      <c r="A752" s="16"/>
      <c r="B752" s="16"/>
      <c r="C752" s="16"/>
      <c r="D752" s="16"/>
    </row>
    <row r="753" spans="1:4" ht="14.25" customHeight="1" x14ac:dyDescent="0.25">
      <c r="A753" s="16"/>
      <c r="B753" s="16"/>
      <c r="C753" s="16"/>
      <c r="D753" s="16"/>
    </row>
    <row r="754" spans="1:4" ht="14.25" customHeight="1" x14ac:dyDescent="0.25">
      <c r="A754" s="16"/>
      <c r="B754" s="16"/>
      <c r="C754" s="16"/>
      <c r="D754" s="16"/>
    </row>
    <row r="755" spans="1:4" ht="14.25" customHeight="1" x14ac:dyDescent="0.25">
      <c r="A755" s="16"/>
      <c r="B755" s="16"/>
      <c r="C755" s="16"/>
      <c r="D755" s="16"/>
    </row>
    <row r="756" spans="1:4" ht="14.25" customHeight="1" x14ac:dyDescent="0.25">
      <c r="A756" s="16"/>
      <c r="B756" s="16"/>
      <c r="C756" s="16"/>
      <c r="D756" s="16"/>
    </row>
    <row r="757" spans="1:4" ht="14.25" customHeight="1" x14ac:dyDescent="0.25">
      <c r="A757" s="16"/>
      <c r="B757" s="16"/>
      <c r="C757" s="16"/>
      <c r="D757" s="16"/>
    </row>
    <row r="758" spans="1:4" ht="14.25" customHeight="1" x14ac:dyDescent="0.25">
      <c r="A758" s="16"/>
      <c r="B758" s="16"/>
      <c r="C758" s="16"/>
      <c r="D758" s="16"/>
    </row>
    <row r="759" spans="1:4" ht="14.25" customHeight="1" x14ac:dyDescent="0.25">
      <c r="A759" s="16"/>
      <c r="B759" s="16"/>
      <c r="C759" s="16"/>
      <c r="D759" s="16"/>
    </row>
    <row r="760" spans="1:4" ht="14.25" customHeight="1" x14ac:dyDescent="0.25">
      <c r="A760" s="16"/>
      <c r="B760" s="16"/>
      <c r="C760" s="16"/>
      <c r="D760" s="16"/>
    </row>
    <row r="761" spans="1:4" ht="14.25" customHeight="1" x14ac:dyDescent="0.25">
      <c r="A761" s="16"/>
      <c r="B761" s="16"/>
      <c r="C761" s="16"/>
      <c r="D761" s="16"/>
    </row>
    <row r="762" spans="1:4" ht="14.25" customHeight="1" x14ac:dyDescent="0.25">
      <c r="A762" s="16"/>
      <c r="B762" s="16"/>
      <c r="C762" s="16"/>
      <c r="D762" s="16"/>
    </row>
    <row r="763" spans="1:4" ht="14.25" customHeight="1" x14ac:dyDescent="0.25">
      <c r="A763" s="16"/>
      <c r="B763" s="16"/>
      <c r="C763" s="16"/>
      <c r="D763" s="16"/>
    </row>
    <row r="764" spans="1:4" ht="14.25" customHeight="1" x14ac:dyDescent="0.25">
      <c r="A764" s="16"/>
      <c r="B764" s="16"/>
      <c r="C764" s="16"/>
      <c r="D764" s="16"/>
    </row>
    <row r="765" spans="1:4" ht="14.25" customHeight="1" x14ac:dyDescent="0.25">
      <c r="A765" s="16"/>
      <c r="B765" s="16"/>
      <c r="C765" s="16"/>
      <c r="D765" s="16"/>
    </row>
    <row r="766" spans="1:4" ht="14.25" customHeight="1" x14ac:dyDescent="0.25">
      <c r="A766" s="16"/>
      <c r="B766" s="16"/>
      <c r="C766" s="16"/>
      <c r="D766" s="16"/>
    </row>
    <row r="767" spans="1:4" ht="14.25" customHeight="1" x14ac:dyDescent="0.25">
      <c r="A767" s="16"/>
      <c r="B767" s="16"/>
      <c r="C767" s="16"/>
      <c r="D767" s="16"/>
    </row>
    <row r="768" spans="1:4" ht="14.25" customHeight="1" x14ac:dyDescent="0.25">
      <c r="A768" s="16"/>
      <c r="B768" s="16"/>
      <c r="C768" s="16"/>
      <c r="D768" s="16"/>
    </row>
    <row r="769" spans="1:4" ht="14.25" customHeight="1" x14ac:dyDescent="0.25">
      <c r="A769" s="16"/>
      <c r="B769" s="16"/>
      <c r="C769" s="16"/>
      <c r="D769" s="16"/>
    </row>
    <row r="770" spans="1:4" ht="14.25" customHeight="1" x14ac:dyDescent="0.25">
      <c r="A770" s="16"/>
      <c r="B770" s="16"/>
      <c r="C770" s="16"/>
      <c r="D770" s="16"/>
    </row>
    <row r="771" spans="1:4" ht="14.25" customHeight="1" x14ac:dyDescent="0.25">
      <c r="A771" s="16"/>
      <c r="B771" s="16"/>
      <c r="C771" s="16"/>
      <c r="D771" s="16"/>
    </row>
    <row r="772" spans="1:4" ht="14.25" customHeight="1" x14ac:dyDescent="0.25">
      <c r="A772" s="16"/>
      <c r="B772" s="16"/>
      <c r="C772" s="16"/>
      <c r="D772" s="16"/>
    </row>
    <row r="773" spans="1:4" ht="14.25" customHeight="1" x14ac:dyDescent="0.25">
      <c r="A773" s="16"/>
      <c r="B773" s="16"/>
      <c r="C773" s="16"/>
      <c r="D773" s="16"/>
    </row>
    <row r="774" spans="1:4" ht="14.25" customHeight="1" x14ac:dyDescent="0.25">
      <c r="A774" s="16"/>
      <c r="B774" s="16"/>
      <c r="C774" s="16"/>
      <c r="D774" s="16"/>
    </row>
    <row r="775" spans="1:4" ht="14.25" customHeight="1" x14ac:dyDescent="0.25">
      <c r="A775" s="16"/>
      <c r="B775" s="16"/>
      <c r="C775" s="16"/>
      <c r="D775" s="16"/>
    </row>
    <row r="776" spans="1:4" ht="14.25" customHeight="1" x14ac:dyDescent="0.25">
      <c r="A776" s="16"/>
      <c r="B776" s="16"/>
      <c r="C776" s="16"/>
      <c r="D776" s="16"/>
    </row>
    <row r="777" spans="1:4" ht="14.25" customHeight="1" x14ac:dyDescent="0.25">
      <c r="A777" s="16"/>
      <c r="B777" s="16"/>
      <c r="C777" s="16"/>
      <c r="D777" s="16"/>
    </row>
    <row r="778" spans="1:4" ht="14.25" customHeight="1" x14ac:dyDescent="0.25">
      <c r="A778" s="16"/>
      <c r="B778" s="16"/>
      <c r="C778" s="16"/>
      <c r="D778" s="16"/>
    </row>
    <row r="779" spans="1:4" ht="14.25" customHeight="1" x14ac:dyDescent="0.25">
      <c r="A779" s="16"/>
      <c r="B779" s="16"/>
      <c r="C779" s="16"/>
      <c r="D779" s="16"/>
    </row>
    <row r="780" spans="1:4" ht="14.25" customHeight="1" x14ac:dyDescent="0.25">
      <c r="A780" s="16"/>
      <c r="B780" s="16"/>
      <c r="C780" s="16"/>
      <c r="D780" s="16"/>
    </row>
    <row r="781" spans="1:4" ht="14.25" customHeight="1" x14ac:dyDescent="0.25">
      <c r="A781" s="16"/>
      <c r="B781" s="16"/>
      <c r="C781" s="16"/>
      <c r="D781" s="16"/>
    </row>
    <row r="782" spans="1:4" ht="14.25" customHeight="1" x14ac:dyDescent="0.25">
      <c r="A782" s="16"/>
      <c r="B782" s="16"/>
      <c r="C782" s="16"/>
      <c r="D782" s="16"/>
    </row>
    <row r="783" spans="1:4" ht="14.25" customHeight="1" x14ac:dyDescent="0.25">
      <c r="A783" s="16"/>
      <c r="B783" s="16"/>
      <c r="C783" s="16"/>
      <c r="D783" s="16"/>
    </row>
    <row r="784" spans="1:4" ht="14.25" customHeight="1" x14ac:dyDescent="0.25">
      <c r="A784" s="16"/>
      <c r="B784" s="16"/>
      <c r="C784" s="16"/>
      <c r="D784" s="16"/>
    </row>
    <row r="785" spans="1:4" ht="14.25" customHeight="1" x14ac:dyDescent="0.25">
      <c r="A785" s="16"/>
      <c r="B785" s="16"/>
      <c r="C785" s="16"/>
      <c r="D785" s="16"/>
    </row>
    <row r="786" spans="1:4" ht="14.25" customHeight="1" x14ac:dyDescent="0.25">
      <c r="A786" s="16"/>
      <c r="B786" s="16"/>
      <c r="C786" s="16"/>
      <c r="D786" s="16"/>
    </row>
    <row r="787" spans="1:4" ht="14.25" customHeight="1" x14ac:dyDescent="0.25">
      <c r="A787" s="16"/>
      <c r="B787" s="16"/>
      <c r="C787" s="16"/>
      <c r="D787" s="16"/>
    </row>
    <row r="788" spans="1:4" ht="14.25" customHeight="1" x14ac:dyDescent="0.25">
      <c r="A788" s="16"/>
      <c r="B788" s="16"/>
      <c r="C788" s="16"/>
      <c r="D788" s="16"/>
    </row>
    <row r="789" spans="1:4" ht="14.25" customHeight="1" x14ac:dyDescent="0.25">
      <c r="A789" s="16"/>
      <c r="B789" s="16"/>
      <c r="C789" s="16"/>
      <c r="D789" s="16"/>
    </row>
    <row r="790" spans="1:4" ht="14.25" customHeight="1" x14ac:dyDescent="0.25">
      <c r="A790" s="16"/>
      <c r="B790" s="16"/>
      <c r="C790" s="16"/>
      <c r="D790" s="16"/>
    </row>
    <row r="791" spans="1:4" ht="14.25" customHeight="1" x14ac:dyDescent="0.25">
      <c r="A791" s="16"/>
      <c r="B791" s="16"/>
      <c r="C791" s="16"/>
      <c r="D791" s="16"/>
    </row>
    <row r="792" spans="1:4" ht="14.25" customHeight="1" x14ac:dyDescent="0.25">
      <c r="A792" s="16"/>
      <c r="B792" s="16"/>
      <c r="C792" s="16"/>
      <c r="D792" s="16"/>
    </row>
    <row r="793" spans="1:4" ht="14.25" customHeight="1" x14ac:dyDescent="0.25">
      <c r="A793" s="16"/>
      <c r="B793" s="16"/>
      <c r="C793" s="16"/>
      <c r="D793" s="16"/>
    </row>
    <row r="794" spans="1:4" ht="14.25" customHeight="1" x14ac:dyDescent="0.25">
      <c r="A794" s="16"/>
      <c r="B794" s="16"/>
      <c r="C794" s="16"/>
      <c r="D794" s="16"/>
    </row>
    <row r="795" spans="1:4" ht="14.25" customHeight="1" x14ac:dyDescent="0.25">
      <c r="A795" s="16"/>
      <c r="B795" s="16"/>
      <c r="C795" s="16"/>
      <c r="D795" s="16"/>
    </row>
    <row r="796" spans="1:4" ht="14.25" customHeight="1" x14ac:dyDescent="0.25">
      <c r="A796" s="16"/>
      <c r="B796" s="16"/>
      <c r="C796" s="16"/>
      <c r="D796" s="16"/>
    </row>
    <row r="797" spans="1:4" ht="14.25" customHeight="1" x14ac:dyDescent="0.25">
      <c r="A797" s="16"/>
      <c r="B797" s="16"/>
      <c r="C797" s="16"/>
      <c r="D797" s="16"/>
    </row>
    <row r="798" spans="1:4" ht="14.25" customHeight="1" x14ac:dyDescent="0.25">
      <c r="A798" s="16"/>
      <c r="B798" s="16"/>
      <c r="C798" s="16"/>
      <c r="D798" s="16"/>
    </row>
    <row r="799" spans="1:4" ht="14.25" customHeight="1" x14ac:dyDescent="0.25">
      <c r="A799" s="16"/>
      <c r="B799" s="16"/>
      <c r="C799" s="16"/>
      <c r="D799" s="16"/>
    </row>
    <row r="800" spans="1:4" ht="14.25" customHeight="1" x14ac:dyDescent="0.25">
      <c r="A800" s="16"/>
      <c r="B800" s="16"/>
      <c r="C800" s="16"/>
      <c r="D800" s="16"/>
    </row>
    <row r="801" spans="1:4" ht="14.25" customHeight="1" x14ac:dyDescent="0.25">
      <c r="A801" s="16"/>
      <c r="B801" s="16"/>
      <c r="C801" s="16"/>
      <c r="D801" s="16"/>
    </row>
    <row r="802" spans="1:4" ht="14.25" customHeight="1" x14ac:dyDescent="0.25">
      <c r="A802" s="16"/>
      <c r="B802" s="16"/>
      <c r="C802" s="16"/>
      <c r="D802" s="16"/>
    </row>
    <row r="803" spans="1:4" ht="14.25" customHeight="1" x14ac:dyDescent="0.25">
      <c r="A803" s="16"/>
      <c r="B803" s="16"/>
      <c r="C803" s="16"/>
      <c r="D803" s="16"/>
    </row>
    <row r="804" spans="1:4" ht="14.25" customHeight="1" x14ac:dyDescent="0.25">
      <c r="A804" s="16"/>
      <c r="B804" s="16"/>
      <c r="C804" s="16"/>
      <c r="D804" s="16"/>
    </row>
    <row r="805" spans="1:4" ht="14.25" customHeight="1" x14ac:dyDescent="0.25">
      <c r="A805" s="16"/>
      <c r="B805" s="16"/>
      <c r="C805" s="16"/>
      <c r="D805" s="16"/>
    </row>
    <row r="806" spans="1:4" ht="14.25" customHeight="1" x14ac:dyDescent="0.25">
      <c r="A806" s="16"/>
      <c r="B806" s="16"/>
      <c r="C806" s="16"/>
      <c r="D806" s="16"/>
    </row>
    <row r="807" spans="1:4" ht="14.25" customHeight="1" x14ac:dyDescent="0.25">
      <c r="A807" s="16"/>
      <c r="B807" s="16"/>
      <c r="C807" s="16"/>
      <c r="D807" s="16"/>
    </row>
    <row r="808" spans="1:4" ht="14.25" customHeight="1" x14ac:dyDescent="0.25">
      <c r="A808" s="16"/>
      <c r="B808" s="16"/>
      <c r="C808" s="16"/>
      <c r="D808" s="16"/>
    </row>
    <row r="809" spans="1:4" ht="14.25" customHeight="1" x14ac:dyDescent="0.25">
      <c r="A809" s="16"/>
      <c r="B809" s="16"/>
      <c r="C809" s="16"/>
      <c r="D809" s="16"/>
    </row>
    <row r="810" spans="1:4" ht="14.25" customHeight="1" x14ac:dyDescent="0.25">
      <c r="A810" s="16"/>
      <c r="B810" s="16"/>
      <c r="C810" s="16"/>
      <c r="D810" s="16"/>
    </row>
    <row r="811" spans="1:4" ht="14.25" customHeight="1" x14ac:dyDescent="0.25">
      <c r="A811" s="16"/>
      <c r="B811" s="16"/>
      <c r="C811" s="16"/>
      <c r="D811" s="16"/>
    </row>
    <row r="812" spans="1:4" ht="14.25" customHeight="1" x14ac:dyDescent="0.25">
      <c r="A812" s="16"/>
      <c r="B812" s="16"/>
      <c r="C812" s="16"/>
      <c r="D812" s="16"/>
    </row>
    <row r="813" spans="1:4" ht="14.25" customHeight="1" x14ac:dyDescent="0.25">
      <c r="A813" s="16"/>
      <c r="B813" s="16"/>
      <c r="C813" s="16"/>
      <c r="D813" s="16"/>
    </row>
    <row r="814" spans="1:4" ht="14.25" customHeight="1" x14ac:dyDescent="0.25">
      <c r="A814" s="16"/>
      <c r="B814" s="16"/>
      <c r="C814" s="16"/>
      <c r="D814" s="16"/>
    </row>
    <row r="815" spans="1:4" ht="14.25" customHeight="1" x14ac:dyDescent="0.25">
      <c r="A815" s="16"/>
      <c r="B815" s="16"/>
      <c r="C815" s="16"/>
      <c r="D815" s="16"/>
    </row>
    <row r="816" spans="1:4" ht="14.25" customHeight="1" x14ac:dyDescent="0.25">
      <c r="A816" s="16"/>
      <c r="B816" s="16"/>
      <c r="C816" s="16"/>
      <c r="D816" s="16"/>
    </row>
    <row r="817" spans="1:4" ht="14.25" customHeight="1" x14ac:dyDescent="0.25">
      <c r="A817" s="16"/>
      <c r="B817" s="16"/>
      <c r="C817" s="16"/>
      <c r="D817" s="16"/>
    </row>
    <row r="818" spans="1:4" ht="14.25" customHeight="1" x14ac:dyDescent="0.25">
      <c r="A818" s="16"/>
      <c r="B818" s="16"/>
      <c r="C818" s="16"/>
      <c r="D818" s="16"/>
    </row>
    <row r="819" spans="1:4" ht="14.25" customHeight="1" x14ac:dyDescent="0.25">
      <c r="A819" s="16"/>
      <c r="B819" s="16"/>
      <c r="C819" s="16"/>
      <c r="D819" s="16"/>
    </row>
    <row r="820" spans="1:4" ht="14.25" customHeight="1" x14ac:dyDescent="0.25">
      <c r="A820" s="16"/>
      <c r="B820" s="16"/>
      <c r="C820" s="16"/>
      <c r="D820" s="16"/>
    </row>
    <row r="821" spans="1:4" ht="14.25" customHeight="1" x14ac:dyDescent="0.25">
      <c r="A821" s="16"/>
      <c r="B821" s="16"/>
      <c r="C821" s="16"/>
      <c r="D821" s="16"/>
    </row>
    <row r="822" spans="1:4" ht="14.25" customHeight="1" x14ac:dyDescent="0.25">
      <c r="A822" s="16"/>
      <c r="B822" s="16"/>
      <c r="C822" s="16"/>
      <c r="D822" s="16"/>
    </row>
    <row r="823" spans="1:4" ht="14.25" customHeight="1" x14ac:dyDescent="0.25">
      <c r="A823" s="16"/>
      <c r="B823" s="16"/>
      <c r="C823" s="16"/>
      <c r="D823" s="16"/>
    </row>
    <row r="824" spans="1:4" ht="14.25" customHeight="1" x14ac:dyDescent="0.25">
      <c r="A824" s="16"/>
      <c r="B824" s="16"/>
      <c r="C824" s="16"/>
      <c r="D824" s="16"/>
    </row>
    <row r="825" spans="1:4" ht="14.25" customHeight="1" x14ac:dyDescent="0.25">
      <c r="A825" s="16"/>
      <c r="B825" s="16"/>
      <c r="C825" s="16"/>
      <c r="D825" s="16"/>
    </row>
    <row r="826" spans="1:4" ht="14.25" customHeight="1" x14ac:dyDescent="0.25">
      <c r="A826" s="16"/>
      <c r="B826" s="16"/>
      <c r="C826" s="16"/>
      <c r="D826" s="16"/>
    </row>
    <row r="827" spans="1:4" ht="14.25" customHeight="1" x14ac:dyDescent="0.25">
      <c r="A827" s="16"/>
      <c r="B827" s="16"/>
      <c r="C827" s="16"/>
      <c r="D827" s="16"/>
    </row>
    <row r="828" spans="1:4" ht="14.25" customHeight="1" x14ac:dyDescent="0.25">
      <c r="A828" s="16"/>
      <c r="B828" s="16"/>
      <c r="C828" s="16"/>
      <c r="D828" s="16"/>
    </row>
    <row r="829" spans="1:4" ht="14.25" customHeight="1" x14ac:dyDescent="0.25">
      <c r="A829" s="16"/>
      <c r="B829" s="16"/>
      <c r="C829" s="16"/>
      <c r="D829" s="16"/>
    </row>
    <row r="830" spans="1:4" ht="14.25" customHeight="1" x14ac:dyDescent="0.25">
      <c r="A830" s="16"/>
      <c r="B830" s="16"/>
      <c r="C830" s="16"/>
      <c r="D830" s="16"/>
    </row>
    <row r="831" spans="1:4" ht="14.25" customHeight="1" x14ac:dyDescent="0.25">
      <c r="A831" s="16"/>
      <c r="B831" s="16"/>
      <c r="C831" s="16"/>
      <c r="D831" s="16"/>
    </row>
    <row r="832" spans="1:4" ht="14.25" customHeight="1" x14ac:dyDescent="0.25">
      <c r="A832" s="16"/>
      <c r="B832" s="16"/>
      <c r="C832" s="16"/>
      <c r="D832" s="16"/>
    </row>
    <row r="833" spans="1:4" ht="14.25" customHeight="1" x14ac:dyDescent="0.25">
      <c r="A833" s="16"/>
      <c r="B833" s="16"/>
      <c r="C833" s="16"/>
      <c r="D833" s="16"/>
    </row>
    <row r="834" spans="1:4" ht="14.25" customHeight="1" x14ac:dyDescent="0.25">
      <c r="A834" s="16"/>
      <c r="B834" s="16"/>
      <c r="C834" s="16"/>
      <c r="D834" s="16"/>
    </row>
    <row r="835" spans="1:4" ht="14.25" customHeight="1" x14ac:dyDescent="0.25">
      <c r="A835" s="16"/>
      <c r="B835" s="16"/>
      <c r="C835" s="16"/>
      <c r="D835" s="16"/>
    </row>
    <row r="836" spans="1:4" ht="14.25" customHeight="1" x14ac:dyDescent="0.25">
      <c r="A836" s="16"/>
      <c r="B836" s="16"/>
      <c r="C836" s="16"/>
      <c r="D836" s="16"/>
    </row>
    <row r="837" spans="1:4" ht="14.25" customHeight="1" x14ac:dyDescent="0.25">
      <c r="A837" s="16"/>
      <c r="B837" s="16"/>
      <c r="C837" s="16"/>
      <c r="D837" s="16"/>
    </row>
    <row r="838" spans="1:4" ht="14.25" customHeight="1" x14ac:dyDescent="0.25">
      <c r="A838" s="16"/>
      <c r="B838" s="16"/>
      <c r="C838" s="16"/>
      <c r="D838" s="16"/>
    </row>
    <row r="839" spans="1:4" ht="14.25" customHeight="1" x14ac:dyDescent="0.25">
      <c r="A839" s="16"/>
      <c r="B839" s="16"/>
      <c r="C839" s="16"/>
      <c r="D839" s="16"/>
    </row>
    <row r="840" spans="1:4" ht="14.25" customHeight="1" x14ac:dyDescent="0.25">
      <c r="A840" s="16"/>
      <c r="B840" s="16"/>
      <c r="C840" s="16"/>
      <c r="D840" s="16"/>
    </row>
    <row r="841" spans="1:4" ht="14.25" customHeight="1" x14ac:dyDescent="0.25">
      <c r="A841" s="16"/>
      <c r="B841" s="16"/>
      <c r="C841" s="16"/>
      <c r="D841" s="16"/>
    </row>
    <row r="842" spans="1:4" ht="14.25" customHeight="1" x14ac:dyDescent="0.25">
      <c r="A842" s="16"/>
      <c r="B842" s="16"/>
      <c r="C842" s="16"/>
      <c r="D842" s="16"/>
    </row>
    <row r="843" spans="1:4" ht="14.25" customHeight="1" x14ac:dyDescent="0.25">
      <c r="A843" s="16"/>
      <c r="B843" s="16"/>
      <c r="C843" s="16"/>
      <c r="D843" s="16"/>
    </row>
    <row r="844" spans="1:4" ht="14.25" customHeight="1" x14ac:dyDescent="0.25">
      <c r="A844" s="16"/>
      <c r="B844" s="16"/>
      <c r="C844" s="16"/>
      <c r="D844" s="16"/>
    </row>
    <row r="845" spans="1:4" ht="14.25" customHeight="1" x14ac:dyDescent="0.25">
      <c r="A845" s="16"/>
      <c r="B845" s="16"/>
      <c r="C845" s="16"/>
      <c r="D845" s="16"/>
    </row>
    <row r="846" spans="1:4" ht="14.25" customHeight="1" x14ac:dyDescent="0.25">
      <c r="A846" s="16"/>
      <c r="B846" s="16"/>
      <c r="C846" s="16"/>
      <c r="D846" s="16"/>
    </row>
    <row r="847" spans="1:4" ht="14.25" customHeight="1" x14ac:dyDescent="0.25">
      <c r="A847" s="16"/>
      <c r="B847" s="16"/>
      <c r="C847" s="16"/>
      <c r="D847" s="16"/>
    </row>
    <row r="848" spans="1:4" ht="14.25" customHeight="1" x14ac:dyDescent="0.25">
      <c r="A848" s="16"/>
      <c r="B848" s="16"/>
      <c r="C848" s="16"/>
      <c r="D848" s="16"/>
    </row>
    <row r="849" spans="1:4" ht="14.25" customHeight="1" x14ac:dyDescent="0.25">
      <c r="A849" s="16"/>
      <c r="B849" s="16"/>
      <c r="C849" s="16"/>
      <c r="D849" s="16"/>
    </row>
    <row r="850" spans="1:4" ht="14.25" customHeight="1" x14ac:dyDescent="0.25">
      <c r="A850" s="16"/>
      <c r="B850" s="16"/>
      <c r="C850" s="16"/>
      <c r="D850" s="16"/>
    </row>
    <row r="851" spans="1:4" ht="14.25" customHeight="1" x14ac:dyDescent="0.25">
      <c r="A851" s="16"/>
      <c r="B851" s="16"/>
      <c r="C851" s="16"/>
      <c r="D851" s="16"/>
    </row>
    <row r="852" spans="1:4" ht="14.25" customHeight="1" x14ac:dyDescent="0.25">
      <c r="A852" s="16"/>
      <c r="B852" s="16"/>
      <c r="C852" s="16"/>
      <c r="D852" s="16"/>
    </row>
    <row r="853" spans="1:4" ht="14.25" customHeight="1" x14ac:dyDescent="0.25">
      <c r="A853" s="16"/>
      <c r="B853" s="16"/>
      <c r="C853" s="16"/>
      <c r="D853" s="16"/>
    </row>
    <row r="854" spans="1:4" ht="14.25" customHeight="1" x14ac:dyDescent="0.25">
      <c r="A854" s="16"/>
      <c r="B854" s="16"/>
      <c r="C854" s="16"/>
      <c r="D854" s="16"/>
    </row>
    <row r="855" spans="1:4" ht="14.25" customHeight="1" x14ac:dyDescent="0.25">
      <c r="A855" s="16"/>
      <c r="B855" s="16"/>
      <c r="C855" s="16"/>
      <c r="D855" s="16"/>
    </row>
    <row r="856" spans="1:4" ht="14.25" customHeight="1" x14ac:dyDescent="0.25">
      <c r="A856" s="16"/>
      <c r="B856" s="16"/>
      <c r="C856" s="16"/>
      <c r="D856" s="16"/>
    </row>
    <row r="857" spans="1:4" ht="14.25" customHeight="1" x14ac:dyDescent="0.25">
      <c r="A857" s="16"/>
      <c r="B857" s="16"/>
      <c r="C857" s="16"/>
      <c r="D857" s="16"/>
    </row>
    <row r="858" spans="1:4" ht="14.25" customHeight="1" x14ac:dyDescent="0.25">
      <c r="A858" s="16"/>
      <c r="B858" s="16"/>
      <c r="C858" s="16"/>
      <c r="D858" s="16"/>
    </row>
    <row r="859" spans="1:4" ht="14.25" customHeight="1" x14ac:dyDescent="0.25">
      <c r="A859" s="16"/>
      <c r="B859" s="16"/>
      <c r="C859" s="16"/>
      <c r="D859" s="16"/>
    </row>
    <row r="860" spans="1:4" ht="14.25" customHeight="1" x14ac:dyDescent="0.25">
      <c r="A860" s="16"/>
      <c r="B860" s="16"/>
      <c r="C860" s="16"/>
      <c r="D860" s="16"/>
    </row>
    <row r="861" spans="1:4" ht="14.25" customHeight="1" x14ac:dyDescent="0.25">
      <c r="A861" s="16"/>
      <c r="B861" s="16"/>
      <c r="C861" s="16"/>
      <c r="D861" s="16"/>
    </row>
    <row r="862" spans="1:4" ht="14.25" customHeight="1" x14ac:dyDescent="0.25">
      <c r="A862" s="16"/>
      <c r="B862" s="16"/>
      <c r="C862" s="16"/>
      <c r="D862" s="16"/>
    </row>
    <row r="863" spans="1:4" ht="14.25" customHeight="1" x14ac:dyDescent="0.25">
      <c r="A863" s="16"/>
      <c r="B863" s="16"/>
      <c r="C863" s="16"/>
      <c r="D863" s="16"/>
    </row>
    <row r="864" spans="1:4" ht="14.25" customHeight="1" x14ac:dyDescent="0.25">
      <c r="A864" s="16"/>
      <c r="B864" s="16"/>
      <c r="C864" s="16"/>
      <c r="D864" s="16"/>
    </row>
    <row r="865" spans="1:4" ht="14.25" customHeight="1" x14ac:dyDescent="0.25">
      <c r="A865" s="16"/>
      <c r="B865" s="16"/>
      <c r="C865" s="16"/>
      <c r="D865" s="16"/>
    </row>
    <row r="866" spans="1:4" ht="14.25" customHeight="1" x14ac:dyDescent="0.25">
      <c r="A866" s="16"/>
      <c r="B866" s="16"/>
      <c r="C866" s="16"/>
      <c r="D866" s="16"/>
    </row>
    <row r="867" spans="1:4" ht="14.25" customHeight="1" x14ac:dyDescent="0.25">
      <c r="A867" s="16"/>
      <c r="B867" s="16"/>
      <c r="C867" s="16"/>
      <c r="D867" s="16"/>
    </row>
    <row r="868" spans="1:4" ht="14.25" customHeight="1" x14ac:dyDescent="0.25">
      <c r="A868" s="16"/>
      <c r="B868" s="16"/>
      <c r="C868" s="16"/>
      <c r="D868" s="16"/>
    </row>
    <row r="869" spans="1:4" ht="14.25" customHeight="1" x14ac:dyDescent="0.25">
      <c r="A869" s="16"/>
      <c r="B869" s="16"/>
      <c r="C869" s="16"/>
      <c r="D869" s="16"/>
    </row>
    <row r="870" spans="1:4" ht="14.25" customHeight="1" x14ac:dyDescent="0.25">
      <c r="A870" s="16"/>
      <c r="B870" s="16"/>
      <c r="C870" s="16"/>
      <c r="D870" s="16"/>
    </row>
    <row r="871" spans="1:4" ht="14.25" customHeight="1" x14ac:dyDescent="0.25">
      <c r="A871" s="16"/>
      <c r="B871" s="16"/>
      <c r="C871" s="16"/>
      <c r="D871" s="16"/>
    </row>
    <row r="872" spans="1:4" ht="14.25" customHeight="1" x14ac:dyDescent="0.25">
      <c r="A872" s="16"/>
      <c r="B872" s="16"/>
      <c r="C872" s="16"/>
      <c r="D872" s="16"/>
    </row>
    <row r="873" spans="1:4" ht="14.25" customHeight="1" x14ac:dyDescent="0.25">
      <c r="A873" s="16"/>
      <c r="B873" s="16"/>
      <c r="C873" s="16"/>
      <c r="D873" s="16"/>
    </row>
    <row r="874" spans="1:4" ht="14.25" customHeight="1" x14ac:dyDescent="0.25">
      <c r="A874" s="16"/>
      <c r="B874" s="16"/>
      <c r="C874" s="16"/>
      <c r="D874" s="16"/>
    </row>
    <row r="875" spans="1:4" ht="14.25" customHeight="1" x14ac:dyDescent="0.25">
      <c r="A875" s="16"/>
      <c r="B875" s="16"/>
      <c r="C875" s="16"/>
      <c r="D875" s="16"/>
    </row>
    <row r="876" spans="1:4" ht="14.25" customHeight="1" x14ac:dyDescent="0.25">
      <c r="A876" s="16"/>
      <c r="B876" s="16"/>
      <c r="C876" s="16"/>
      <c r="D876" s="16"/>
    </row>
    <row r="877" spans="1:4" ht="14.25" customHeight="1" x14ac:dyDescent="0.25">
      <c r="A877" s="16"/>
      <c r="B877" s="16"/>
      <c r="C877" s="16"/>
      <c r="D877" s="16"/>
    </row>
    <row r="878" spans="1:4" ht="14.25" customHeight="1" x14ac:dyDescent="0.25">
      <c r="A878" s="16"/>
      <c r="B878" s="16"/>
      <c r="C878" s="16"/>
      <c r="D878" s="16"/>
    </row>
    <row r="879" spans="1:4" ht="14.25" customHeight="1" x14ac:dyDescent="0.25">
      <c r="A879" s="16"/>
      <c r="B879" s="16"/>
      <c r="C879" s="16"/>
      <c r="D879" s="16"/>
    </row>
    <row r="880" spans="1:4" ht="14.25" customHeight="1" x14ac:dyDescent="0.25">
      <c r="A880" s="16"/>
      <c r="B880" s="16"/>
      <c r="C880" s="16"/>
      <c r="D880" s="16"/>
    </row>
    <row r="881" spans="1:4" ht="14.25" customHeight="1" x14ac:dyDescent="0.25">
      <c r="A881" s="16"/>
      <c r="B881" s="16"/>
      <c r="C881" s="16"/>
      <c r="D881" s="16"/>
    </row>
    <row r="882" spans="1:4" ht="14.25" customHeight="1" x14ac:dyDescent="0.25">
      <c r="A882" s="16"/>
      <c r="B882" s="16"/>
      <c r="C882" s="16"/>
      <c r="D882" s="16"/>
    </row>
    <row r="883" spans="1:4" ht="14.25" customHeight="1" x14ac:dyDescent="0.25">
      <c r="A883" s="16"/>
      <c r="B883" s="16"/>
      <c r="C883" s="16"/>
      <c r="D883" s="16"/>
    </row>
    <row r="884" spans="1:4" ht="14.25" customHeight="1" x14ac:dyDescent="0.25">
      <c r="A884" s="16"/>
      <c r="B884" s="16"/>
      <c r="C884" s="16"/>
      <c r="D884" s="16"/>
    </row>
    <row r="885" spans="1:4" ht="14.25" customHeight="1" x14ac:dyDescent="0.25">
      <c r="A885" s="16"/>
      <c r="B885" s="16"/>
      <c r="C885" s="16"/>
      <c r="D885" s="16"/>
    </row>
    <row r="886" spans="1:4" ht="14.25" customHeight="1" x14ac:dyDescent="0.25">
      <c r="A886" s="16"/>
      <c r="B886" s="16"/>
      <c r="C886" s="16"/>
      <c r="D886" s="16"/>
    </row>
    <row r="887" spans="1:4" ht="14.25" customHeight="1" x14ac:dyDescent="0.25">
      <c r="A887" s="16"/>
      <c r="B887" s="16"/>
      <c r="C887" s="16"/>
      <c r="D887" s="16"/>
    </row>
    <row r="888" spans="1:4" ht="14.25" customHeight="1" x14ac:dyDescent="0.25">
      <c r="A888" s="16"/>
      <c r="B888" s="16"/>
      <c r="C888" s="16"/>
      <c r="D888" s="16"/>
    </row>
    <row r="889" spans="1:4" ht="14.25" customHeight="1" x14ac:dyDescent="0.25">
      <c r="A889" s="16"/>
      <c r="B889" s="16"/>
      <c r="C889" s="16"/>
      <c r="D889" s="16"/>
    </row>
    <row r="890" spans="1:4" ht="14.25" customHeight="1" x14ac:dyDescent="0.25">
      <c r="A890" s="16"/>
      <c r="B890" s="16"/>
      <c r="C890" s="16"/>
      <c r="D890" s="16"/>
    </row>
    <row r="891" spans="1:4" ht="14.25" customHeight="1" x14ac:dyDescent="0.25">
      <c r="A891" s="16"/>
      <c r="B891" s="16"/>
      <c r="C891" s="16"/>
      <c r="D891" s="16"/>
    </row>
    <row r="892" spans="1:4" ht="14.25" customHeight="1" x14ac:dyDescent="0.25">
      <c r="A892" s="16"/>
      <c r="B892" s="16"/>
      <c r="C892" s="16"/>
      <c r="D892" s="16"/>
    </row>
    <row r="893" spans="1:4" ht="14.25" customHeight="1" x14ac:dyDescent="0.25">
      <c r="A893" s="16"/>
      <c r="B893" s="16"/>
      <c r="C893" s="16"/>
      <c r="D893" s="16"/>
    </row>
    <row r="894" spans="1:4" ht="14.25" customHeight="1" x14ac:dyDescent="0.25">
      <c r="A894" s="16"/>
      <c r="B894" s="16"/>
      <c r="C894" s="16"/>
      <c r="D894" s="16"/>
    </row>
    <row r="895" spans="1:4" ht="14.25" customHeight="1" x14ac:dyDescent="0.25">
      <c r="A895" s="16"/>
      <c r="B895" s="16"/>
      <c r="C895" s="16"/>
      <c r="D895" s="16"/>
    </row>
    <row r="896" spans="1:4" ht="14.25" customHeight="1" x14ac:dyDescent="0.25">
      <c r="A896" s="16"/>
      <c r="B896" s="16"/>
      <c r="C896" s="16"/>
      <c r="D896" s="16"/>
    </row>
    <row r="897" spans="1:4" ht="14.25" customHeight="1" x14ac:dyDescent="0.25">
      <c r="A897" s="16"/>
      <c r="B897" s="16"/>
      <c r="C897" s="16"/>
      <c r="D897" s="16"/>
    </row>
    <row r="898" spans="1:4" ht="14.25" customHeight="1" x14ac:dyDescent="0.25">
      <c r="A898" s="16"/>
      <c r="B898" s="16"/>
      <c r="C898" s="16"/>
      <c r="D898" s="16"/>
    </row>
    <row r="899" spans="1:4" ht="14.25" customHeight="1" x14ac:dyDescent="0.25">
      <c r="A899" s="16"/>
      <c r="B899" s="16"/>
      <c r="C899" s="16"/>
      <c r="D899" s="16"/>
    </row>
    <row r="900" spans="1:4" ht="14.25" customHeight="1" x14ac:dyDescent="0.25">
      <c r="A900" s="16"/>
      <c r="B900" s="16"/>
      <c r="C900" s="16"/>
      <c r="D900" s="16"/>
    </row>
    <row r="901" spans="1:4" ht="14.25" customHeight="1" x14ac:dyDescent="0.25">
      <c r="A901" s="16"/>
      <c r="B901" s="16"/>
      <c r="C901" s="16"/>
      <c r="D901" s="16"/>
    </row>
    <row r="902" spans="1:4" ht="14.25" customHeight="1" x14ac:dyDescent="0.25">
      <c r="A902" s="16"/>
      <c r="B902" s="16"/>
      <c r="C902" s="16"/>
      <c r="D902" s="16"/>
    </row>
    <row r="903" spans="1:4" ht="14.25" customHeight="1" x14ac:dyDescent="0.25">
      <c r="A903" s="16"/>
      <c r="B903" s="16"/>
      <c r="C903" s="16"/>
      <c r="D903" s="16"/>
    </row>
    <row r="904" spans="1:4" ht="14.25" customHeight="1" x14ac:dyDescent="0.25">
      <c r="A904" s="16"/>
      <c r="B904" s="16"/>
      <c r="C904" s="16"/>
      <c r="D904" s="16"/>
    </row>
    <row r="905" spans="1:4" ht="14.25" customHeight="1" x14ac:dyDescent="0.25">
      <c r="A905" s="16"/>
      <c r="B905" s="16"/>
      <c r="C905" s="16"/>
      <c r="D905" s="16"/>
    </row>
    <row r="906" spans="1:4" ht="14.25" customHeight="1" x14ac:dyDescent="0.25">
      <c r="A906" s="16"/>
      <c r="B906" s="16"/>
      <c r="C906" s="16"/>
      <c r="D906" s="16"/>
    </row>
    <row r="907" spans="1:4" ht="14.25" customHeight="1" x14ac:dyDescent="0.25">
      <c r="A907" s="16"/>
      <c r="B907" s="16"/>
      <c r="C907" s="16"/>
      <c r="D907" s="16"/>
    </row>
    <row r="908" spans="1:4" ht="14.25" customHeight="1" x14ac:dyDescent="0.25">
      <c r="A908" s="16"/>
      <c r="B908" s="16"/>
      <c r="C908" s="16"/>
      <c r="D908" s="16"/>
    </row>
    <row r="909" spans="1:4" ht="14.25" customHeight="1" x14ac:dyDescent="0.25">
      <c r="A909" s="16"/>
      <c r="B909" s="16"/>
      <c r="C909" s="16"/>
      <c r="D909" s="16"/>
    </row>
    <row r="910" spans="1:4" ht="14.25" customHeight="1" x14ac:dyDescent="0.25">
      <c r="A910" s="16"/>
      <c r="B910" s="16"/>
      <c r="C910" s="16"/>
      <c r="D910" s="16"/>
    </row>
    <row r="911" spans="1:4" ht="14.25" customHeight="1" x14ac:dyDescent="0.25">
      <c r="A911" s="16"/>
      <c r="B911" s="16"/>
      <c r="C911" s="16"/>
      <c r="D911" s="16"/>
    </row>
    <row r="912" spans="1:4" ht="14.25" customHeight="1" x14ac:dyDescent="0.25">
      <c r="A912" s="16"/>
      <c r="B912" s="16"/>
      <c r="C912" s="16"/>
      <c r="D912" s="16"/>
    </row>
    <row r="913" spans="1:4" ht="14.25" customHeight="1" x14ac:dyDescent="0.25">
      <c r="A913" s="16"/>
      <c r="B913" s="16"/>
      <c r="C913" s="16"/>
      <c r="D913" s="16"/>
    </row>
    <row r="914" spans="1:4" ht="14.25" customHeight="1" x14ac:dyDescent="0.25">
      <c r="A914" s="16"/>
      <c r="B914" s="16"/>
      <c r="C914" s="16"/>
      <c r="D914" s="16"/>
    </row>
    <row r="915" spans="1:4" ht="14.25" customHeight="1" x14ac:dyDescent="0.25">
      <c r="A915" s="16"/>
      <c r="B915" s="16"/>
      <c r="C915" s="16"/>
      <c r="D915" s="16"/>
    </row>
    <row r="916" spans="1:4" ht="14.25" customHeight="1" x14ac:dyDescent="0.25">
      <c r="A916" s="16"/>
      <c r="B916" s="16"/>
      <c r="C916" s="16"/>
      <c r="D916" s="16"/>
    </row>
    <row r="917" spans="1:4" ht="14.25" customHeight="1" x14ac:dyDescent="0.25">
      <c r="A917" s="16"/>
      <c r="B917" s="16"/>
      <c r="C917" s="16"/>
      <c r="D917" s="16"/>
    </row>
    <row r="918" spans="1:4" ht="14.25" customHeight="1" x14ac:dyDescent="0.25">
      <c r="A918" s="16"/>
      <c r="B918" s="16"/>
      <c r="C918" s="16"/>
      <c r="D918" s="16"/>
    </row>
    <row r="919" spans="1:4" ht="14.25" customHeight="1" x14ac:dyDescent="0.25">
      <c r="A919" s="16"/>
      <c r="B919" s="16"/>
      <c r="C919" s="16"/>
      <c r="D919" s="16"/>
    </row>
    <row r="920" spans="1:4" ht="14.25" customHeight="1" x14ac:dyDescent="0.25">
      <c r="A920" s="16"/>
      <c r="B920" s="16"/>
      <c r="C920" s="16"/>
      <c r="D920" s="16"/>
    </row>
    <row r="921" spans="1:4" ht="14.25" customHeight="1" x14ac:dyDescent="0.25">
      <c r="A921" s="16"/>
      <c r="B921" s="16"/>
      <c r="C921" s="16"/>
      <c r="D921" s="16"/>
    </row>
    <row r="922" spans="1:4" ht="14.25" customHeight="1" x14ac:dyDescent="0.25">
      <c r="A922" s="16"/>
      <c r="B922" s="16"/>
      <c r="C922" s="16"/>
      <c r="D922" s="16"/>
    </row>
    <row r="923" spans="1:4" ht="14.25" customHeight="1" x14ac:dyDescent="0.25">
      <c r="A923" s="16"/>
      <c r="B923" s="16"/>
      <c r="C923" s="16"/>
      <c r="D923" s="16"/>
    </row>
    <row r="924" spans="1:4" ht="14.25" customHeight="1" x14ac:dyDescent="0.25">
      <c r="A924" s="16"/>
      <c r="B924" s="16"/>
      <c r="C924" s="16"/>
      <c r="D924" s="16"/>
    </row>
    <row r="925" spans="1:4" ht="14.25" customHeight="1" x14ac:dyDescent="0.25">
      <c r="A925" s="16"/>
      <c r="B925" s="16"/>
      <c r="C925" s="16"/>
      <c r="D925" s="16"/>
    </row>
    <row r="926" spans="1:4" ht="14.25" customHeight="1" x14ac:dyDescent="0.25">
      <c r="A926" s="16"/>
      <c r="B926" s="16"/>
      <c r="C926" s="16"/>
      <c r="D926" s="16"/>
    </row>
    <row r="927" spans="1:4" ht="14.25" customHeight="1" x14ac:dyDescent="0.25">
      <c r="A927" s="16"/>
      <c r="B927" s="16"/>
      <c r="C927" s="16"/>
      <c r="D927" s="16"/>
    </row>
    <row r="928" spans="1:4" ht="14.25" customHeight="1" x14ac:dyDescent="0.25">
      <c r="A928" s="16"/>
      <c r="B928" s="16"/>
      <c r="C928" s="16"/>
      <c r="D928" s="16"/>
    </row>
    <row r="929" spans="1:4" ht="14.25" customHeight="1" x14ac:dyDescent="0.25">
      <c r="A929" s="16"/>
      <c r="B929" s="16"/>
      <c r="C929" s="16"/>
      <c r="D929" s="16"/>
    </row>
    <row r="930" spans="1:4" ht="14.25" customHeight="1" x14ac:dyDescent="0.25">
      <c r="A930" s="16"/>
      <c r="B930" s="16"/>
      <c r="C930" s="16"/>
      <c r="D930" s="16"/>
    </row>
    <row r="931" spans="1:4" ht="14.25" customHeight="1" x14ac:dyDescent="0.25">
      <c r="A931" s="16"/>
      <c r="B931" s="16"/>
      <c r="C931" s="16"/>
      <c r="D931" s="16"/>
    </row>
    <row r="932" spans="1:4" ht="14.25" customHeight="1" x14ac:dyDescent="0.25">
      <c r="A932" s="16"/>
      <c r="B932" s="16"/>
      <c r="C932" s="16"/>
      <c r="D932" s="16"/>
    </row>
    <row r="933" spans="1:4" ht="14.25" customHeight="1" x14ac:dyDescent="0.25">
      <c r="A933" s="16"/>
      <c r="B933" s="16"/>
      <c r="C933" s="16"/>
      <c r="D933" s="16"/>
    </row>
    <row r="934" spans="1:4" ht="14.25" customHeight="1" x14ac:dyDescent="0.25">
      <c r="A934" s="16"/>
      <c r="B934" s="16"/>
      <c r="C934" s="16"/>
      <c r="D934" s="16"/>
    </row>
    <row r="935" spans="1:4" ht="14.25" customHeight="1" x14ac:dyDescent="0.25">
      <c r="A935" s="16"/>
      <c r="B935" s="16"/>
      <c r="C935" s="16"/>
      <c r="D935" s="16"/>
    </row>
    <row r="936" spans="1:4" ht="14.25" customHeight="1" x14ac:dyDescent="0.25">
      <c r="A936" s="16"/>
      <c r="B936" s="16"/>
      <c r="C936" s="16"/>
      <c r="D936" s="16"/>
    </row>
    <row r="937" spans="1:4" ht="14.25" customHeight="1" x14ac:dyDescent="0.25">
      <c r="A937" s="16"/>
      <c r="B937" s="16"/>
      <c r="C937" s="16"/>
      <c r="D937" s="16"/>
    </row>
    <row r="938" spans="1:4" ht="14.25" customHeight="1" x14ac:dyDescent="0.25">
      <c r="A938" s="16"/>
      <c r="B938" s="16"/>
      <c r="C938" s="16"/>
      <c r="D938" s="16"/>
    </row>
    <row r="939" spans="1:4" ht="14.25" customHeight="1" x14ac:dyDescent="0.25">
      <c r="A939" s="16"/>
      <c r="B939" s="16"/>
      <c r="C939" s="16"/>
      <c r="D939" s="16"/>
    </row>
    <row r="940" spans="1:4" ht="14.25" customHeight="1" x14ac:dyDescent="0.25">
      <c r="A940" s="16"/>
      <c r="B940" s="16"/>
      <c r="C940" s="16"/>
      <c r="D940" s="16"/>
    </row>
    <row r="941" spans="1:4" ht="14.25" customHeight="1" x14ac:dyDescent="0.25">
      <c r="A941" s="16"/>
      <c r="B941" s="16"/>
      <c r="C941" s="16"/>
      <c r="D941" s="16"/>
    </row>
    <row r="942" spans="1:4" ht="14.25" customHeight="1" x14ac:dyDescent="0.25">
      <c r="A942" s="16"/>
      <c r="B942" s="16"/>
      <c r="C942" s="16"/>
      <c r="D942" s="16"/>
    </row>
    <row r="943" spans="1:4" ht="14.25" customHeight="1" x14ac:dyDescent="0.25">
      <c r="A943" s="16"/>
      <c r="B943" s="16"/>
      <c r="C943" s="16"/>
      <c r="D943" s="16"/>
    </row>
    <row r="944" spans="1:4" ht="14.25" customHeight="1" x14ac:dyDescent="0.25">
      <c r="A944" s="16"/>
      <c r="B944" s="16"/>
      <c r="C944" s="16"/>
      <c r="D944" s="16"/>
    </row>
    <row r="945" spans="1:4" ht="14.25" customHeight="1" x14ac:dyDescent="0.25">
      <c r="A945" s="16"/>
      <c r="B945" s="16"/>
      <c r="C945" s="16"/>
      <c r="D945" s="16"/>
    </row>
    <row r="946" spans="1:4" ht="14.25" customHeight="1" x14ac:dyDescent="0.25">
      <c r="A946" s="16"/>
      <c r="B946" s="16"/>
      <c r="C946" s="16"/>
      <c r="D946" s="16"/>
    </row>
    <row r="947" spans="1:4" ht="14.25" customHeight="1" x14ac:dyDescent="0.25">
      <c r="A947" s="16"/>
      <c r="B947" s="16"/>
      <c r="C947" s="16"/>
      <c r="D947" s="16"/>
    </row>
    <row r="948" spans="1:4" ht="14.25" customHeight="1" x14ac:dyDescent="0.25">
      <c r="A948" s="16"/>
      <c r="B948" s="16"/>
      <c r="C948" s="16"/>
      <c r="D948" s="16"/>
    </row>
    <row r="949" spans="1:4" ht="14.25" customHeight="1" x14ac:dyDescent="0.25">
      <c r="A949" s="16"/>
      <c r="B949" s="16"/>
      <c r="C949" s="16"/>
      <c r="D949" s="16"/>
    </row>
    <row r="950" spans="1:4" ht="14.25" customHeight="1" x14ac:dyDescent="0.25">
      <c r="A950" s="16"/>
      <c r="B950" s="16"/>
      <c r="C950" s="16"/>
      <c r="D950" s="16"/>
    </row>
    <row r="951" spans="1:4" ht="14.25" customHeight="1" x14ac:dyDescent="0.25">
      <c r="A951" s="16"/>
      <c r="B951" s="16"/>
      <c r="C951" s="16"/>
      <c r="D951" s="16"/>
    </row>
    <row r="952" spans="1:4" ht="14.25" customHeight="1" x14ac:dyDescent="0.25">
      <c r="A952" s="16"/>
      <c r="B952" s="16"/>
      <c r="C952" s="16"/>
      <c r="D952" s="16"/>
    </row>
    <row r="953" spans="1:4" ht="14.25" customHeight="1" x14ac:dyDescent="0.25">
      <c r="A953" s="16"/>
      <c r="B953" s="16"/>
      <c r="C953" s="16"/>
      <c r="D953" s="16"/>
    </row>
    <row r="954" spans="1:4" ht="14.25" customHeight="1" x14ac:dyDescent="0.25">
      <c r="A954" s="16"/>
      <c r="B954" s="16"/>
      <c r="C954" s="16"/>
      <c r="D954" s="16"/>
    </row>
    <row r="955" spans="1:4" ht="14.25" customHeight="1" x14ac:dyDescent="0.25">
      <c r="A955" s="16"/>
      <c r="B955" s="16"/>
      <c r="C955" s="16"/>
      <c r="D955" s="16"/>
    </row>
    <row r="956" spans="1:4" ht="14.25" customHeight="1" x14ac:dyDescent="0.25">
      <c r="A956" s="16"/>
      <c r="B956" s="16"/>
      <c r="C956" s="16"/>
      <c r="D956" s="16"/>
    </row>
    <row r="957" spans="1:4" ht="14.25" customHeight="1" x14ac:dyDescent="0.25">
      <c r="A957" s="16"/>
      <c r="B957" s="16"/>
      <c r="C957" s="16"/>
      <c r="D957" s="16"/>
    </row>
    <row r="958" spans="1:4" ht="14.25" customHeight="1" x14ac:dyDescent="0.25">
      <c r="A958" s="16"/>
      <c r="B958" s="16"/>
      <c r="C958" s="16"/>
      <c r="D958" s="16"/>
    </row>
    <row r="959" spans="1:4" ht="14.25" customHeight="1" x14ac:dyDescent="0.25">
      <c r="A959" s="16"/>
      <c r="B959" s="16"/>
      <c r="C959" s="16"/>
      <c r="D959" s="16"/>
    </row>
    <row r="960" spans="1:4" ht="14.25" customHeight="1" x14ac:dyDescent="0.25">
      <c r="A960" s="16"/>
      <c r="B960" s="16"/>
      <c r="C960" s="16"/>
      <c r="D960" s="16"/>
    </row>
    <row r="961" spans="1:4" ht="14.25" customHeight="1" x14ac:dyDescent="0.25">
      <c r="A961" s="16"/>
      <c r="B961" s="16"/>
      <c r="C961" s="16"/>
      <c r="D961" s="16"/>
    </row>
    <row r="962" spans="1:4" ht="14.25" customHeight="1" x14ac:dyDescent="0.25">
      <c r="A962" s="16"/>
      <c r="B962" s="16"/>
      <c r="C962" s="16"/>
      <c r="D962" s="16"/>
    </row>
    <row r="963" spans="1:4" ht="14.25" customHeight="1" x14ac:dyDescent="0.25">
      <c r="A963" s="16"/>
      <c r="B963" s="16"/>
      <c r="C963" s="16"/>
      <c r="D963" s="16"/>
    </row>
    <row r="964" spans="1:4" ht="14.25" customHeight="1" x14ac:dyDescent="0.25">
      <c r="A964" s="16"/>
      <c r="B964" s="16"/>
      <c r="C964" s="16"/>
      <c r="D964" s="16"/>
    </row>
    <row r="965" spans="1:4" ht="14.25" customHeight="1" x14ac:dyDescent="0.25">
      <c r="A965" s="16"/>
      <c r="B965" s="16"/>
      <c r="C965" s="16"/>
      <c r="D965" s="16"/>
    </row>
    <row r="966" spans="1:4" ht="14.25" customHeight="1" x14ac:dyDescent="0.25">
      <c r="A966" s="16"/>
      <c r="B966" s="16"/>
      <c r="C966" s="16"/>
      <c r="D966" s="16"/>
    </row>
    <row r="967" spans="1:4" ht="14.25" customHeight="1" x14ac:dyDescent="0.25">
      <c r="A967" s="16"/>
      <c r="B967" s="16"/>
      <c r="C967" s="16"/>
      <c r="D967" s="16"/>
    </row>
    <row r="968" spans="1:4" ht="14.25" customHeight="1" x14ac:dyDescent="0.25">
      <c r="A968" s="16"/>
      <c r="B968" s="16"/>
      <c r="C968" s="16"/>
      <c r="D968" s="16"/>
    </row>
    <row r="969" spans="1:4" ht="14.25" customHeight="1" x14ac:dyDescent="0.25">
      <c r="A969" s="16"/>
      <c r="B969" s="16"/>
      <c r="C969" s="16"/>
      <c r="D969" s="16"/>
    </row>
    <row r="970" spans="1:4" ht="14.25" customHeight="1" x14ac:dyDescent="0.25">
      <c r="A970" s="16"/>
      <c r="B970" s="16"/>
      <c r="C970" s="16"/>
      <c r="D970" s="16"/>
    </row>
    <row r="971" spans="1:4" ht="14.25" customHeight="1" x14ac:dyDescent="0.25">
      <c r="A971" s="16"/>
      <c r="B971" s="16"/>
      <c r="C971" s="16"/>
      <c r="D971" s="16"/>
    </row>
    <row r="972" spans="1:4" ht="14.25" customHeight="1" x14ac:dyDescent="0.25">
      <c r="A972" s="16"/>
      <c r="B972" s="16"/>
      <c r="C972" s="16"/>
      <c r="D972" s="16"/>
    </row>
    <row r="973" spans="1:4" ht="14.25" customHeight="1" x14ac:dyDescent="0.25">
      <c r="A973" s="16"/>
      <c r="B973" s="16"/>
      <c r="C973" s="16"/>
      <c r="D973" s="16"/>
    </row>
    <row r="974" spans="1:4" ht="14.25" customHeight="1" x14ac:dyDescent="0.25">
      <c r="A974" s="16"/>
      <c r="B974" s="16"/>
      <c r="C974" s="16"/>
      <c r="D974" s="16"/>
    </row>
    <row r="975" spans="1:4" ht="14.25" customHeight="1" x14ac:dyDescent="0.25">
      <c r="A975" s="16"/>
      <c r="B975" s="16"/>
      <c r="C975" s="16"/>
      <c r="D975" s="16"/>
    </row>
    <row r="976" spans="1:4" ht="14.25" customHeight="1" x14ac:dyDescent="0.25">
      <c r="A976" s="16"/>
      <c r="B976" s="16"/>
      <c r="C976" s="16"/>
      <c r="D976" s="16"/>
    </row>
    <row r="977" spans="1:4" ht="14.25" customHeight="1" x14ac:dyDescent="0.25">
      <c r="A977" s="16"/>
      <c r="B977" s="16"/>
      <c r="C977" s="16"/>
      <c r="D977" s="16"/>
    </row>
    <row r="978" spans="1:4" ht="14.25" customHeight="1" x14ac:dyDescent="0.25">
      <c r="A978" s="16"/>
      <c r="B978" s="16"/>
      <c r="C978" s="16"/>
      <c r="D978" s="16"/>
    </row>
    <row r="979" spans="1:4" ht="14.25" customHeight="1" x14ac:dyDescent="0.25">
      <c r="A979" s="16"/>
      <c r="B979" s="16"/>
      <c r="C979" s="16"/>
      <c r="D979" s="16"/>
    </row>
    <row r="980" spans="1:4" ht="14.25" customHeight="1" x14ac:dyDescent="0.25">
      <c r="A980" s="16"/>
      <c r="B980" s="16"/>
      <c r="C980" s="16"/>
      <c r="D980" s="16"/>
    </row>
    <row r="981" spans="1:4" ht="14.25" customHeight="1" x14ac:dyDescent="0.25">
      <c r="A981" s="16"/>
      <c r="B981" s="16"/>
      <c r="C981" s="16"/>
      <c r="D981" s="16"/>
    </row>
    <row r="982" spans="1:4" ht="14.25" customHeight="1" x14ac:dyDescent="0.25">
      <c r="A982" s="16"/>
      <c r="B982" s="16"/>
      <c r="C982" s="16"/>
      <c r="D982" s="16"/>
    </row>
    <row r="983" spans="1:4" ht="14.25" customHeight="1" x14ac:dyDescent="0.25">
      <c r="A983" s="16"/>
      <c r="B983" s="16"/>
      <c r="C983" s="16"/>
      <c r="D983" s="16"/>
    </row>
    <row r="984" spans="1:4" ht="14.25" customHeight="1" x14ac:dyDescent="0.25">
      <c r="A984" s="16"/>
      <c r="B984" s="16"/>
      <c r="C984" s="16"/>
      <c r="D984" s="16"/>
    </row>
    <row r="985" spans="1:4" ht="14.25" customHeight="1" x14ac:dyDescent="0.25">
      <c r="A985" s="16"/>
      <c r="B985" s="16"/>
      <c r="C985" s="16"/>
      <c r="D985" s="16"/>
    </row>
    <row r="986" spans="1:4" ht="14.25" customHeight="1" x14ac:dyDescent="0.25">
      <c r="A986" s="16"/>
      <c r="B986" s="16"/>
      <c r="C986" s="16"/>
      <c r="D986" s="16"/>
    </row>
    <row r="987" spans="1:4" ht="14.25" customHeight="1" x14ac:dyDescent="0.25">
      <c r="A987" s="16"/>
      <c r="B987" s="16"/>
      <c r="C987" s="16"/>
      <c r="D987" s="16"/>
    </row>
    <row r="988" spans="1:4" ht="14.25" customHeight="1" x14ac:dyDescent="0.25">
      <c r="A988" s="16"/>
      <c r="B988" s="16"/>
      <c r="C988" s="16"/>
      <c r="D988" s="16"/>
    </row>
    <row r="989" spans="1:4" ht="14.25" customHeight="1" x14ac:dyDescent="0.25">
      <c r="A989" s="16"/>
      <c r="B989" s="16"/>
      <c r="C989" s="16"/>
      <c r="D989" s="16"/>
    </row>
    <row r="990" spans="1:4" ht="14.25" customHeight="1" x14ac:dyDescent="0.25">
      <c r="A990" s="16"/>
      <c r="B990" s="16"/>
      <c r="C990" s="16"/>
      <c r="D990" s="16"/>
    </row>
    <row r="991" spans="1:4" ht="14.25" customHeight="1" x14ac:dyDescent="0.25">
      <c r="A991" s="16"/>
      <c r="B991" s="16"/>
      <c r="C991" s="16"/>
      <c r="D991" s="16"/>
    </row>
    <row r="992" spans="1:4" ht="14.25" customHeight="1" x14ac:dyDescent="0.25">
      <c r="A992" s="16"/>
      <c r="B992" s="16"/>
      <c r="C992" s="16"/>
      <c r="D992" s="16"/>
    </row>
    <row r="993" spans="1:4" ht="14.25" customHeight="1" x14ac:dyDescent="0.25">
      <c r="A993" s="16"/>
      <c r="B993" s="16"/>
      <c r="C993" s="16"/>
      <c r="D993" s="16"/>
    </row>
    <row r="994" spans="1:4" ht="14.25" customHeight="1" x14ac:dyDescent="0.25">
      <c r="A994" s="16"/>
      <c r="B994" s="16"/>
      <c r="C994" s="16"/>
      <c r="D994" s="16"/>
    </row>
    <row r="995" spans="1:4" ht="14.25" customHeight="1" x14ac:dyDescent="0.25">
      <c r="A995" s="16"/>
      <c r="B995" s="16"/>
      <c r="C995" s="16"/>
      <c r="D995" s="16"/>
    </row>
    <row r="996" spans="1:4" ht="14.25" customHeight="1" x14ac:dyDescent="0.25">
      <c r="A996" s="16"/>
      <c r="B996" s="16"/>
      <c r="C996" s="16"/>
      <c r="D996" s="16"/>
    </row>
    <row r="997" spans="1:4" ht="14.25" customHeight="1" x14ac:dyDescent="0.25">
      <c r="A997" s="16"/>
      <c r="B997" s="16"/>
      <c r="C997" s="16"/>
      <c r="D997" s="16"/>
    </row>
    <row r="998" spans="1:4" ht="14.25" customHeight="1" x14ac:dyDescent="0.25">
      <c r="A998" s="16"/>
      <c r="B998" s="16"/>
      <c r="C998" s="16"/>
      <c r="D998" s="16"/>
    </row>
    <row r="999" spans="1:4" ht="14.25" customHeight="1" x14ac:dyDescent="0.25">
      <c r="A999" s="16"/>
      <c r="B999" s="16"/>
      <c r="C999" s="16"/>
      <c r="D999" s="16"/>
    </row>
    <row r="1000" spans="1:4" ht="14.25" customHeight="1" x14ac:dyDescent="0.25">
      <c r="A1000" s="16"/>
      <c r="B1000" s="16"/>
      <c r="C1000" s="16"/>
      <c r="D1000" s="16"/>
    </row>
  </sheetData>
  <dataValidations count="1">
    <dataValidation type="list" allowBlank="1" showErrorMessage="1" sqref="A1:A6">
      <formula1>#REF!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D16" sqref="D16"/>
    </sheetView>
  </sheetViews>
  <sheetFormatPr defaultColWidth="14.7109375" defaultRowHeight="15" x14ac:dyDescent="0.25"/>
  <cols>
    <col min="1" max="1" width="18.140625" style="133" customWidth="1"/>
    <col min="2" max="2" width="18.140625" customWidth="1"/>
    <col min="3" max="3" width="36.42578125" customWidth="1"/>
    <col min="4" max="4" width="23.7109375" customWidth="1"/>
    <col min="5" max="5" width="25.7109375" bestFit="1" customWidth="1"/>
    <col min="6" max="6" width="23.42578125" customWidth="1"/>
    <col min="7" max="7" width="16.7109375" bestFit="1" customWidth="1"/>
    <col min="8" max="9" width="18.28515625" customWidth="1"/>
    <col min="10" max="11" width="18.140625" customWidth="1"/>
  </cols>
  <sheetData>
    <row r="1" spans="1:11" s="128" customFormat="1" ht="15.75" x14ac:dyDescent="0.25">
      <c r="A1" s="132" t="s">
        <v>252</v>
      </c>
      <c r="B1" s="129" t="s">
        <v>212</v>
      </c>
      <c r="C1" s="130" t="s">
        <v>246</v>
      </c>
      <c r="D1" s="130" t="s">
        <v>247</v>
      </c>
      <c r="E1" s="130" t="s">
        <v>251</v>
      </c>
      <c r="F1" s="130" t="s">
        <v>248</v>
      </c>
      <c r="G1" s="130" t="s">
        <v>249</v>
      </c>
      <c r="H1" s="130" t="s">
        <v>194</v>
      </c>
      <c r="I1" s="131" t="s">
        <v>261</v>
      </c>
      <c r="J1" s="131" t="s">
        <v>250</v>
      </c>
      <c r="K1" s="150"/>
    </row>
    <row r="2" spans="1:11" ht="15.75" x14ac:dyDescent="0.25">
      <c r="A2" s="134">
        <v>45764</v>
      </c>
      <c r="B2" s="135" t="s">
        <v>14</v>
      </c>
      <c r="C2" s="136" t="s">
        <v>254</v>
      </c>
      <c r="D2" s="136" t="s">
        <v>255</v>
      </c>
      <c r="E2" s="136" t="s">
        <v>24</v>
      </c>
      <c r="F2" s="136" t="s">
        <v>256</v>
      </c>
      <c r="G2" s="136" t="s">
        <v>257</v>
      </c>
      <c r="H2" s="136">
        <v>264</v>
      </c>
      <c r="I2" s="137" t="s">
        <v>262</v>
      </c>
      <c r="J2" s="137" t="s">
        <v>258</v>
      </c>
      <c r="K2" s="151"/>
    </row>
    <row r="3" spans="1:11" ht="15.75" x14ac:dyDescent="0.25">
      <c r="A3" s="134">
        <v>45764</v>
      </c>
      <c r="B3" s="135" t="s">
        <v>14</v>
      </c>
      <c r="C3" s="136" t="s">
        <v>266</v>
      </c>
      <c r="D3" s="136" t="s">
        <v>255</v>
      </c>
      <c r="E3" s="136" t="s">
        <v>24</v>
      </c>
      <c r="F3" s="136" t="s">
        <v>256</v>
      </c>
      <c r="G3" s="136" t="s">
        <v>267</v>
      </c>
      <c r="H3" s="136">
        <v>276</v>
      </c>
      <c r="I3" s="137" t="s">
        <v>262</v>
      </c>
      <c r="J3" s="137" t="s">
        <v>260</v>
      </c>
      <c r="K3" s="151"/>
    </row>
    <row r="4" spans="1:11" ht="15.75" x14ac:dyDescent="0.25">
      <c r="A4" s="134">
        <v>45757</v>
      </c>
      <c r="B4" s="135" t="s">
        <v>14</v>
      </c>
      <c r="C4" s="136" t="s">
        <v>268</v>
      </c>
      <c r="D4" s="136" t="s">
        <v>269</v>
      </c>
      <c r="E4" s="136" t="s">
        <v>102</v>
      </c>
      <c r="F4" s="136" t="s">
        <v>270</v>
      </c>
      <c r="G4" s="136" t="s">
        <v>257</v>
      </c>
      <c r="H4" s="136">
        <v>497</v>
      </c>
      <c r="I4" s="137" t="s">
        <v>262</v>
      </c>
      <c r="J4" s="137" t="s">
        <v>260</v>
      </c>
      <c r="K4" s="151"/>
    </row>
    <row r="5" spans="1:11" ht="15.75" x14ac:dyDescent="0.25">
      <c r="A5" s="134">
        <v>45759</v>
      </c>
      <c r="B5" s="135" t="s">
        <v>30</v>
      </c>
      <c r="C5" s="136" t="s">
        <v>271</v>
      </c>
      <c r="D5" s="136" t="s">
        <v>272</v>
      </c>
      <c r="E5" s="136" t="s">
        <v>37</v>
      </c>
      <c r="F5" s="136" t="s">
        <v>278</v>
      </c>
      <c r="G5" s="136" t="s">
        <v>273</v>
      </c>
      <c r="H5" s="136">
        <v>158</v>
      </c>
      <c r="I5" s="137" t="s">
        <v>263</v>
      </c>
      <c r="J5" s="137" t="s">
        <v>260</v>
      </c>
      <c r="K5" s="151"/>
    </row>
    <row r="6" spans="1:11" ht="15.75" x14ac:dyDescent="0.25">
      <c r="A6" s="134">
        <v>45770</v>
      </c>
      <c r="B6" s="135" t="s">
        <v>30</v>
      </c>
      <c r="C6" s="136" t="s">
        <v>274</v>
      </c>
      <c r="D6" s="136" t="s">
        <v>275</v>
      </c>
      <c r="E6" s="136" t="s">
        <v>276</v>
      </c>
      <c r="F6" s="136" t="s">
        <v>278</v>
      </c>
      <c r="G6" s="136" t="s">
        <v>279</v>
      </c>
      <c r="H6" s="136">
        <v>223</v>
      </c>
      <c r="I6" s="137" t="s">
        <v>262</v>
      </c>
      <c r="J6" s="137" t="s">
        <v>258</v>
      </c>
      <c r="K6" s="151"/>
    </row>
    <row r="7" spans="1:11" ht="15.75" x14ac:dyDescent="0.25">
      <c r="A7" s="134"/>
      <c r="B7" s="135"/>
      <c r="C7" s="136"/>
      <c r="D7" s="136"/>
      <c r="E7" s="136"/>
      <c r="F7" s="136"/>
      <c r="G7" s="136"/>
      <c r="H7" s="136"/>
      <c r="I7" s="137"/>
      <c r="J7" s="137"/>
      <c r="K7" s="151"/>
    </row>
    <row r="8" spans="1:11" ht="15.75" x14ac:dyDescent="0.25">
      <c r="A8" s="134"/>
      <c r="B8" s="135"/>
      <c r="C8" s="136"/>
      <c r="D8" s="136"/>
      <c r="E8" s="136"/>
      <c r="F8" s="136"/>
      <c r="G8" s="136"/>
      <c r="H8" s="136"/>
      <c r="I8" s="137"/>
      <c r="J8" s="137"/>
      <c r="K8" s="151"/>
    </row>
    <row r="9" spans="1:11" ht="15.75" x14ac:dyDescent="0.25">
      <c r="A9" s="134"/>
      <c r="B9" s="135"/>
      <c r="C9" s="136"/>
      <c r="D9" s="136"/>
      <c r="E9" s="136"/>
      <c r="F9" s="136"/>
      <c r="G9" s="136"/>
      <c r="H9" s="136"/>
      <c r="I9" s="137"/>
      <c r="J9" s="137"/>
      <c r="K9" s="151"/>
    </row>
    <row r="10" spans="1:11" ht="15.75" x14ac:dyDescent="0.25">
      <c r="A10" s="134"/>
      <c r="B10" s="135"/>
      <c r="C10" s="136"/>
      <c r="D10" s="136"/>
      <c r="E10" s="136"/>
      <c r="F10" s="136"/>
      <c r="G10" s="136"/>
      <c r="H10" s="136"/>
      <c r="I10" s="137"/>
      <c r="J10" s="137"/>
      <c r="K10" s="151"/>
    </row>
    <row r="11" spans="1:11" ht="15.75" x14ac:dyDescent="0.25">
      <c r="A11" s="134"/>
      <c r="B11" s="135"/>
      <c r="C11" s="136"/>
      <c r="D11" s="136"/>
      <c r="E11" s="136"/>
      <c r="F11" s="136"/>
      <c r="G11" s="136"/>
      <c r="H11" s="136"/>
      <c r="I11" s="137"/>
      <c r="J11" s="137"/>
      <c r="K11" s="151"/>
    </row>
    <row r="12" spans="1:11" ht="15.75" x14ac:dyDescent="0.25">
      <c r="A12" s="138"/>
      <c r="B12" s="135"/>
      <c r="C12" s="139"/>
      <c r="D12" s="139"/>
      <c r="E12" s="136"/>
      <c r="F12" s="139"/>
      <c r="G12" s="139"/>
      <c r="H12" s="139"/>
      <c r="I12" s="137"/>
      <c r="J12" s="137"/>
      <c r="K12" s="15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Data_Validation!$B$2:$B$7</xm:f>
          </x14:formula1>
          <xm:sqref>B2:B12</xm:sqref>
        </x14:dataValidation>
        <x14:dataValidation type="list" allowBlank="1" showInputMessage="1" showErrorMessage="1">
          <x14:formula1>
            <xm:f>Data_Validation!$G$2:$G$24</xm:f>
          </x14:formula1>
          <xm:sqref>E2:E5</xm:sqref>
        </x14:dataValidation>
        <x14:dataValidation type="list" allowBlank="1" showInputMessage="1" showErrorMessage="1">
          <x14:formula1>
            <xm:f>Data_Validation!$R$2:$R$4</xm:f>
          </x14:formula1>
          <xm:sqref>J2:K12</xm:sqref>
        </x14:dataValidation>
        <x14:dataValidation type="list" allowBlank="1" showInputMessage="1" showErrorMessage="1">
          <x14:formula1>
            <xm:f>Data_Validation!$S$2:$S$4</xm:f>
          </x14:formula1>
          <xm:sqref>I2:I12</xm:sqref>
        </x14:dataValidation>
        <x14:dataValidation type="list" allowBlank="1" showInputMessage="1" showErrorMessage="1">
          <x14:formula1>
            <xm:f>Data_Validation!$G$2:$G$28</xm:f>
          </x14:formula1>
          <xm:sqref>E6:E12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1"/>
  <sheetViews>
    <sheetView topLeftCell="C41" workbookViewId="0">
      <selection activeCell="F55" sqref="F55"/>
    </sheetView>
  </sheetViews>
  <sheetFormatPr defaultColWidth="14.42578125" defaultRowHeight="15" customHeight="1" x14ac:dyDescent="0.25"/>
  <cols>
    <col min="1" max="1" width="14" customWidth="1"/>
    <col min="2" max="2" width="11.140625" customWidth="1"/>
    <col min="3" max="3" width="17.28515625" customWidth="1"/>
    <col min="4" max="4" width="11.42578125" customWidth="1"/>
    <col min="5" max="5" width="15.5703125" customWidth="1"/>
    <col min="6" max="6" width="38.7109375" bestFit="1" customWidth="1"/>
    <col min="7" max="7" width="44.42578125" bestFit="1" customWidth="1"/>
    <col min="8" max="8" width="16.140625" customWidth="1"/>
    <col min="9" max="11" width="17.28515625" customWidth="1"/>
    <col min="12" max="13" width="22" customWidth="1"/>
    <col min="14" max="14" width="14.28515625" customWidth="1"/>
    <col min="15" max="16" width="16.7109375" customWidth="1"/>
    <col min="17" max="17" width="12.140625" customWidth="1"/>
    <col min="18" max="18" width="16.140625" customWidth="1"/>
    <col min="19" max="19" width="12.7109375" bestFit="1" customWidth="1"/>
    <col min="20" max="26" width="8.7109375" customWidth="1"/>
  </cols>
  <sheetData>
    <row r="1" spans="1:19" ht="14.25" customHeight="1" x14ac:dyDescent="0.25">
      <c r="A1" s="69" t="s">
        <v>211</v>
      </c>
      <c r="B1" s="69" t="s">
        <v>212</v>
      </c>
      <c r="C1" s="70" t="s">
        <v>213</v>
      </c>
      <c r="D1" s="70" t="s">
        <v>204</v>
      </c>
      <c r="E1" s="70" t="s">
        <v>214</v>
      </c>
      <c r="F1" s="70" t="s">
        <v>138</v>
      </c>
      <c r="G1" s="70" t="s">
        <v>5</v>
      </c>
      <c r="H1" s="70" t="s">
        <v>9</v>
      </c>
      <c r="I1" s="70" t="s">
        <v>156</v>
      </c>
      <c r="J1" s="70" t="s">
        <v>155</v>
      </c>
      <c r="K1" s="70" t="s">
        <v>202</v>
      </c>
      <c r="L1" s="70" t="s">
        <v>215</v>
      </c>
      <c r="M1" s="71" t="s">
        <v>157</v>
      </c>
      <c r="N1" s="71" t="s">
        <v>140</v>
      </c>
      <c r="O1" s="71" t="s">
        <v>216</v>
      </c>
      <c r="P1" s="71" t="s">
        <v>217</v>
      </c>
      <c r="Q1" s="71" t="s">
        <v>218</v>
      </c>
      <c r="R1" s="71" t="s">
        <v>219</v>
      </c>
      <c r="S1" s="71" t="s">
        <v>261</v>
      </c>
    </row>
    <row r="2" spans="1:19" ht="14.25" customHeight="1" x14ac:dyDescent="0.25">
      <c r="A2" s="25" t="s">
        <v>15</v>
      </c>
      <c r="B2" s="25" t="s">
        <v>14</v>
      </c>
      <c r="C2" s="25" t="s">
        <v>59</v>
      </c>
      <c r="D2" s="25" t="s">
        <v>207</v>
      </c>
      <c r="E2" s="25" t="s">
        <v>17</v>
      </c>
      <c r="F2" s="25" t="s">
        <v>18</v>
      </c>
      <c r="G2" s="28" t="s">
        <v>16</v>
      </c>
      <c r="H2" s="25" t="s">
        <v>19</v>
      </c>
      <c r="J2" s="25" t="s">
        <v>169</v>
      </c>
      <c r="K2" s="25" t="s">
        <v>206</v>
      </c>
      <c r="L2" s="25" t="s">
        <v>199</v>
      </c>
      <c r="M2" s="25" t="s">
        <v>172</v>
      </c>
      <c r="N2" s="16">
        <v>1</v>
      </c>
      <c r="O2" s="25" t="s">
        <v>220</v>
      </c>
      <c r="P2" s="25" t="s">
        <v>196</v>
      </c>
      <c r="Q2" s="25" t="s">
        <v>221</v>
      </c>
      <c r="R2" s="149" t="s">
        <v>258</v>
      </c>
      <c r="S2" s="149" t="s">
        <v>262</v>
      </c>
    </row>
    <row r="3" spans="1:19" ht="14.25" customHeight="1" x14ac:dyDescent="0.25">
      <c r="A3" s="25" t="s">
        <v>222</v>
      </c>
      <c r="B3" s="25" t="s">
        <v>30</v>
      </c>
      <c r="C3" s="25" t="s">
        <v>112</v>
      </c>
      <c r="E3" s="25" t="s">
        <v>20</v>
      </c>
      <c r="F3" s="25" t="s">
        <v>72</v>
      </c>
      <c r="G3" s="28" t="s">
        <v>28</v>
      </c>
      <c r="H3" s="25" t="s">
        <v>22</v>
      </c>
      <c r="J3" s="25" t="s">
        <v>166</v>
      </c>
      <c r="K3" s="25" t="s">
        <v>208</v>
      </c>
      <c r="L3" s="25" t="s">
        <v>200</v>
      </c>
      <c r="M3" s="25" t="s">
        <v>168</v>
      </c>
      <c r="N3" s="16">
        <v>2</v>
      </c>
      <c r="O3" s="25" t="s">
        <v>223</v>
      </c>
      <c r="P3" s="25" t="s">
        <v>195</v>
      </c>
      <c r="Q3" s="25" t="s">
        <v>224</v>
      </c>
      <c r="R3" s="149" t="s">
        <v>259</v>
      </c>
      <c r="S3" s="149" t="s">
        <v>263</v>
      </c>
    </row>
    <row r="4" spans="1:19" ht="14.25" customHeight="1" x14ac:dyDescent="0.25">
      <c r="A4" s="25" t="s">
        <v>225</v>
      </c>
      <c r="B4" s="25" t="s">
        <v>226</v>
      </c>
      <c r="C4" s="25" t="s">
        <v>78</v>
      </c>
      <c r="E4" s="25" t="s">
        <v>105</v>
      </c>
      <c r="F4" s="25" t="s">
        <v>21</v>
      </c>
      <c r="G4" s="28" t="s">
        <v>32</v>
      </c>
      <c r="H4" s="25" t="s">
        <v>48</v>
      </c>
      <c r="K4" s="25" t="s">
        <v>209</v>
      </c>
      <c r="M4" s="25" t="s">
        <v>171</v>
      </c>
      <c r="N4" s="16">
        <v>3</v>
      </c>
      <c r="P4" s="25" t="s">
        <v>13</v>
      </c>
      <c r="Q4" s="25" t="s">
        <v>227</v>
      </c>
      <c r="R4" s="149" t="s">
        <v>260</v>
      </c>
    </row>
    <row r="5" spans="1:19" ht="14.25" customHeight="1" x14ac:dyDescent="0.25">
      <c r="A5" s="25" t="s">
        <v>228</v>
      </c>
      <c r="B5" s="25" t="s">
        <v>229</v>
      </c>
      <c r="C5" s="25" t="s">
        <v>110</v>
      </c>
      <c r="F5" s="25" t="s">
        <v>53</v>
      </c>
      <c r="G5" s="28" t="s">
        <v>24</v>
      </c>
      <c r="H5" s="25" t="s">
        <v>84</v>
      </c>
      <c r="K5" s="25" t="s">
        <v>210</v>
      </c>
      <c r="M5" s="25" t="s">
        <v>174</v>
      </c>
      <c r="N5" s="16">
        <v>4</v>
      </c>
    </row>
    <row r="6" spans="1:19" ht="14.25" customHeight="1" x14ac:dyDescent="0.25">
      <c r="B6" s="25" t="s">
        <v>92</v>
      </c>
      <c r="C6" s="25" t="s">
        <v>95</v>
      </c>
      <c r="F6" s="25" t="s">
        <v>27</v>
      </c>
      <c r="G6" s="28" t="s">
        <v>114</v>
      </c>
      <c r="N6" s="16">
        <v>5</v>
      </c>
    </row>
    <row r="7" spans="1:19" ht="14.25" customHeight="1" x14ac:dyDescent="0.25">
      <c r="B7" s="25" t="s">
        <v>108</v>
      </c>
      <c r="C7" s="25" t="s">
        <v>71</v>
      </c>
      <c r="F7" s="25" t="s">
        <v>54</v>
      </c>
      <c r="G7" s="28" t="s">
        <v>35</v>
      </c>
      <c r="N7" s="16"/>
    </row>
    <row r="8" spans="1:19" ht="14.25" customHeight="1" x14ac:dyDescent="0.25">
      <c r="C8" s="25" t="s">
        <v>175</v>
      </c>
      <c r="F8" s="25" t="s">
        <v>23</v>
      </c>
      <c r="G8" s="28" t="s">
        <v>147</v>
      </c>
      <c r="N8" s="16"/>
    </row>
    <row r="9" spans="1:19" ht="14.25" customHeight="1" x14ac:dyDescent="0.25">
      <c r="C9" s="25" t="s">
        <v>64</v>
      </c>
      <c r="F9" s="25" t="s">
        <v>41</v>
      </c>
      <c r="G9" s="28" t="s">
        <v>188</v>
      </c>
      <c r="N9" s="16"/>
    </row>
    <row r="10" spans="1:19" ht="14.25" customHeight="1" x14ac:dyDescent="0.25">
      <c r="C10" s="25" t="s">
        <v>75</v>
      </c>
      <c r="F10" s="25" t="s">
        <v>55</v>
      </c>
      <c r="G10" s="28" t="s">
        <v>37</v>
      </c>
      <c r="N10" s="16"/>
    </row>
    <row r="11" spans="1:19" ht="14.25" customHeight="1" x14ac:dyDescent="0.25">
      <c r="C11" s="25" t="s">
        <v>101</v>
      </c>
      <c r="F11" s="25" t="s">
        <v>47</v>
      </c>
      <c r="G11" s="28" t="s">
        <v>39</v>
      </c>
      <c r="N11" s="16"/>
    </row>
    <row r="12" spans="1:19" ht="14.25" customHeight="1" x14ac:dyDescent="0.25">
      <c r="C12" s="25" t="s">
        <v>77</v>
      </c>
      <c r="F12" s="25" t="s">
        <v>34</v>
      </c>
      <c r="G12" s="28" t="s">
        <v>46</v>
      </c>
      <c r="N12" s="16"/>
    </row>
    <row r="13" spans="1:19" ht="14.25" customHeight="1" x14ac:dyDescent="0.25">
      <c r="C13" s="25" t="s">
        <v>91</v>
      </c>
      <c r="F13" s="25" t="s">
        <v>44</v>
      </c>
      <c r="G13" s="28" t="s">
        <v>117</v>
      </c>
      <c r="N13" s="16"/>
    </row>
    <row r="14" spans="1:19" ht="14.25" customHeight="1" x14ac:dyDescent="0.25">
      <c r="C14" s="25" t="s">
        <v>68</v>
      </c>
      <c r="F14" s="25" t="s">
        <v>49</v>
      </c>
      <c r="G14" s="28" t="s">
        <v>189</v>
      </c>
      <c r="N14" s="16"/>
    </row>
    <row r="15" spans="1:19" ht="14.25" customHeight="1" x14ac:dyDescent="0.25">
      <c r="C15" s="25" t="s">
        <v>58</v>
      </c>
      <c r="F15" s="25" t="s">
        <v>89</v>
      </c>
      <c r="G15" s="28" t="s">
        <v>87</v>
      </c>
      <c r="N15" s="16"/>
    </row>
    <row r="16" spans="1:19" ht="14.25" customHeight="1" x14ac:dyDescent="0.25">
      <c r="C16" s="25" t="s">
        <v>69</v>
      </c>
      <c r="F16" s="25" t="s">
        <v>109</v>
      </c>
      <c r="G16" s="28" t="s">
        <v>151</v>
      </c>
      <c r="N16" s="16"/>
    </row>
    <row r="17" spans="3:14" ht="14.25" customHeight="1" x14ac:dyDescent="0.25">
      <c r="C17" s="25" t="s">
        <v>62</v>
      </c>
      <c r="F17" s="25" t="s">
        <v>96</v>
      </c>
      <c r="G17" s="28" t="s">
        <v>93</v>
      </c>
      <c r="N17" s="16"/>
    </row>
    <row r="18" spans="3:14" ht="14.25" customHeight="1" x14ac:dyDescent="0.25">
      <c r="C18" s="25" t="s">
        <v>76</v>
      </c>
      <c r="F18" s="25" t="s">
        <v>25</v>
      </c>
      <c r="G18" s="28" t="s">
        <v>190</v>
      </c>
      <c r="N18" s="16"/>
    </row>
    <row r="19" spans="3:14" ht="14.25" customHeight="1" x14ac:dyDescent="0.25">
      <c r="C19" s="25" t="s">
        <v>106</v>
      </c>
      <c r="F19" s="25" t="s">
        <v>52</v>
      </c>
      <c r="G19" s="16" t="s">
        <v>191</v>
      </c>
      <c r="N19" s="16"/>
    </row>
    <row r="20" spans="3:14" ht="14.25" customHeight="1" x14ac:dyDescent="0.25">
      <c r="C20" s="25" t="s">
        <v>230</v>
      </c>
      <c r="F20" s="25" t="s">
        <v>26</v>
      </c>
      <c r="G20" s="28" t="s">
        <v>99</v>
      </c>
      <c r="N20" s="16"/>
    </row>
    <row r="21" spans="3:14" ht="14.25" customHeight="1" x14ac:dyDescent="0.25">
      <c r="C21" s="25" t="s">
        <v>231</v>
      </c>
      <c r="F21" s="25" t="s">
        <v>81</v>
      </c>
      <c r="G21" s="28" t="s">
        <v>102</v>
      </c>
      <c r="N21" s="16"/>
    </row>
    <row r="22" spans="3:14" ht="14.25" customHeight="1" x14ac:dyDescent="0.25">
      <c r="C22" s="25" t="s">
        <v>74</v>
      </c>
      <c r="F22" s="25" t="s">
        <v>72</v>
      </c>
      <c r="G22" s="28" t="s">
        <v>103</v>
      </c>
      <c r="N22" s="16"/>
    </row>
    <row r="23" spans="3:14" ht="14.25" customHeight="1" x14ac:dyDescent="0.25">
      <c r="C23" s="25" t="s">
        <v>82</v>
      </c>
      <c r="F23" s="25" t="s">
        <v>86</v>
      </c>
      <c r="G23" s="28" t="s">
        <v>192</v>
      </c>
      <c r="N23" s="16"/>
    </row>
    <row r="24" spans="3:14" ht="14.25" customHeight="1" x14ac:dyDescent="0.25">
      <c r="C24" s="25" t="s">
        <v>57</v>
      </c>
      <c r="F24" s="25" t="s">
        <v>90</v>
      </c>
      <c r="G24" s="28" t="s">
        <v>242</v>
      </c>
      <c r="N24" s="16"/>
    </row>
    <row r="25" spans="3:14" ht="14.25" customHeight="1" x14ac:dyDescent="0.25">
      <c r="C25" s="25" t="s">
        <v>232</v>
      </c>
      <c r="F25" s="25" t="s">
        <v>29</v>
      </c>
      <c r="G25" s="28" t="s">
        <v>264</v>
      </c>
      <c r="N25" s="16"/>
    </row>
    <row r="26" spans="3:14" ht="14.25" customHeight="1" x14ac:dyDescent="0.25">
      <c r="C26" s="25" t="s">
        <v>60</v>
      </c>
      <c r="F26" s="25" t="s">
        <v>111</v>
      </c>
      <c r="G26" s="28" t="s">
        <v>276</v>
      </c>
      <c r="N26" s="16"/>
    </row>
    <row r="27" spans="3:14" ht="14.25" customHeight="1" x14ac:dyDescent="0.25">
      <c r="C27" s="25" t="s">
        <v>66</v>
      </c>
      <c r="F27" s="25" t="s">
        <v>31</v>
      </c>
      <c r="G27" s="28" t="s">
        <v>281</v>
      </c>
      <c r="N27" s="16"/>
    </row>
    <row r="28" spans="3:14" ht="14.25" customHeight="1" x14ac:dyDescent="0.25">
      <c r="C28" s="25" t="s">
        <v>233</v>
      </c>
      <c r="F28" s="25" t="s">
        <v>98</v>
      </c>
      <c r="G28" s="28" t="s">
        <v>285</v>
      </c>
      <c r="N28" s="16"/>
    </row>
    <row r="29" spans="3:14" ht="14.25" customHeight="1" x14ac:dyDescent="0.25">
      <c r="C29" s="25" t="s">
        <v>63</v>
      </c>
      <c r="F29" s="25" t="s">
        <v>33</v>
      </c>
      <c r="G29" s="28" t="s">
        <v>287</v>
      </c>
      <c r="N29" s="16"/>
    </row>
    <row r="30" spans="3:14" ht="14.25" customHeight="1" x14ac:dyDescent="0.25">
      <c r="C30" s="25" t="s">
        <v>85</v>
      </c>
      <c r="F30" s="25" t="s">
        <v>65</v>
      </c>
      <c r="G30" s="28" t="s">
        <v>288</v>
      </c>
      <c r="N30" s="16"/>
    </row>
    <row r="31" spans="3:14" ht="14.25" customHeight="1" x14ac:dyDescent="0.25">
      <c r="C31" s="25" t="s">
        <v>56</v>
      </c>
      <c r="F31" s="25" t="s">
        <v>36</v>
      </c>
      <c r="G31" s="28" t="s">
        <v>290</v>
      </c>
      <c r="N31" s="16"/>
    </row>
    <row r="32" spans="3:14" ht="14.25" customHeight="1" x14ac:dyDescent="0.25">
      <c r="C32" s="25" t="s">
        <v>13</v>
      </c>
      <c r="F32" s="25" t="s">
        <v>45</v>
      </c>
      <c r="G32" s="28"/>
      <c r="N32" s="16"/>
    </row>
    <row r="33" spans="6:14" ht="14.25" customHeight="1" x14ac:dyDescent="0.25">
      <c r="F33" s="25" t="s">
        <v>38</v>
      </c>
      <c r="G33" s="28"/>
      <c r="N33" s="16"/>
    </row>
    <row r="34" spans="6:14" ht="14.25" customHeight="1" x14ac:dyDescent="0.25">
      <c r="F34" s="25" t="s">
        <v>40</v>
      </c>
      <c r="G34" s="28"/>
      <c r="N34" s="16"/>
    </row>
    <row r="35" spans="6:14" ht="14.25" customHeight="1" x14ac:dyDescent="0.25">
      <c r="F35" s="25" t="s">
        <v>36</v>
      </c>
      <c r="G35" s="28"/>
      <c r="N35" s="16"/>
    </row>
    <row r="36" spans="6:14" ht="14.25" customHeight="1" x14ac:dyDescent="0.25">
      <c r="F36" s="25" t="s">
        <v>97</v>
      </c>
      <c r="G36" s="28"/>
      <c r="N36" s="16"/>
    </row>
    <row r="37" spans="6:14" ht="14.25" customHeight="1" x14ac:dyDescent="0.25">
      <c r="F37" s="25" t="s">
        <v>67</v>
      </c>
      <c r="G37" s="28"/>
      <c r="N37" s="16"/>
    </row>
    <row r="38" spans="6:14" ht="14.25" customHeight="1" x14ac:dyDescent="0.25">
      <c r="F38" s="25" t="s">
        <v>65</v>
      </c>
      <c r="G38" s="28"/>
      <c r="N38" s="16"/>
    </row>
    <row r="39" spans="6:14" ht="14.25" customHeight="1" x14ac:dyDescent="0.25">
      <c r="F39" s="25" t="s">
        <v>42</v>
      </c>
      <c r="G39" s="28"/>
      <c r="N39" s="16"/>
    </row>
    <row r="40" spans="6:14" ht="14.25" customHeight="1" x14ac:dyDescent="0.25">
      <c r="F40" s="25" t="s">
        <v>51</v>
      </c>
      <c r="G40" s="28"/>
      <c r="N40" s="16"/>
    </row>
    <row r="41" spans="6:14" ht="14.25" customHeight="1" x14ac:dyDescent="0.25">
      <c r="F41" s="25" t="s">
        <v>70</v>
      </c>
      <c r="G41" s="28"/>
      <c r="N41" s="16"/>
    </row>
    <row r="42" spans="6:14" ht="14.25" customHeight="1" x14ac:dyDescent="0.25">
      <c r="F42" s="25" t="s">
        <v>83</v>
      </c>
      <c r="G42" s="28"/>
      <c r="N42" s="16"/>
    </row>
    <row r="43" spans="6:14" ht="14.25" customHeight="1" x14ac:dyDescent="0.25">
      <c r="F43" s="25" t="s">
        <v>43</v>
      </c>
      <c r="G43" s="28"/>
      <c r="N43" s="16"/>
    </row>
    <row r="44" spans="6:14" ht="14.25" customHeight="1" x14ac:dyDescent="0.25">
      <c r="F44" s="25" t="s">
        <v>79</v>
      </c>
      <c r="G44" s="28"/>
      <c r="N44" s="16"/>
    </row>
    <row r="45" spans="6:14" ht="14.25" customHeight="1" x14ac:dyDescent="0.25">
      <c r="F45" s="25" t="s">
        <v>80</v>
      </c>
      <c r="G45" s="28"/>
      <c r="N45" s="16"/>
    </row>
    <row r="46" spans="6:14" ht="14.25" customHeight="1" x14ac:dyDescent="0.25">
      <c r="F46" s="25" t="s">
        <v>50</v>
      </c>
      <c r="G46" s="28"/>
      <c r="N46" s="16"/>
    </row>
    <row r="47" spans="6:14" ht="14.25" customHeight="1" x14ac:dyDescent="0.25">
      <c r="F47" s="25" t="s">
        <v>88</v>
      </c>
      <c r="G47" s="28"/>
      <c r="N47" s="16"/>
    </row>
    <row r="48" spans="6:14" ht="14.25" customHeight="1" x14ac:dyDescent="0.25">
      <c r="F48" s="72" t="s">
        <v>94</v>
      </c>
      <c r="G48" s="28"/>
      <c r="N48" s="16"/>
    </row>
    <row r="49" spans="6:14" ht="14.25" customHeight="1" x14ac:dyDescent="0.25">
      <c r="F49" s="25" t="s">
        <v>100</v>
      </c>
      <c r="G49" s="28"/>
      <c r="N49" s="16"/>
    </row>
    <row r="50" spans="6:14" ht="14.25" customHeight="1" x14ac:dyDescent="0.25">
      <c r="F50" s="123" t="s">
        <v>240</v>
      </c>
      <c r="G50" s="28"/>
      <c r="N50" s="16"/>
    </row>
    <row r="51" spans="6:14" ht="14.25" customHeight="1" x14ac:dyDescent="0.25">
      <c r="F51" s="25" t="s">
        <v>104</v>
      </c>
      <c r="G51" s="28"/>
      <c r="N51" s="16"/>
    </row>
    <row r="52" spans="6:14" ht="14.25" customHeight="1" x14ac:dyDescent="0.25">
      <c r="F52" s="25" t="s">
        <v>115</v>
      </c>
      <c r="G52" s="28"/>
      <c r="N52" s="16"/>
    </row>
    <row r="53" spans="6:14" ht="14.25" customHeight="1" x14ac:dyDescent="0.25">
      <c r="F53" t="s">
        <v>239</v>
      </c>
      <c r="G53" s="28"/>
      <c r="N53" s="16"/>
    </row>
    <row r="54" spans="6:14" ht="14.25" customHeight="1" x14ac:dyDescent="0.25">
      <c r="F54" t="s">
        <v>292</v>
      </c>
      <c r="G54" s="28"/>
      <c r="N54" s="16"/>
    </row>
    <row r="55" spans="6:14" ht="14.25" customHeight="1" x14ac:dyDescent="0.25">
      <c r="F55" t="s">
        <v>265</v>
      </c>
      <c r="G55" s="28"/>
      <c r="N55" s="16"/>
    </row>
    <row r="56" spans="6:14" ht="14.25" customHeight="1" x14ac:dyDescent="0.25">
      <c r="F56" t="s">
        <v>241</v>
      </c>
      <c r="G56" s="28"/>
      <c r="N56" s="16"/>
    </row>
    <row r="57" spans="6:14" ht="14.25" customHeight="1" x14ac:dyDescent="0.25">
      <c r="F57" s="152" t="s">
        <v>277</v>
      </c>
      <c r="G57" s="28"/>
      <c r="N57" s="16"/>
    </row>
    <row r="58" spans="6:14" ht="14.25" customHeight="1" x14ac:dyDescent="0.25">
      <c r="F58" s="153" t="s">
        <v>282</v>
      </c>
      <c r="G58" s="28"/>
      <c r="N58" s="16"/>
    </row>
    <row r="59" spans="6:14" ht="14.25" customHeight="1" x14ac:dyDescent="0.25">
      <c r="F59" s="155" t="s">
        <v>284</v>
      </c>
      <c r="G59" s="28"/>
      <c r="N59" s="16"/>
    </row>
    <row r="60" spans="6:14" ht="14.25" customHeight="1" x14ac:dyDescent="0.25">
      <c r="F60" s="155" t="s">
        <v>286</v>
      </c>
      <c r="G60" s="28"/>
      <c r="N60" s="16"/>
    </row>
    <row r="61" spans="6:14" ht="14.25" customHeight="1" x14ac:dyDescent="0.25">
      <c r="F61" s="161" t="s">
        <v>289</v>
      </c>
      <c r="G61" s="28"/>
      <c r="N61" s="16"/>
    </row>
    <row r="62" spans="6:14" ht="14.25" customHeight="1" x14ac:dyDescent="0.25">
      <c r="F62" s="162" t="s">
        <v>291</v>
      </c>
      <c r="G62" s="28"/>
      <c r="N62" s="16"/>
    </row>
    <row r="63" spans="6:14" ht="14.25" customHeight="1" x14ac:dyDescent="0.25">
      <c r="G63" s="28"/>
      <c r="N63" s="16"/>
    </row>
    <row r="64" spans="6:14" ht="14.25" customHeight="1" x14ac:dyDescent="0.25">
      <c r="G64" s="28"/>
      <c r="N64" s="16"/>
    </row>
    <row r="65" spans="7:14" ht="14.25" customHeight="1" x14ac:dyDescent="0.25">
      <c r="G65" s="28"/>
      <c r="N65" s="16"/>
    </row>
    <row r="66" spans="7:14" ht="14.25" customHeight="1" x14ac:dyDescent="0.25">
      <c r="G66" s="28"/>
      <c r="N66" s="16"/>
    </row>
    <row r="67" spans="7:14" ht="14.25" customHeight="1" x14ac:dyDescent="0.25">
      <c r="G67" s="28"/>
      <c r="N67" s="16"/>
    </row>
    <row r="68" spans="7:14" ht="14.25" customHeight="1" x14ac:dyDescent="0.25">
      <c r="G68" s="28"/>
      <c r="N68" s="16"/>
    </row>
    <row r="69" spans="7:14" ht="14.25" customHeight="1" x14ac:dyDescent="0.25">
      <c r="G69" s="28"/>
      <c r="N69" s="16"/>
    </row>
    <row r="70" spans="7:14" ht="14.25" customHeight="1" x14ac:dyDescent="0.25">
      <c r="G70" s="28"/>
      <c r="N70" s="16"/>
    </row>
    <row r="71" spans="7:14" ht="14.25" customHeight="1" x14ac:dyDescent="0.25">
      <c r="G71" s="28"/>
      <c r="N71" s="16"/>
    </row>
    <row r="72" spans="7:14" ht="14.25" customHeight="1" x14ac:dyDescent="0.25">
      <c r="G72" s="28"/>
      <c r="N72" s="16"/>
    </row>
    <row r="73" spans="7:14" ht="14.25" customHeight="1" x14ac:dyDescent="0.25">
      <c r="G73" s="28"/>
      <c r="N73" s="16"/>
    </row>
    <row r="74" spans="7:14" ht="14.25" customHeight="1" x14ac:dyDescent="0.25">
      <c r="G74" s="28"/>
      <c r="N74" s="16"/>
    </row>
    <row r="75" spans="7:14" ht="14.25" customHeight="1" x14ac:dyDescent="0.25">
      <c r="G75" s="28"/>
      <c r="N75" s="16"/>
    </row>
    <row r="76" spans="7:14" ht="14.25" customHeight="1" x14ac:dyDescent="0.25">
      <c r="G76" s="28"/>
      <c r="N76" s="16"/>
    </row>
    <row r="77" spans="7:14" ht="14.25" customHeight="1" x14ac:dyDescent="0.25">
      <c r="G77" s="28"/>
      <c r="N77" s="16"/>
    </row>
    <row r="78" spans="7:14" ht="14.25" customHeight="1" x14ac:dyDescent="0.25">
      <c r="G78" s="28"/>
      <c r="N78" s="16"/>
    </row>
    <row r="79" spans="7:14" ht="14.25" customHeight="1" x14ac:dyDescent="0.25">
      <c r="G79" s="28"/>
      <c r="N79" s="16"/>
    </row>
    <row r="80" spans="7:14" ht="14.25" customHeight="1" x14ac:dyDescent="0.25">
      <c r="G80" s="28"/>
      <c r="N80" s="16"/>
    </row>
    <row r="81" spans="7:14" ht="14.25" customHeight="1" x14ac:dyDescent="0.25">
      <c r="G81" s="28"/>
      <c r="N81" s="16"/>
    </row>
    <row r="82" spans="7:14" ht="14.25" customHeight="1" x14ac:dyDescent="0.25">
      <c r="G82" s="28"/>
      <c r="N82" s="16"/>
    </row>
    <row r="83" spans="7:14" ht="14.25" customHeight="1" x14ac:dyDescent="0.25">
      <c r="G83" s="28"/>
      <c r="N83" s="16"/>
    </row>
    <row r="84" spans="7:14" ht="14.25" customHeight="1" x14ac:dyDescent="0.25">
      <c r="G84" s="28"/>
      <c r="N84" s="16"/>
    </row>
    <row r="85" spans="7:14" ht="14.25" customHeight="1" x14ac:dyDescent="0.25">
      <c r="G85" s="28"/>
      <c r="N85" s="16"/>
    </row>
    <row r="86" spans="7:14" ht="14.25" customHeight="1" x14ac:dyDescent="0.25">
      <c r="G86" s="28"/>
      <c r="N86" s="16"/>
    </row>
    <row r="87" spans="7:14" ht="14.25" customHeight="1" x14ac:dyDescent="0.25">
      <c r="G87" s="28"/>
      <c r="N87" s="16"/>
    </row>
    <row r="88" spans="7:14" ht="14.25" customHeight="1" x14ac:dyDescent="0.25">
      <c r="G88" s="28"/>
      <c r="N88" s="16"/>
    </row>
    <row r="89" spans="7:14" ht="14.25" customHeight="1" x14ac:dyDescent="0.25">
      <c r="G89" s="28"/>
      <c r="N89" s="16"/>
    </row>
    <row r="90" spans="7:14" ht="14.25" customHeight="1" x14ac:dyDescent="0.25">
      <c r="G90" s="28"/>
      <c r="N90" s="16"/>
    </row>
    <row r="91" spans="7:14" ht="14.25" customHeight="1" x14ac:dyDescent="0.25">
      <c r="G91" s="28"/>
      <c r="N91" s="16"/>
    </row>
    <row r="92" spans="7:14" ht="14.25" customHeight="1" x14ac:dyDescent="0.25">
      <c r="G92" s="28"/>
      <c r="N92" s="16"/>
    </row>
    <row r="93" spans="7:14" ht="14.25" customHeight="1" x14ac:dyDescent="0.25">
      <c r="G93" s="28"/>
      <c r="N93" s="16"/>
    </row>
    <row r="94" spans="7:14" ht="14.25" customHeight="1" x14ac:dyDescent="0.25">
      <c r="G94" s="28"/>
      <c r="N94" s="16"/>
    </row>
    <row r="95" spans="7:14" ht="14.25" customHeight="1" x14ac:dyDescent="0.25">
      <c r="G95" s="28"/>
      <c r="N95" s="16"/>
    </row>
    <row r="96" spans="7:14" ht="14.25" customHeight="1" x14ac:dyDescent="0.25">
      <c r="G96" s="28"/>
      <c r="N96" s="16"/>
    </row>
    <row r="97" spans="7:14" ht="14.25" customHeight="1" x14ac:dyDescent="0.25">
      <c r="G97" s="28"/>
      <c r="N97" s="16"/>
    </row>
    <row r="98" spans="7:14" ht="14.25" customHeight="1" x14ac:dyDescent="0.25">
      <c r="G98" s="28"/>
      <c r="N98" s="16"/>
    </row>
    <row r="99" spans="7:14" ht="14.25" customHeight="1" x14ac:dyDescent="0.25">
      <c r="G99" s="28"/>
      <c r="N99" s="16"/>
    </row>
    <row r="100" spans="7:14" ht="14.25" customHeight="1" x14ac:dyDescent="0.25">
      <c r="G100" s="28"/>
      <c r="N100" s="16"/>
    </row>
    <row r="101" spans="7:14" ht="14.25" customHeight="1" x14ac:dyDescent="0.25">
      <c r="G101" s="28"/>
      <c r="N101" s="16"/>
    </row>
    <row r="102" spans="7:14" ht="14.25" customHeight="1" x14ac:dyDescent="0.25">
      <c r="G102" s="28"/>
      <c r="N102" s="16"/>
    </row>
    <row r="103" spans="7:14" ht="14.25" customHeight="1" x14ac:dyDescent="0.25">
      <c r="G103" s="28"/>
      <c r="N103" s="16"/>
    </row>
    <row r="104" spans="7:14" ht="14.25" customHeight="1" x14ac:dyDescent="0.25">
      <c r="G104" s="28"/>
      <c r="N104" s="16"/>
    </row>
    <row r="105" spans="7:14" ht="14.25" customHeight="1" x14ac:dyDescent="0.25">
      <c r="G105" s="28"/>
      <c r="N105" s="16"/>
    </row>
    <row r="106" spans="7:14" ht="14.25" customHeight="1" x14ac:dyDescent="0.25">
      <c r="G106" s="28"/>
      <c r="N106" s="16"/>
    </row>
    <row r="107" spans="7:14" ht="14.25" customHeight="1" x14ac:dyDescent="0.25">
      <c r="G107" s="28"/>
      <c r="N107" s="16"/>
    </row>
    <row r="108" spans="7:14" ht="14.25" customHeight="1" x14ac:dyDescent="0.25">
      <c r="G108" s="28"/>
      <c r="N108" s="16"/>
    </row>
    <row r="109" spans="7:14" ht="14.25" customHeight="1" x14ac:dyDescent="0.25">
      <c r="G109" s="28"/>
      <c r="N109" s="16"/>
    </row>
    <row r="110" spans="7:14" ht="14.25" customHeight="1" x14ac:dyDescent="0.25">
      <c r="G110" s="28"/>
      <c r="N110" s="16"/>
    </row>
    <row r="111" spans="7:14" ht="14.25" customHeight="1" x14ac:dyDescent="0.25">
      <c r="G111" s="28"/>
      <c r="N111" s="16"/>
    </row>
    <row r="112" spans="7:14" ht="14.25" customHeight="1" x14ac:dyDescent="0.25">
      <c r="G112" s="28"/>
      <c r="N112" s="16"/>
    </row>
    <row r="113" spans="7:14" ht="14.25" customHeight="1" x14ac:dyDescent="0.25">
      <c r="G113" s="28"/>
      <c r="N113" s="16"/>
    </row>
    <row r="114" spans="7:14" ht="14.25" customHeight="1" x14ac:dyDescent="0.25">
      <c r="G114" s="28"/>
      <c r="N114" s="16"/>
    </row>
    <row r="115" spans="7:14" ht="14.25" customHeight="1" x14ac:dyDescent="0.25">
      <c r="G115" s="28"/>
      <c r="N115" s="16"/>
    </row>
    <row r="116" spans="7:14" ht="14.25" customHeight="1" x14ac:dyDescent="0.25">
      <c r="G116" s="28"/>
      <c r="N116" s="16"/>
    </row>
    <row r="117" spans="7:14" ht="14.25" customHeight="1" x14ac:dyDescent="0.25">
      <c r="G117" s="28"/>
      <c r="N117" s="16"/>
    </row>
    <row r="118" spans="7:14" ht="14.25" customHeight="1" x14ac:dyDescent="0.25">
      <c r="G118" s="28"/>
      <c r="N118" s="16"/>
    </row>
    <row r="119" spans="7:14" ht="14.25" customHeight="1" x14ac:dyDescent="0.25">
      <c r="G119" s="28"/>
      <c r="N119" s="16"/>
    </row>
    <row r="120" spans="7:14" ht="14.25" customHeight="1" x14ac:dyDescent="0.25">
      <c r="G120" s="28"/>
      <c r="N120" s="16"/>
    </row>
    <row r="121" spans="7:14" ht="14.25" customHeight="1" x14ac:dyDescent="0.25">
      <c r="G121" s="28"/>
      <c r="N121" s="16"/>
    </row>
    <row r="122" spans="7:14" ht="14.25" customHeight="1" x14ac:dyDescent="0.25">
      <c r="G122" s="28"/>
      <c r="N122" s="16"/>
    </row>
    <row r="123" spans="7:14" ht="14.25" customHeight="1" x14ac:dyDescent="0.25">
      <c r="G123" s="28"/>
      <c r="N123" s="16"/>
    </row>
    <row r="124" spans="7:14" ht="14.25" customHeight="1" x14ac:dyDescent="0.25">
      <c r="G124" s="28"/>
      <c r="N124" s="16"/>
    </row>
    <row r="125" spans="7:14" ht="14.25" customHeight="1" x14ac:dyDescent="0.25">
      <c r="G125" s="28"/>
      <c r="N125" s="16"/>
    </row>
    <row r="126" spans="7:14" ht="14.25" customHeight="1" x14ac:dyDescent="0.25">
      <c r="G126" s="28"/>
      <c r="N126" s="16"/>
    </row>
    <row r="127" spans="7:14" ht="14.25" customHeight="1" x14ac:dyDescent="0.25">
      <c r="G127" s="28"/>
      <c r="N127" s="16"/>
    </row>
    <row r="128" spans="7:14" ht="14.25" customHeight="1" x14ac:dyDescent="0.25">
      <c r="G128" s="28"/>
      <c r="N128" s="16"/>
    </row>
    <row r="129" spans="7:14" ht="14.25" customHeight="1" x14ac:dyDescent="0.25">
      <c r="G129" s="28"/>
      <c r="N129" s="16"/>
    </row>
    <row r="130" spans="7:14" ht="14.25" customHeight="1" x14ac:dyDescent="0.25">
      <c r="G130" s="28"/>
      <c r="N130" s="16"/>
    </row>
    <row r="131" spans="7:14" ht="14.25" customHeight="1" x14ac:dyDescent="0.25">
      <c r="G131" s="28"/>
      <c r="N131" s="16"/>
    </row>
    <row r="132" spans="7:14" ht="14.25" customHeight="1" x14ac:dyDescent="0.25">
      <c r="G132" s="28"/>
      <c r="N132" s="16"/>
    </row>
    <row r="133" spans="7:14" ht="14.25" customHeight="1" x14ac:dyDescent="0.25">
      <c r="G133" s="28"/>
      <c r="N133" s="16"/>
    </row>
    <row r="134" spans="7:14" ht="14.25" customHeight="1" x14ac:dyDescent="0.25">
      <c r="G134" s="28"/>
      <c r="N134" s="16"/>
    </row>
    <row r="135" spans="7:14" ht="14.25" customHeight="1" x14ac:dyDescent="0.25">
      <c r="G135" s="28"/>
      <c r="N135" s="16"/>
    </row>
    <row r="136" spans="7:14" ht="14.25" customHeight="1" x14ac:dyDescent="0.25">
      <c r="G136" s="28"/>
      <c r="N136" s="16"/>
    </row>
    <row r="137" spans="7:14" ht="14.25" customHeight="1" x14ac:dyDescent="0.25">
      <c r="G137" s="28"/>
      <c r="N137" s="16"/>
    </row>
    <row r="138" spans="7:14" ht="14.25" customHeight="1" x14ac:dyDescent="0.25">
      <c r="G138" s="28"/>
      <c r="N138" s="16"/>
    </row>
    <row r="139" spans="7:14" ht="14.25" customHeight="1" x14ac:dyDescent="0.25">
      <c r="G139" s="28"/>
      <c r="N139" s="16"/>
    </row>
    <row r="140" spans="7:14" ht="14.25" customHeight="1" x14ac:dyDescent="0.25">
      <c r="G140" s="28"/>
      <c r="N140" s="16"/>
    </row>
    <row r="141" spans="7:14" ht="14.25" customHeight="1" x14ac:dyDescent="0.25">
      <c r="G141" s="28"/>
      <c r="N141" s="16"/>
    </row>
    <row r="142" spans="7:14" ht="14.25" customHeight="1" x14ac:dyDescent="0.25">
      <c r="G142" s="28"/>
      <c r="N142" s="16"/>
    </row>
    <row r="143" spans="7:14" ht="14.25" customHeight="1" x14ac:dyDescent="0.25">
      <c r="G143" s="28"/>
      <c r="N143" s="16"/>
    </row>
    <row r="144" spans="7:14" ht="14.25" customHeight="1" x14ac:dyDescent="0.25">
      <c r="G144" s="28"/>
      <c r="N144" s="16"/>
    </row>
    <row r="145" spans="7:14" ht="14.25" customHeight="1" x14ac:dyDescent="0.25">
      <c r="G145" s="28"/>
      <c r="N145" s="16"/>
    </row>
    <row r="146" spans="7:14" ht="14.25" customHeight="1" x14ac:dyDescent="0.25">
      <c r="G146" s="28"/>
      <c r="N146" s="16"/>
    </row>
    <row r="147" spans="7:14" ht="14.25" customHeight="1" x14ac:dyDescent="0.25">
      <c r="G147" s="28"/>
      <c r="N147" s="16"/>
    </row>
    <row r="148" spans="7:14" ht="14.25" customHeight="1" x14ac:dyDescent="0.25">
      <c r="G148" s="28"/>
      <c r="N148" s="16"/>
    </row>
    <row r="149" spans="7:14" ht="14.25" customHeight="1" x14ac:dyDescent="0.25">
      <c r="G149" s="28"/>
      <c r="N149" s="16"/>
    </row>
    <row r="150" spans="7:14" ht="14.25" customHeight="1" x14ac:dyDescent="0.25">
      <c r="G150" s="28"/>
      <c r="N150" s="16"/>
    </row>
    <row r="151" spans="7:14" ht="14.25" customHeight="1" x14ac:dyDescent="0.25">
      <c r="G151" s="28"/>
      <c r="N151" s="16"/>
    </row>
    <row r="152" spans="7:14" ht="14.25" customHeight="1" x14ac:dyDescent="0.25">
      <c r="G152" s="28"/>
      <c r="N152" s="16"/>
    </row>
    <row r="153" spans="7:14" ht="14.25" customHeight="1" x14ac:dyDescent="0.25">
      <c r="G153" s="28"/>
      <c r="N153" s="16"/>
    </row>
    <row r="154" spans="7:14" ht="14.25" customHeight="1" x14ac:dyDescent="0.25">
      <c r="G154" s="28"/>
      <c r="N154" s="16"/>
    </row>
    <row r="155" spans="7:14" ht="14.25" customHeight="1" x14ac:dyDescent="0.25">
      <c r="G155" s="28"/>
      <c r="N155" s="16"/>
    </row>
    <row r="156" spans="7:14" ht="14.25" customHeight="1" x14ac:dyDescent="0.25">
      <c r="G156" s="28"/>
      <c r="N156" s="16"/>
    </row>
    <row r="157" spans="7:14" ht="14.25" customHeight="1" x14ac:dyDescent="0.25">
      <c r="G157" s="28"/>
      <c r="N157" s="16"/>
    </row>
    <row r="158" spans="7:14" ht="14.25" customHeight="1" x14ac:dyDescent="0.25">
      <c r="G158" s="28"/>
      <c r="N158" s="16"/>
    </row>
    <row r="159" spans="7:14" ht="14.25" customHeight="1" x14ac:dyDescent="0.25">
      <c r="G159" s="28"/>
      <c r="N159" s="16"/>
    </row>
    <row r="160" spans="7:14" ht="14.25" customHeight="1" x14ac:dyDescent="0.25">
      <c r="G160" s="28"/>
      <c r="N160" s="16"/>
    </row>
    <row r="161" spans="7:14" ht="14.25" customHeight="1" x14ac:dyDescent="0.25">
      <c r="G161" s="28"/>
      <c r="N161" s="16"/>
    </row>
    <row r="162" spans="7:14" ht="14.25" customHeight="1" x14ac:dyDescent="0.25">
      <c r="G162" s="28"/>
      <c r="N162" s="16"/>
    </row>
    <row r="163" spans="7:14" ht="14.25" customHeight="1" x14ac:dyDescent="0.25">
      <c r="G163" s="28"/>
      <c r="N163" s="16"/>
    </row>
    <row r="164" spans="7:14" ht="14.25" customHeight="1" x14ac:dyDescent="0.25">
      <c r="G164" s="28"/>
      <c r="N164" s="16"/>
    </row>
    <row r="165" spans="7:14" ht="14.25" customHeight="1" x14ac:dyDescent="0.25">
      <c r="G165" s="28"/>
      <c r="N165" s="16"/>
    </row>
    <row r="166" spans="7:14" ht="14.25" customHeight="1" x14ac:dyDescent="0.25">
      <c r="G166" s="28"/>
      <c r="N166" s="16"/>
    </row>
    <row r="167" spans="7:14" ht="14.25" customHeight="1" x14ac:dyDescent="0.25">
      <c r="G167" s="28"/>
      <c r="N167" s="16"/>
    </row>
    <row r="168" spans="7:14" ht="14.25" customHeight="1" x14ac:dyDescent="0.25">
      <c r="G168" s="28"/>
      <c r="N168" s="16"/>
    </row>
    <row r="169" spans="7:14" ht="14.25" customHeight="1" x14ac:dyDescent="0.25">
      <c r="G169" s="28"/>
      <c r="N169" s="16"/>
    </row>
    <row r="170" spans="7:14" ht="14.25" customHeight="1" x14ac:dyDescent="0.25">
      <c r="G170" s="28"/>
      <c r="N170" s="16"/>
    </row>
    <row r="171" spans="7:14" ht="14.25" customHeight="1" x14ac:dyDescent="0.25">
      <c r="G171" s="28"/>
      <c r="N171" s="16"/>
    </row>
    <row r="172" spans="7:14" ht="14.25" customHeight="1" x14ac:dyDescent="0.25">
      <c r="G172" s="28"/>
      <c r="N172" s="16"/>
    </row>
    <row r="173" spans="7:14" ht="14.25" customHeight="1" x14ac:dyDescent="0.25">
      <c r="G173" s="28"/>
      <c r="N173" s="16"/>
    </row>
    <row r="174" spans="7:14" ht="14.25" customHeight="1" x14ac:dyDescent="0.25">
      <c r="G174" s="28"/>
      <c r="N174" s="16"/>
    </row>
    <row r="175" spans="7:14" ht="14.25" customHeight="1" x14ac:dyDescent="0.25">
      <c r="G175" s="28"/>
      <c r="N175" s="16"/>
    </row>
    <row r="176" spans="7:14" ht="14.25" customHeight="1" x14ac:dyDescent="0.25">
      <c r="G176" s="28"/>
      <c r="N176" s="16"/>
    </row>
    <row r="177" spans="7:14" ht="14.25" customHeight="1" x14ac:dyDescent="0.25">
      <c r="G177" s="28"/>
      <c r="N177" s="16"/>
    </row>
    <row r="178" spans="7:14" ht="14.25" customHeight="1" x14ac:dyDescent="0.25">
      <c r="G178" s="28"/>
      <c r="N178" s="16"/>
    </row>
    <row r="179" spans="7:14" ht="14.25" customHeight="1" x14ac:dyDescent="0.25">
      <c r="G179" s="28"/>
      <c r="N179" s="16"/>
    </row>
    <row r="180" spans="7:14" ht="14.25" customHeight="1" x14ac:dyDescent="0.25">
      <c r="G180" s="28"/>
      <c r="N180" s="16"/>
    </row>
    <row r="181" spans="7:14" ht="14.25" customHeight="1" x14ac:dyDescent="0.25">
      <c r="G181" s="28"/>
      <c r="N181" s="16"/>
    </row>
    <row r="182" spans="7:14" ht="14.25" customHeight="1" x14ac:dyDescent="0.25">
      <c r="G182" s="28"/>
      <c r="N182" s="16"/>
    </row>
    <row r="183" spans="7:14" ht="14.25" customHeight="1" x14ac:dyDescent="0.25">
      <c r="G183" s="28"/>
      <c r="N183" s="16"/>
    </row>
    <row r="184" spans="7:14" ht="14.25" customHeight="1" x14ac:dyDescent="0.25">
      <c r="G184" s="28"/>
      <c r="N184" s="16"/>
    </row>
    <row r="185" spans="7:14" ht="14.25" customHeight="1" x14ac:dyDescent="0.25">
      <c r="G185" s="28"/>
      <c r="N185" s="16"/>
    </row>
    <row r="186" spans="7:14" ht="14.25" customHeight="1" x14ac:dyDescent="0.25">
      <c r="G186" s="28"/>
      <c r="N186" s="16"/>
    </row>
    <row r="187" spans="7:14" ht="14.25" customHeight="1" x14ac:dyDescent="0.25">
      <c r="G187" s="28"/>
      <c r="N187" s="16"/>
    </row>
    <row r="188" spans="7:14" ht="14.25" customHeight="1" x14ac:dyDescent="0.25">
      <c r="G188" s="28"/>
      <c r="N188" s="16"/>
    </row>
    <row r="189" spans="7:14" ht="14.25" customHeight="1" x14ac:dyDescent="0.25">
      <c r="G189" s="28"/>
      <c r="N189" s="16"/>
    </row>
    <row r="190" spans="7:14" ht="14.25" customHeight="1" x14ac:dyDescent="0.25">
      <c r="G190" s="28"/>
      <c r="N190" s="16"/>
    </row>
    <row r="191" spans="7:14" ht="14.25" customHeight="1" x14ac:dyDescent="0.25">
      <c r="G191" s="28"/>
      <c r="N191" s="16"/>
    </row>
    <row r="192" spans="7:14" ht="14.25" customHeight="1" x14ac:dyDescent="0.25">
      <c r="G192" s="28"/>
      <c r="N192" s="16"/>
    </row>
    <row r="193" spans="7:14" ht="14.25" customHeight="1" x14ac:dyDescent="0.25">
      <c r="G193" s="28"/>
      <c r="N193" s="16"/>
    </row>
    <row r="194" spans="7:14" ht="14.25" customHeight="1" x14ac:dyDescent="0.25">
      <c r="G194" s="28"/>
      <c r="N194" s="16"/>
    </row>
    <row r="195" spans="7:14" ht="14.25" customHeight="1" x14ac:dyDescent="0.25">
      <c r="G195" s="28"/>
      <c r="N195" s="16"/>
    </row>
    <row r="196" spans="7:14" ht="14.25" customHeight="1" x14ac:dyDescent="0.25">
      <c r="G196" s="28"/>
      <c r="N196" s="16"/>
    </row>
    <row r="197" spans="7:14" ht="14.25" customHeight="1" x14ac:dyDescent="0.25">
      <c r="G197" s="28"/>
      <c r="N197" s="16"/>
    </row>
    <row r="198" spans="7:14" ht="14.25" customHeight="1" x14ac:dyDescent="0.25">
      <c r="G198" s="28"/>
      <c r="N198" s="16"/>
    </row>
    <row r="199" spans="7:14" ht="14.25" customHeight="1" x14ac:dyDescent="0.25">
      <c r="G199" s="28"/>
      <c r="N199" s="16"/>
    </row>
    <row r="200" spans="7:14" ht="14.25" customHeight="1" x14ac:dyDescent="0.25">
      <c r="G200" s="28"/>
      <c r="N200" s="16"/>
    </row>
    <row r="201" spans="7:14" ht="14.25" customHeight="1" x14ac:dyDescent="0.25">
      <c r="G201" s="28"/>
      <c r="N201" s="16"/>
    </row>
    <row r="202" spans="7:14" ht="14.25" customHeight="1" x14ac:dyDescent="0.25">
      <c r="G202" s="28"/>
      <c r="N202" s="16"/>
    </row>
    <row r="203" spans="7:14" ht="14.25" customHeight="1" x14ac:dyDescent="0.25">
      <c r="G203" s="28"/>
      <c r="N203" s="16"/>
    </row>
    <row r="204" spans="7:14" ht="14.25" customHeight="1" x14ac:dyDescent="0.25">
      <c r="G204" s="28"/>
      <c r="N204" s="16"/>
    </row>
    <row r="205" spans="7:14" ht="14.25" customHeight="1" x14ac:dyDescent="0.25">
      <c r="G205" s="28"/>
      <c r="N205" s="16"/>
    </row>
    <row r="206" spans="7:14" ht="14.25" customHeight="1" x14ac:dyDescent="0.25">
      <c r="G206" s="28"/>
      <c r="N206" s="16"/>
    </row>
    <row r="207" spans="7:14" ht="14.25" customHeight="1" x14ac:dyDescent="0.25">
      <c r="G207" s="28"/>
      <c r="N207" s="16"/>
    </row>
    <row r="208" spans="7:14" ht="14.25" customHeight="1" x14ac:dyDescent="0.25">
      <c r="G208" s="28"/>
      <c r="N208" s="16"/>
    </row>
    <row r="209" spans="7:14" ht="14.25" customHeight="1" x14ac:dyDescent="0.25">
      <c r="G209" s="28"/>
      <c r="N209" s="16"/>
    </row>
    <row r="210" spans="7:14" ht="14.25" customHeight="1" x14ac:dyDescent="0.25">
      <c r="G210" s="28"/>
      <c r="N210" s="16"/>
    </row>
    <row r="211" spans="7:14" ht="14.25" customHeight="1" x14ac:dyDescent="0.25">
      <c r="G211" s="28"/>
      <c r="N211" s="16"/>
    </row>
    <row r="212" spans="7:14" ht="14.25" customHeight="1" x14ac:dyDescent="0.25">
      <c r="G212" s="28"/>
      <c r="N212" s="16"/>
    </row>
    <row r="213" spans="7:14" ht="14.25" customHeight="1" x14ac:dyDescent="0.25">
      <c r="G213" s="28"/>
      <c r="N213" s="16"/>
    </row>
    <row r="214" spans="7:14" ht="14.25" customHeight="1" x14ac:dyDescent="0.25">
      <c r="G214" s="28"/>
      <c r="N214" s="16"/>
    </row>
    <row r="215" spans="7:14" ht="14.25" customHeight="1" x14ac:dyDescent="0.25">
      <c r="G215" s="28"/>
      <c r="N215" s="16"/>
    </row>
    <row r="216" spans="7:14" ht="14.25" customHeight="1" x14ac:dyDescent="0.25">
      <c r="G216" s="28"/>
      <c r="N216" s="16"/>
    </row>
    <row r="217" spans="7:14" ht="14.25" customHeight="1" x14ac:dyDescent="0.25">
      <c r="G217" s="28"/>
      <c r="N217" s="16"/>
    </row>
    <row r="218" spans="7:14" ht="14.25" customHeight="1" x14ac:dyDescent="0.25">
      <c r="G218" s="28"/>
      <c r="N218" s="16"/>
    </row>
    <row r="219" spans="7:14" ht="14.25" customHeight="1" x14ac:dyDescent="0.25">
      <c r="G219" s="28"/>
      <c r="N219" s="16"/>
    </row>
    <row r="220" spans="7:14" ht="14.25" customHeight="1" x14ac:dyDescent="0.25">
      <c r="G220" s="28"/>
      <c r="N220" s="16"/>
    </row>
    <row r="221" spans="7:14" ht="14.25" customHeight="1" x14ac:dyDescent="0.25">
      <c r="G221" s="28"/>
      <c r="N221" s="16"/>
    </row>
    <row r="222" spans="7:14" ht="14.25" customHeight="1" x14ac:dyDescent="0.25">
      <c r="G222" s="28"/>
      <c r="N222" s="16"/>
    </row>
    <row r="223" spans="7:14" ht="14.25" customHeight="1" x14ac:dyDescent="0.25">
      <c r="G223" s="28"/>
      <c r="N223" s="16"/>
    </row>
    <row r="224" spans="7:14" ht="14.25" customHeight="1" x14ac:dyDescent="0.25">
      <c r="G224" s="28"/>
      <c r="N224" s="16"/>
    </row>
    <row r="225" spans="7:14" ht="14.25" customHeight="1" x14ac:dyDescent="0.25">
      <c r="G225" s="28"/>
      <c r="N225" s="16"/>
    </row>
    <row r="226" spans="7:14" ht="14.25" customHeight="1" x14ac:dyDescent="0.25">
      <c r="G226" s="28"/>
      <c r="N226" s="16"/>
    </row>
    <row r="227" spans="7:14" ht="14.25" customHeight="1" x14ac:dyDescent="0.25">
      <c r="G227" s="28"/>
      <c r="N227" s="16"/>
    </row>
    <row r="228" spans="7:14" ht="14.25" customHeight="1" x14ac:dyDescent="0.25">
      <c r="G228" s="28"/>
      <c r="N228" s="16"/>
    </row>
    <row r="229" spans="7:14" ht="14.25" customHeight="1" x14ac:dyDescent="0.25">
      <c r="G229" s="28"/>
      <c r="N229" s="16"/>
    </row>
    <row r="230" spans="7:14" ht="14.25" customHeight="1" x14ac:dyDescent="0.25">
      <c r="G230" s="28"/>
      <c r="N230" s="16"/>
    </row>
    <row r="231" spans="7:14" ht="14.25" customHeight="1" x14ac:dyDescent="0.25">
      <c r="G231" s="28"/>
      <c r="N231" s="16"/>
    </row>
    <row r="232" spans="7:14" ht="14.25" customHeight="1" x14ac:dyDescent="0.25">
      <c r="G232" s="28"/>
      <c r="N232" s="16"/>
    </row>
    <row r="233" spans="7:14" ht="14.25" customHeight="1" x14ac:dyDescent="0.25">
      <c r="G233" s="28"/>
      <c r="N233" s="16"/>
    </row>
    <row r="234" spans="7:14" ht="14.25" customHeight="1" x14ac:dyDescent="0.25">
      <c r="G234" s="28"/>
      <c r="N234" s="16"/>
    </row>
    <row r="235" spans="7:14" ht="14.25" customHeight="1" x14ac:dyDescent="0.25">
      <c r="G235" s="28"/>
      <c r="N235" s="16"/>
    </row>
    <row r="236" spans="7:14" ht="14.25" customHeight="1" x14ac:dyDescent="0.25">
      <c r="G236" s="28"/>
      <c r="N236" s="16"/>
    </row>
    <row r="237" spans="7:14" ht="14.25" customHeight="1" x14ac:dyDescent="0.25">
      <c r="G237" s="28"/>
      <c r="N237" s="16"/>
    </row>
    <row r="238" spans="7:14" ht="14.25" customHeight="1" x14ac:dyDescent="0.25">
      <c r="G238" s="28"/>
      <c r="N238" s="16"/>
    </row>
    <row r="239" spans="7:14" ht="14.25" customHeight="1" x14ac:dyDescent="0.25">
      <c r="G239" s="28"/>
      <c r="N239" s="16"/>
    </row>
    <row r="240" spans="7:14" ht="14.25" customHeight="1" x14ac:dyDescent="0.25">
      <c r="G240" s="28"/>
      <c r="N240" s="16"/>
    </row>
    <row r="241" spans="7:14" ht="14.25" customHeight="1" x14ac:dyDescent="0.25">
      <c r="G241" s="28"/>
      <c r="N241" s="16"/>
    </row>
    <row r="242" spans="7:14" ht="14.25" customHeight="1" x14ac:dyDescent="0.25">
      <c r="G242" s="28"/>
      <c r="N242" s="16"/>
    </row>
    <row r="243" spans="7:14" ht="14.25" customHeight="1" x14ac:dyDescent="0.25">
      <c r="G243" s="28"/>
      <c r="N243" s="16"/>
    </row>
    <row r="244" spans="7:14" ht="14.25" customHeight="1" x14ac:dyDescent="0.25">
      <c r="G244" s="28"/>
      <c r="N244" s="16"/>
    </row>
    <row r="245" spans="7:14" ht="14.25" customHeight="1" x14ac:dyDescent="0.25">
      <c r="G245" s="28"/>
      <c r="N245" s="16"/>
    </row>
    <row r="246" spans="7:14" ht="14.25" customHeight="1" x14ac:dyDescent="0.25">
      <c r="G246" s="28"/>
      <c r="N246" s="16"/>
    </row>
    <row r="247" spans="7:14" ht="14.25" customHeight="1" x14ac:dyDescent="0.25">
      <c r="G247" s="28"/>
      <c r="N247" s="16"/>
    </row>
    <row r="248" spans="7:14" ht="14.25" customHeight="1" x14ac:dyDescent="0.25">
      <c r="G248" s="28"/>
      <c r="N248" s="16"/>
    </row>
    <row r="249" spans="7:14" ht="14.25" customHeight="1" x14ac:dyDescent="0.25">
      <c r="G249" s="28"/>
      <c r="N249" s="16"/>
    </row>
    <row r="250" spans="7:14" ht="14.25" customHeight="1" x14ac:dyDescent="0.25">
      <c r="G250" s="28"/>
      <c r="N250" s="16"/>
    </row>
    <row r="251" spans="7:14" ht="14.25" customHeight="1" x14ac:dyDescent="0.25">
      <c r="G251" s="28"/>
      <c r="N251" s="16"/>
    </row>
    <row r="252" spans="7:14" ht="14.25" customHeight="1" x14ac:dyDescent="0.25">
      <c r="G252" s="28"/>
      <c r="N252" s="16"/>
    </row>
    <row r="253" spans="7:14" ht="14.25" customHeight="1" x14ac:dyDescent="0.25">
      <c r="G253" s="28"/>
      <c r="N253" s="16"/>
    </row>
    <row r="254" spans="7:14" ht="14.25" customHeight="1" x14ac:dyDescent="0.25">
      <c r="G254" s="28"/>
      <c r="N254" s="16"/>
    </row>
    <row r="255" spans="7:14" ht="14.25" customHeight="1" x14ac:dyDescent="0.25">
      <c r="G255" s="28"/>
      <c r="N255" s="16"/>
    </row>
    <row r="256" spans="7:14" ht="14.25" customHeight="1" x14ac:dyDescent="0.25">
      <c r="G256" s="28"/>
      <c r="N256" s="16"/>
    </row>
    <row r="257" spans="7:14" ht="14.25" customHeight="1" x14ac:dyDescent="0.25">
      <c r="G257" s="28"/>
      <c r="N257" s="16"/>
    </row>
    <row r="258" spans="7:14" ht="14.25" customHeight="1" x14ac:dyDescent="0.25">
      <c r="G258" s="28"/>
      <c r="N258" s="16"/>
    </row>
    <row r="259" spans="7:14" ht="14.25" customHeight="1" x14ac:dyDescent="0.25">
      <c r="G259" s="28"/>
      <c r="N259" s="16"/>
    </row>
    <row r="260" spans="7:14" ht="14.25" customHeight="1" x14ac:dyDescent="0.25">
      <c r="G260" s="28"/>
      <c r="N260" s="16"/>
    </row>
    <row r="261" spans="7:14" ht="14.25" customHeight="1" x14ac:dyDescent="0.25">
      <c r="G261" s="28"/>
      <c r="N261" s="16"/>
    </row>
    <row r="262" spans="7:14" ht="14.25" customHeight="1" x14ac:dyDescent="0.25">
      <c r="G262" s="28"/>
      <c r="N262" s="16"/>
    </row>
    <row r="263" spans="7:14" ht="14.25" customHeight="1" x14ac:dyDescent="0.25">
      <c r="G263" s="28"/>
      <c r="N263" s="16"/>
    </row>
    <row r="264" spans="7:14" ht="14.25" customHeight="1" x14ac:dyDescent="0.25">
      <c r="G264" s="28"/>
      <c r="N264" s="16"/>
    </row>
    <row r="265" spans="7:14" ht="14.25" customHeight="1" x14ac:dyDescent="0.25">
      <c r="G265" s="28"/>
      <c r="N265" s="16"/>
    </row>
    <row r="266" spans="7:14" ht="14.25" customHeight="1" x14ac:dyDescent="0.25">
      <c r="G266" s="28"/>
      <c r="N266" s="16"/>
    </row>
    <row r="267" spans="7:14" ht="14.25" customHeight="1" x14ac:dyDescent="0.25">
      <c r="G267" s="28"/>
      <c r="N267" s="16"/>
    </row>
    <row r="268" spans="7:14" ht="14.25" customHeight="1" x14ac:dyDescent="0.25">
      <c r="G268" s="28"/>
      <c r="N268" s="16"/>
    </row>
    <row r="269" spans="7:14" ht="14.25" customHeight="1" x14ac:dyDescent="0.25">
      <c r="G269" s="28"/>
      <c r="N269" s="16"/>
    </row>
    <row r="270" spans="7:14" ht="14.25" customHeight="1" x14ac:dyDescent="0.25">
      <c r="G270" s="28"/>
      <c r="N270" s="16"/>
    </row>
    <row r="271" spans="7:14" ht="14.25" customHeight="1" x14ac:dyDescent="0.25">
      <c r="G271" s="28"/>
      <c r="N271" s="16"/>
    </row>
    <row r="272" spans="7:14" ht="14.25" customHeight="1" x14ac:dyDescent="0.25">
      <c r="G272" s="28"/>
      <c r="N272" s="16"/>
    </row>
    <row r="273" spans="7:14" ht="14.25" customHeight="1" x14ac:dyDescent="0.25">
      <c r="G273" s="28"/>
      <c r="N273" s="16"/>
    </row>
    <row r="274" spans="7:14" ht="14.25" customHeight="1" x14ac:dyDescent="0.25">
      <c r="G274" s="28"/>
      <c r="N274" s="16"/>
    </row>
    <row r="275" spans="7:14" ht="14.25" customHeight="1" x14ac:dyDescent="0.25">
      <c r="G275" s="28"/>
      <c r="N275" s="16"/>
    </row>
    <row r="276" spans="7:14" ht="14.25" customHeight="1" x14ac:dyDescent="0.25">
      <c r="G276" s="28"/>
      <c r="N276" s="16"/>
    </row>
    <row r="277" spans="7:14" ht="14.25" customHeight="1" x14ac:dyDescent="0.25">
      <c r="G277" s="28"/>
      <c r="N277" s="16"/>
    </row>
    <row r="278" spans="7:14" ht="14.25" customHeight="1" x14ac:dyDescent="0.25">
      <c r="G278" s="28"/>
      <c r="N278" s="16"/>
    </row>
    <row r="279" spans="7:14" ht="14.25" customHeight="1" x14ac:dyDescent="0.25">
      <c r="G279" s="28"/>
      <c r="N279" s="16"/>
    </row>
    <row r="280" spans="7:14" ht="14.25" customHeight="1" x14ac:dyDescent="0.25">
      <c r="G280" s="28"/>
      <c r="N280" s="16"/>
    </row>
    <row r="281" spans="7:14" ht="14.25" customHeight="1" x14ac:dyDescent="0.25">
      <c r="G281" s="28"/>
      <c r="N281" s="16"/>
    </row>
    <row r="282" spans="7:14" ht="14.25" customHeight="1" x14ac:dyDescent="0.25">
      <c r="G282" s="28"/>
      <c r="N282" s="16"/>
    </row>
    <row r="283" spans="7:14" ht="14.25" customHeight="1" x14ac:dyDescent="0.25">
      <c r="G283" s="28"/>
      <c r="N283" s="16"/>
    </row>
    <row r="284" spans="7:14" ht="14.25" customHeight="1" x14ac:dyDescent="0.25">
      <c r="G284" s="28"/>
      <c r="N284" s="16"/>
    </row>
    <row r="285" spans="7:14" ht="14.25" customHeight="1" x14ac:dyDescent="0.25">
      <c r="G285" s="28"/>
      <c r="N285" s="16"/>
    </row>
    <row r="286" spans="7:14" ht="14.25" customHeight="1" x14ac:dyDescent="0.25">
      <c r="G286" s="28"/>
      <c r="N286" s="16"/>
    </row>
    <row r="287" spans="7:14" ht="14.25" customHeight="1" x14ac:dyDescent="0.25">
      <c r="G287" s="28"/>
      <c r="N287" s="16"/>
    </row>
    <row r="288" spans="7:14" ht="14.25" customHeight="1" x14ac:dyDescent="0.25">
      <c r="G288" s="28"/>
      <c r="N288" s="16"/>
    </row>
    <row r="289" spans="7:14" ht="14.25" customHeight="1" x14ac:dyDescent="0.25">
      <c r="G289" s="28"/>
      <c r="N289" s="16"/>
    </row>
    <row r="290" spans="7:14" ht="14.25" customHeight="1" x14ac:dyDescent="0.25">
      <c r="G290" s="28"/>
      <c r="N290" s="16"/>
    </row>
    <row r="291" spans="7:14" ht="14.25" customHeight="1" x14ac:dyDescent="0.25">
      <c r="G291" s="28"/>
      <c r="N291" s="16"/>
    </row>
    <row r="292" spans="7:14" ht="14.25" customHeight="1" x14ac:dyDescent="0.25">
      <c r="G292" s="28"/>
      <c r="N292" s="16"/>
    </row>
    <row r="293" spans="7:14" ht="14.25" customHeight="1" x14ac:dyDescent="0.25">
      <c r="G293" s="28"/>
      <c r="N293" s="16"/>
    </row>
    <row r="294" spans="7:14" ht="14.25" customHeight="1" x14ac:dyDescent="0.25">
      <c r="G294" s="28"/>
      <c r="N294" s="16"/>
    </row>
    <row r="295" spans="7:14" ht="14.25" customHeight="1" x14ac:dyDescent="0.25">
      <c r="G295" s="28"/>
      <c r="N295" s="16"/>
    </row>
    <row r="296" spans="7:14" ht="14.25" customHeight="1" x14ac:dyDescent="0.25">
      <c r="G296" s="28"/>
      <c r="N296" s="16"/>
    </row>
    <row r="297" spans="7:14" ht="14.25" customHeight="1" x14ac:dyDescent="0.25">
      <c r="G297" s="28"/>
      <c r="N297" s="16"/>
    </row>
    <row r="298" spans="7:14" ht="14.25" customHeight="1" x14ac:dyDescent="0.25">
      <c r="G298" s="28"/>
      <c r="N298" s="16"/>
    </row>
    <row r="299" spans="7:14" ht="14.25" customHeight="1" x14ac:dyDescent="0.25">
      <c r="G299" s="28"/>
      <c r="N299" s="16"/>
    </row>
    <row r="300" spans="7:14" ht="14.25" customHeight="1" x14ac:dyDescent="0.25">
      <c r="G300" s="28"/>
      <c r="N300" s="16"/>
    </row>
    <row r="301" spans="7:14" ht="14.25" customHeight="1" x14ac:dyDescent="0.25">
      <c r="G301" s="28"/>
      <c r="N301" s="16"/>
    </row>
    <row r="302" spans="7:14" ht="14.25" customHeight="1" x14ac:dyDescent="0.25">
      <c r="G302" s="28"/>
      <c r="N302" s="16"/>
    </row>
    <row r="303" spans="7:14" ht="14.25" customHeight="1" x14ac:dyDescent="0.25">
      <c r="G303" s="28"/>
      <c r="N303" s="16"/>
    </row>
    <row r="304" spans="7:14" ht="14.25" customHeight="1" x14ac:dyDescent="0.25">
      <c r="G304" s="28"/>
      <c r="N304" s="16"/>
    </row>
    <row r="305" spans="7:14" ht="14.25" customHeight="1" x14ac:dyDescent="0.25">
      <c r="G305" s="28"/>
      <c r="N305" s="16"/>
    </row>
    <row r="306" spans="7:14" ht="14.25" customHeight="1" x14ac:dyDescent="0.25">
      <c r="G306" s="28"/>
      <c r="N306" s="16"/>
    </row>
    <row r="307" spans="7:14" ht="14.25" customHeight="1" x14ac:dyDescent="0.25">
      <c r="G307" s="28"/>
      <c r="N307" s="16"/>
    </row>
    <row r="308" spans="7:14" ht="14.25" customHeight="1" x14ac:dyDescent="0.25">
      <c r="G308" s="28"/>
      <c r="N308" s="16"/>
    </row>
    <row r="309" spans="7:14" ht="14.25" customHeight="1" x14ac:dyDescent="0.25">
      <c r="G309" s="28"/>
      <c r="N309" s="16"/>
    </row>
    <row r="310" spans="7:14" ht="14.25" customHeight="1" x14ac:dyDescent="0.25">
      <c r="G310" s="28"/>
      <c r="N310" s="16"/>
    </row>
    <row r="311" spans="7:14" ht="14.25" customHeight="1" x14ac:dyDescent="0.25">
      <c r="G311" s="28"/>
      <c r="N311" s="16"/>
    </row>
    <row r="312" spans="7:14" ht="14.25" customHeight="1" x14ac:dyDescent="0.25">
      <c r="G312" s="28"/>
      <c r="N312" s="16"/>
    </row>
    <row r="313" spans="7:14" ht="14.25" customHeight="1" x14ac:dyDescent="0.25">
      <c r="G313" s="28"/>
      <c r="N313" s="16"/>
    </row>
    <row r="314" spans="7:14" ht="14.25" customHeight="1" x14ac:dyDescent="0.25">
      <c r="G314" s="28"/>
      <c r="N314" s="16"/>
    </row>
    <row r="315" spans="7:14" ht="14.25" customHeight="1" x14ac:dyDescent="0.25">
      <c r="G315" s="28"/>
      <c r="N315" s="16"/>
    </row>
    <row r="316" spans="7:14" ht="14.25" customHeight="1" x14ac:dyDescent="0.25">
      <c r="G316" s="28"/>
      <c r="N316" s="16"/>
    </row>
    <row r="317" spans="7:14" ht="14.25" customHeight="1" x14ac:dyDescent="0.25">
      <c r="G317" s="28"/>
      <c r="N317" s="16"/>
    </row>
    <row r="318" spans="7:14" ht="14.25" customHeight="1" x14ac:dyDescent="0.25">
      <c r="G318" s="28"/>
      <c r="N318" s="16"/>
    </row>
    <row r="319" spans="7:14" ht="14.25" customHeight="1" x14ac:dyDescent="0.25">
      <c r="G319" s="28"/>
      <c r="N319" s="16"/>
    </row>
    <row r="320" spans="7:14" ht="14.25" customHeight="1" x14ac:dyDescent="0.25">
      <c r="G320" s="28"/>
      <c r="N320" s="16"/>
    </row>
    <row r="321" spans="7:14" ht="14.25" customHeight="1" x14ac:dyDescent="0.25">
      <c r="G321" s="28"/>
      <c r="N321" s="16"/>
    </row>
    <row r="322" spans="7:14" ht="14.25" customHeight="1" x14ac:dyDescent="0.25">
      <c r="G322" s="28"/>
      <c r="N322" s="16"/>
    </row>
    <row r="323" spans="7:14" ht="14.25" customHeight="1" x14ac:dyDescent="0.25">
      <c r="G323" s="28"/>
      <c r="N323" s="16"/>
    </row>
    <row r="324" spans="7:14" ht="14.25" customHeight="1" x14ac:dyDescent="0.25">
      <c r="G324" s="28"/>
      <c r="N324" s="16"/>
    </row>
    <row r="325" spans="7:14" ht="14.25" customHeight="1" x14ac:dyDescent="0.25">
      <c r="G325" s="28"/>
      <c r="N325" s="16"/>
    </row>
    <row r="326" spans="7:14" ht="14.25" customHeight="1" x14ac:dyDescent="0.25">
      <c r="G326" s="28"/>
      <c r="N326" s="16"/>
    </row>
    <row r="327" spans="7:14" ht="14.25" customHeight="1" x14ac:dyDescent="0.25">
      <c r="G327" s="28"/>
      <c r="N327" s="16"/>
    </row>
    <row r="328" spans="7:14" ht="14.25" customHeight="1" x14ac:dyDescent="0.25">
      <c r="G328" s="28"/>
      <c r="N328" s="16"/>
    </row>
    <row r="329" spans="7:14" ht="14.25" customHeight="1" x14ac:dyDescent="0.25">
      <c r="G329" s="28"/>
      <c r="N329" s="16"/>
    </row>
    <row r="330" spans="7:14" ht="14.25" customHeight="1" x14ac:dyDescent="0.25">
      <c r="G330" s="28"/>
      <c r="N330" s="16"/>
    </row>
    <row r="331" spans="7:14" ht="14.25" customHeight="1" x14ac:dyDescent="0.25">
      <c r="G331" s="28"/>
      <c r="N331" s="16"/>
    </row>
    <row r="332" spans="7:14" ht="14.25" customHeight="1" x14ac:dyDescent="0.25">
      <c r="G332" s="28"/>
      <c r="N332" s="16"/>
    </row>
    <row r="333" spans="7:14" ht="14.25" customHeight="1" x14ac:dyDescent="0.25">
      <c r="G333" s="28"/>
      <c r="N333" s="16"/>
    </row>
    <row r="334" spans="7:14" ht="14.25" customHeight="1" x14ac:dyDescent="0.25">
      <c r="G334" s="28"/>
      <c r="N334" s="16"/>
    </row>
    <row r="335" spans="7:14" ht="14.25" customHeight="1" x14ac:dyDescent="0.25">
      <c r="G335" s="28"/>
      <c r="N335" s="16"/>
    </row>
    <row r="336" spans="7:14" ht="14.25" customHeight="1" x14ac:dyDescent="0.25">
      <c r="G336" s="28"/>
      <c r="N336" s="16"/>
    </row>
    <row r="337" spans="7:14" ht="14.25" customHeight="1" x14ac:dyDescent="0.25">
      <c r="G337" s="28"/>
      <c r="N337" s="16"/>
    </row>
    <row r="338" spans="7:14" ht="14.25" customHeight="1" x14ac:dyDescent="0.25">
      <c r="G338" s="28"/>
      <c r="N338" s="16"/>
    </row>
    <row r="339" spans="7:14" ht="14.25" customHeight="1" x14ac:dyDescent="0.25">
      <c r="G339" s="28"/>
      <c r="N339" s="16"/>
    </row>
    <row r="340" spans="7:14" ht="14.25" customHeight="1" x14ac:dyDescent="0.25">
      <c r="G340" s="28"/>
      <c r="N340" s="16"/>
    </row>
    <row r="341" spans="7:14" ht="14.25" customHeight="1" x14ac:dyDescent="0.25">
      <c r="G341" s="28"/>
      <c r="N341" s="16"/>
    </row>
    <row r="342" spans="7:14" ht="14.25" customHeight="1" x14ac:dyDescent="0.25">
      <c r="G342" s="28"/>
      <c r="N342" s="16"/>
    </row>
    <row r="343" spans="7:14" ht="14.25" customHeight="1" x14ac:dyDescent="0.25">
      <c r="G343" s="28"/>
      <c r="N343" s="16"/>
    </row>
    <row r="344" spans="7:14" ht="14.25" customHeight="1" x14ac:dyDescent="0.25">
      <c r="G344" s="28"/>
      <c r="N344" s="16"/>
    </row>
    <row r="345" spans="7:14" ht="14.25" customHeight="1" x14ac:dyDescent="0.25">
      <c r="G345" s="28"/>
      <c r="N345" s="16"/>
    </row>
    <row r="346" spans="7:14" ht="14.25" customHeight="1" x14ac:dyDescent="0.25">
      <c r="G346" s="28"/>
      <c r="N346" s="16"/>
    </row>
    <row r="347" spans="7:14" ht="14.25" customHeight="1" x14ac:dyDescent="0.25">
      <c r="G347" s="28"/>
      <c r="N347" s="16"/>
    </row>
    <row r="348" spans="7:14" ht="14.25" customHeight="1" x14ac:dyDescent="0.25">
      <c r="G348" s="28"/>
      <c r="N348" s="16"/>
    </row>
    <row r="349" spans="7:14" ht="14.25" customHeight="1" x14ac:dyDescent="0.25">
      <c r="G349" s="28"/>
      <c r="N349" s="16"/>
    </row>
    <row r="350" spans="7:14" ht="14.25" customHeight="1" x14ac:dyDescent="0.25">
      <c r="G350" s="28"/>
      <c r="N350" s="16"/>
    </row>
    <row r="351" spans="7:14" ht="14.25" customHeight="1" x14ac:dyDescent="0.25">
      <c r="G351" s="28"/>
      <c r="N351" s="16"/>
    </row>
    <row r="352" spans="7:14" ht="14.25" customHeight="1" x14ac:dyDescent="0.25">
      <c r="G352" s="28"/>
      <c r="N352" s="16"/>
    </row>
    <row r="353" spans="7:14" ht="14.25" customHeight="1" x14ac:dyDescent="0.25">
      <c r="G353" s="28"/>
      <c r="N353" s="16"/>
    </row>
    <row r="354" spans="7:14" ht="14.25" customHeight="1" x14ac:dyDescent="0.25">
      <c r="G354" s="28"/>
      <c r="N354" s="16"/>
    </row>
    <row r="355" spans="7:14" ht="14.25" customHeight="1" x14ac:dyDescent="0.25">
      <c r="G355" s="28"/>
      <c r="N355" s="16"/>
    </row>
    <row r="356" spans="7:14" ht="14.25" customHeight="1" x14ac:dyDescent="0.25">
      <c r="G356" s="28"/>
      <c r="N356" s="16"/>
    </row>
    <row r="357" spans="7:14" ht="14.25" customHeight="1" x14ac:dyDescent="0.25">
      <c r="G357" s="28"/>
      <c r="N357" s="16"/>
    </row>
    <row r="358" spans="7:14" ht="14.25" customHeight="1" x14ac:dyDescent="0.25">
      <c r="G358" s="28"/>
      <c r="N358" s="16"/>
    </row>
    <row r="359" spans="7:14" ht="14.25" customHeight="1" x14ac:dyDescent="0.25">
      <c r="G359" s="28"/>
      <c r="N359" s="16"/>
    </row>
    <row r="360" spans="7:14" ht="14.25" customHeight="1" x14ac:dyDescent="0.25">
      <c r="G360" s="28"/>
      <c r="N360" s="16"/>
    </row>
    <row r="361" spans="7:14" ht="14.25" customHeight="1" x14ac:dyDescent="0.25">
      <c r="G361" s="28"/>
      <c r="N361" s="16"/>
    </row>
    <row r="362" spans="7:14" ht="14.25" customHeight="1" x14ac:dyDescent="0.25">
      <c r="G362" s="28"/>
      <c r="N362" s="16"/>
    </row>
    <row r="363" spans="7:14" ht="14.25" customHeight="1" x14ac:dyDescent="0.25">
      <c r="G363" s="28"/>
      <c r="N363" s="16"/>
    </row>
    <row r="364" spans="7:14" ht="14.25" customHeight="1" x14ac:dyDescent="0.25">
      <c r="G364" s="28"/>
      <c r="N364" s="16"/>
    </row>
    <row r="365" spans="7:14" ht="14.25" customHeight="1" x14ac:dyDescent="0.25">
      <c r="G365" s="28"/>
      <c r="N365" s="16"/>
    </row>
    <row r="366" spans="7:14" ht="14.25" customHeight="1" x14ac:dyDescent="0.25">
      <c r="G366" s="28"/>
      <c r="N366" s="16"/>
    </row>
    <row r="367" spans="7:14" ht="14.25" customHeight="1" x14ac:dyDescent="0.25">
      <c r="G367" s="28"/>
      <c r="N367" s="16"/>
    </row>
    <row r="368" spans="7:14" ht="14.25" customHeight="1" x14ac:dyDescent="0.25">
      <c r="G368" s="28"/>
      <c r="N368" s="16"/>
    </row>
    <row r="369" spans="7:14" ht="14.25" customHeight="1" x14ac:dyDescent="0.25">
      <c r="G369" s="28"/>
      <c r="N369" s="16"/>
    </row>
    <row r="370" spans="7:14" ht="14.25" customHeight="1" x14ac:dyDescent="0.25">
      <c r="G370" s="28"/>
      <c r="N370" s="16"/>
    </row>
    <row r="371" spans="7:14" ht="14.25" customHeight="1" x14ac:dyDescent="0.25">
      <c r="G371" s="28"/>
      <c r="N371" s="16"/>
    </row>
    <row r="372" spans="7:14" ht="14.25" customHeight="1" x14ac:dyDescent="0.25">
      <c r="G372" s="28"/>
      <c r="N372" s="16"/>
    </row>
    <row r="373" spans="7:14" ht="14.25" customHeight="1" x14ac:dyDescent="0.25">
      <c r="G373" s="28"/>
      <c r="N373" s="16"/>
    </row>
    <row r="374" spans="7:14" ht="14.25" customHeight="1" x14ac:dyDescent="0.25">
      <c r="G374" s="28"/>
      <c r="N374" s="16"/>
    </row>
    <row r="375" spans="7:14" ht="14.25" customHeight="1" x14ac:dyDescent="0.25">
      <c r="G375" s="28"/>
      <c r="N375" s="16"/>
    </row>
    <row r="376" spans="7:14" ht="14.25" customHeight="1" x14ac:dyDescent="0.25">
      <c r="G376" s="28"/>
      <c r="N376" s="16"/>
    </row>
    <row r="377" spans="7:14" ht="14.25" customHeight="1" x14ac:dyDescent="0.25">
      <c r="G377" s="28"/>
      <c r="N377" s="16"/>
    </row>
    <row r="378" spans="7:14" ht="14.25" customHeight="1" x14ac:dyDescent="0.25">
      <c r="G378" s="28"/>
      <c r="N378" s="16"/>
    </row>
    <row r="379" spans="7:14" ht="14.25" customHeight="1" x14ac:dyDescent="0.25">
      <c r="G379" s="28"/>
      <c r="N379" s="16"/>
    </row>
    <row r="380" spans="7:14" ht="14.25" customHeight="1" x14ac:dyDescent="0.25">
      <c r="G380" s="28"/>
      <c r="N380" s="16"/>
    </row>
    <row r="381" spans="7:14" ht="14.25" customHeight="1" x14ac:dyDescent="0.25">
      <c r="G381" s="28"/>
      <c r="N381" s="16"/>
    </row>
    <row r="382" spans="7:14" ht="14.25" customHeight="1" x14ac:dyDescent="0.25">
      <c r="G382" s="28"/>
      <c r="N382" s="16"/>
    </row>
    <row r="383" spans="7:14" ht="14.25" customHeight="1" x14ac:dyDescent="0.25">
      <c r="G383" s="28"/>
      <c r="N383" s="16"/>
    </row>
    <row r="384" spans="7:14" ht="14.25" customHeight="1" x14ac:dyDescent="0.25">
      <c r="G384" s="28"/>
      <c r="N384" s="16"/>
    </row>
    <row r="385" spans="7:14" ht="14.25" customHeight="1" x14ac:dyDescent="0.25">
      <c r="G385" s="28"/>
      <c r="N385" s="16"/>
    </row>
    <row r="386" spans="7:14" ht="14.25" customHeight="1" x14ac:dyDescent="0.25">
      <c r="G386" s="28"/>
      <c r="N386" s="16"/>
    </row>
    <row r="387" spans="7:14" ht="14.25" customHeight="1" x14ac:dyDescent="0.25">
      <c r="G387" s="28"/>
      <c r="N387" s="16"/>
    </row>
    <row r="388" spans="7:14" ht="14.25" customHeight="1" x14ac:dyDescent="0.25">
      <c r="G388" s="28"/>
      <c r="N388" s="16"/>
    </row>
    <row r="389" spans="7:14" ht="14.25" customHeight="1" x14ac:dyDescent="0.25">
      <c r="G389" s="28"/>
      <c r="N389" s="16"/>
    </row>
    <row r="390" spans="7:14" ht="14.25" customHeight="1" x14ac:dyDescent="0.25">
      <c r="G390" s="28"/>
      <c r="N390" s="16"/>
    </row>
    <row r="391" spans="7:14" ht="14.25" customHeight="1" x14ac:dyDescent="0.25">
      <c r="G391" s="28"/>
      <c r="N391" s="16"/>
    </row>
    <row r="392" spans="7:14" ht="14.25" customHeight="1" x14ac:dyDescent="0.25">
      <c r="G392" s="28"/>
      <c r="N392" s="16"/>
    </row>
    <row r="393" spans="7:14" ht="14.25" customHeight="1" x14ac:dyDescent="0.25">
      <c r="G393" s="28"/>
      <c r="N393" s="16"/>
    </row>
    <row r="394" spans="7:14" ht="14.25" customHeight="1" x14ac:dyDescent="0.25">
      <c r="G394" s="28"/>
      <c r="N394" s="16"/>
    </row>
    <row r="395" spans="7:14" ht="14.25" customHeight="1" x14ac:dyDescent="0.25">
      <c r="G395" s="28"/>
      <c r="N395" s="16"/>
    </row>
    <row r="396" spans="7:14" ht="14.25" customHeight="1" x14ac:dyDescent="0.25">
      <c r="G396" s="28"/>
      <c r="N396" s="16"/>
    </row>
    <row r="397" spans="7:14" ht="14.25" customHeight="1" x14ac:dyDescent="0.25">
      <c r="G397" s="28"/>
      <c r="N397" s="16"/>
    </row>
    <row r="398" spans="7:14" ht="14.25" customHeight="1" x14ac:dyDescent="0.25">
      <c r="G398" s="28"/>
      <c r="N398" s="16"/>
    </row>
    <row r="399" spans="7:14" ht="14.25" customHeight="1" x14ac:dyDescent="0.25">
      <c r="G399" s="28"/>
      <c r="N399" s="16"/>
    </row>
    <row r="400" spans="7:14" ht="14.25" customHeight="1" x14ac:dyDescent="0.25">
      <c r="G400" s="28"/>
      <c r="N400" s="16"/>
    </row>
    <row r="401" spans="7:14" ht="14.25" customHeight="1" x14ac:dyDescent="0.25">
      <c r="G401" s="28"/>
      <c r="N401" s="16"/>
    </row>
    <row r="402" spans="7:14" ht="14.25" customHeight="1" x14ac:dyDescent="0.25">
      <c r="G402" s="28"/>
      <c r="N402" s="16"/>
    </row>
    <row r="403" spans="7:14" ht="14.25" customHeight="1" x14ac:dyDescent="0.25">
      <c r="G403" s="28"/>
      <c r="N403" s="16"/>
    </row>
    <row r="404" spans="7:14" ht="14.25" customHeight="1" x14ac:dyDescent="0.25">
      <c r="G404" s="28"/>
      <c r="N404" s="16"/>
    </row>
    <row r="405" spans="7:14" ht="14.25" customHeight="1" x14ac:dyDescent="0.25">
      <c r="G405" s="28"/>
      <c r="N405" s="16"/>
    </row>
    <row r="406" spans="7:14" ht="14.25" customHeight="1" x14ac:dyDescent="0.25">
      <c r="G406" s="28"/>
      <c r="N406" s="16"/>
    </row>
    <row r="407" spans="7:14" ht="14.25" customHeight="1" x14ac:dyDescent="0.25">
      <c r="G407" s="28"/>
      <c r="N407" s="16"/>
    </row>
    <row r="408" spans="7:14" ht="14.25" customHeight="1" x14ac:dyDescent="0.25">
      <c r="G408" s="28"/>
      <c r="N408" s="16"/>
    </row>
    <row r="409" spans="7:14" ht="14.25" customHeight="1" x14ac:dyDescent="0.25">
      <c r="G409" s="28"/>
      <c r="N409" s="16"/>
    </row>
    <row r="410" spans="7:14" ht="14.25" customHeight="1" x14ac:dyDescent="0.25">
      <c r="G410" s="28"/>
      <c r="N410" s="16"/>
    </row>
    <row r="411" spans="7:14" ht="14.25" customHeight="1" x14ac:dyDescent="0.25">
      <c r="G411" s="28"/>
      <c r="N411" s="16"/>
    </row>
    <row r="412" spans="7:14" ht="14.25" customHeight="1" x14ac:dyDescent="0.25">
      <c r="G412" s="28"/>
      <c r="N412" s="16"/>
    </row>
    <row r="413" spans="7:14" ht="14.25" customHeight="1" x14ac:dyDescent="0.25">
      <c r="G413" s="28"/>
      <c r="N413" s="16"/>
    </row>
    <row r="414" spans="7:14" ht="14.25" customHeight="1" x14ac:dyDescent="0.25">
      <c r="G414" s="28"/>
      <c r="N414" s="16"/>
    </row>
    <row r="415" spans="7:14" ht="14.25" customHeight="1" x14ac:dyDescent="0.25">
      <c r="G415" s="28"/>
      <c r="N415" s="16"/>
    </row>
    <row r="416" spans="7:14" ht="14.25" customHeight="1" x14ac:dyDescent="0.25">
      <c r="G416" s="28"/>
      <c r="N416" s="16"/>
    </row>
    <row r="417" spans="7:14" ht="14.25" customHeight="1" x14ac:dyDescent="0.25">
      <c r="G417" s="28"/>
      <c r="N417" s="16"/>
    </row>
    <row r="418" spans="7:14" ht="14.25" customHeight="1" x14ac:dyDescent="0.25">
      <c r="G418" s="28"/>
      <c r="N418" s="16"/>
    </row>
    <row r="419" spans="7:14" ht="14.25" customHeight="1" x14ac:dyDescent="0.25">
      <c r="G419" s="28"/>
      <c r="N419" s="16"/>
    </row>
    <row r="420" spans="7:14" ht="14.25" customHeight="1" x14ac:dyDescent="0.25">
      <c r="G420" s="28"/>
      <c r="N420" s="16"/>
    </row>
    <row r="421" spans="7:14" ht="14.25" customHeight="1" x14ac:dyDescent="0.25">
      <c r="G421" s="28"/>
      <c r="N421" s="16"/>
    </row>
    <row r="422" spans="7:14" ht="14.25" customHeight="1" x14ac:dyDescent="0.25">
      <c r="G422" s="28"/>
      <c r="N422" s="16"/>
    </row>
    <row r="423" spans="7:14" ht="14.25" customHeight="1" x14ac:dyDescent="0.25">
      <c r="G423" s="28"/>
      <c r="N423" s="16"/>
    </row>
    <row r="424" spans="7:14" ht="14.25" customHeight="1" x14ac:dyDescent="0.25">
      <c r="G424" s="28"/>
      <c r="N424" s="16"/>
    </row>
    <row r="425" spans="7:14" ht="14.25" customHeight="1" x14ac:dyDescent="0.25">
      <c r="G425" s="28"/>
      <c r="N425" s="16"/>
    </row>
    <row r="426" spans="7:14" ht="14.25" customHeight="1" x14ac:dyDescent="0.25">
      <c r="G426" s="28"/>
      <c r="N426" s="16"/>
    </row>
    <row r="427" spans="7:14" ht="14.25" customHeight="1" x14ac:dyDescent="0.25">
      <c r="G427" s="28"/>
      <c r="N427" s="16"/>
    </row>
    <row r="428" spans="7:14" ht="14.25" customHeight="1" x14ac:dyDescent="0.25">
      <c r="G428" s="28"/>
      <c r="N428" s="16"/>
    </row>
    <row r="429" spans="7:14" ht="14.25" customHeight="1" x14ac:dyDescent="0.25">
      <c r="G429" s="28"/>
      <c r="N429" s="16"/>
    </row>
    <row r="430" spans="7:14" ht="14.25" customHeight="1" x14ac:dyDescent="0.25">
      <c r="G430" s="28"/>
      <c r="N430" s="16"/>
    </row>
    <row r="431" spans="7:14" ht="14.25" customHeight="1" x14ac:dyDescent="0.25">
      <c r="G431" s="28"/>
      <c r="N431" s="16"/>
    </row>
    <row r="432" spans="7:14" ht="14.25" customHeight="1" x14ac:dyDescent="0.25">
      <c r="G432" s="28"/>
      <c r="N432" s="16"/>
    </row>
    <row r="433" spans="7:14" ht="14.25" customHeight="1" x14ac:dyDescent="0.25">
      <c r="G433" s="28"/>
      <c r="N433" s="16"/>
    </row>
    <row r="434" spans="7:14" ht="14.25" customHeight="1" x14ac:dyDescent="0.25">
      <c r="G434" s="28"/>
      <c r="N434" s="16"/>
    </row>
    <row r="435" spans="7:14" ht="14.25" customHeight="1" x14ac:dyDescent="0.25">
      <c r="G435" s="28"/>
      <c r="N435" s="16"/>
    </row>
    <row r="436" spans="7:14" ht="14.25" customHeight="1" x14ac:dyDescent="0.25">
      <c r="G436" s="28"/>
      <c r="N436" s="16"/>
    </row>
    <row r="437" spans="7:14" ht="14.25" customHeight="1" x14ac:dyDescent="0.25">
      <c r="G437" s="28"/>
      <c r="N437" s="16"/>
    </row>
    <row r="438" spans="7:14" ht="14.25" customHeight="1" x14ac:dyDescent="0.25">
      <c r="G438" s="28"/>
      <c r="N438" s="16"/>
    </row>
    <row r="439" spans="7:14" ht="14.25" customHeight="1" x14ac:dyDescent="0.25">
      <c r="G439" s="28"/>
      <c r="N439" s="16"/>
    </row>
    <row r="440" spans="7:14" ht="14.25" customHeight="1" x14ac:dyDescent="0.25">
      <c r="G440" s="28"/>
      <c r="N440" s="16"/>
    </row>
    <row r="441" spans="7:14" ht="14.25" customHeight="1" x14ac:dyDescent="0.25">
      <c r="G441" s="28"/>
      <c r="N441" s="16"/>
    </row>
    <row r="442" spans="7:14" ht="14.25" customHeight="1" x14ac:dyDescent="0.25">
      <c r="G442" s="28"/>
      <c r="N442" s="16"/>
    </row>
    <row r="443" spans="7:14" ht="14.25" customHeight="1" x14ac:dyDescent="0.25">
      <c r="G443" s="28"/>
      <c r="N443" s="16"/>
    </row>
    <row r="444" spans="7:14" ht="14.25" customHeight="1" x14ac:dyDescent="0.25">
      <c r="G444" s="28"/>
      <c r="N444" s="16"/>
    </row>
    <row r="445" spans="7:14" ht="14.25" customHeight="1" x14ac:dyDescent="0.25">
      <c r="G445" s="28"/>
      <c r="N445" s="16"/>
    </row>
    <row r="446" spans="7:14" ht="14.25" customHeight="1" x14ac:dyDescent="0.25">
      <c r="G446" s="28"/>
      <c r="N446" s="16"/>
    </row>
    <row r="447" spans="7:14" ht="14.25" customHeight="1" x14ac:dyDescent="0.25">
      <c r="G447" s="28"/>
      <c r="N447" s="16"/>
    </row>
    <row r="448" spans="7:14" ht="14.25" customHeight="1" x14ac:dyDescent="0.25">
      <c r="G448" s="28"/>
      <c r="N448" s="16"/>
    </row>
    <row r="449" spans="7:14" ht="14.25" customHeight="1" x14ac:dyDescent="0.25">
      <c r="G449" s="28"/>
      <c r="N449" s="16"/>
    </row>
    <row r="450" spans="7:14" ht="14.25" customHeight="1" x14ac:dyDescent="0.25">
      <c r="G450" s="28"/>
      <c r="N450" s="16"/>
    </row>
    <row r="451" spans="7:14" ht="14.25" customHeight="1" x14ac:dyDescent="0.25">
      <c r="G451" s="28"/>
      <c r="N451" s="16"/>
    </row>
    <row r="452" spans="7:14" ht="14.25" customHeight="1" x14ac:dyDescent="0.25">
      <c r="G452" s="28"/>
      <c r="N452" s="16"/>
    </row>
    <row r="453" spans="7:14" ht="14.25" customHeight="1" x14ac:dyDescent="0.25">
      <c r="G453" s="28"/>
      <c r="N453" s="16"/>
    </row>
    <row r="454" spans="7:14" ht="14.25" customHeight="1" x14ac:dyDescent="0.25">
      <c r="G454" s="28"/>
      <c r="N454" s="16"/>
    </row>
    <row r="455" spans="7:14" ht="14.25" customHeight="1" x14ac:dyDescent="0.25">
      <c r="G455" s="28"/>
      <c r="N455" s="16"/>
    </row>
    <row r="456" spans="7:14" ht="14.25" customHeight="1" x14ac:dyDescent="0.25">
      <c r="G456" s="28"/>
      <c r="N456" s="16"/>
    </row>
    <row r="457" spans="7:14" ht="14.25" customHeight="1" x14ac:dyDescent="0.25">
      <c r="G457" s="28"/>
      <c r="N457" s="16"/>
    </row>
    <row r="458" spans="7:14" ht="14.25" customHeight="1" x14ac:dyDescent="0.25">
      <c r="G458" s="28"/>
      <c r="N458" s="16"/>
    </row>
    <row r="459" spans="7:14" ht="14.25" customHeight="1" x14ac:dyDescent="0.25">
      <c r="G459" s="28"/>
      <c r="N459" s="16"/>
    </row>
    <row r="460" spans="7:14" ht="14.25" customHeight="1" x14ac:dyDescent="0.25">
      <c r="G460" s="28"/>
      <c r="N460" s="16"/>
    </row>
    <row r="461" spans="7:14" ht="14.25" customHeight="1" x14ac:dyDescent="0.25">
      <c r="G461" s="28"/>
      <c r="N461" s="16"/>
    </row>
    <row r="462" spans="7:14" ht="14.25" customHeight="1" x14ac:dyDescent="0.25">
      <c r="G462" s="28"/>
      <c r="N462" s="16"/>
    </row>
    <row r="463" spans="7:14" ht="14.25" customHeight="1" x14ac:dyDescent="0.25">
      <c r="G463" s="28"/>
      <c r="N463" s="16"/>
    </row>
    <row r="464" spans="7:14" ht="14.25" customHeight="1" x14ac:dyDescent="0.25">
      <c r="G464" s="28"/>
      <c r="N464" s="16"/>
    </row>
    <row r="465" spans="7:14" ht="14.25" customHeight="1" x14ac:dyDescent="0.25">
      <c r="G465" s="28"/>
      <c r="N465" s="16"/>
    </row>
    <row r="466" spans="7:14" ht="14.25" customHeight="1" x14ac:dyDescent="0.25">
      <c r="G466" s="28"/>
      <c r="N466" s="16"/>
    </row>
    <row r="467" spans="7:14" ht="14.25" customHeight="1" x14ac:dyDescent="0.25">
      <c r="G467" s="28"/>
      <c r="N467" s="16"/>
    </row>
    <row r="468" spans="7:14" ht="14.25" customHeight="1" x14ac:dyDescent="0.25">
      <c r="G468" s="28"/>
      <c r="N468" s="16"/>
    </row>
    <row r="469" spans="7:14" ht="14.25" customHeight="1" x14ac:dyDescent="0.25">
      <c r="G469" s="28"/>
      <c r="N469" s="16"/>
    </row>
    <row r="470" spans="7:14" ht="14.25" customHeight="1" x14ac:dyDescent="0.25">
      <c r="G470" s="28"/>
      <c r="N470" s="16"/>
    </row>
    <row r="471" spans="7:14" ht="14.25" customHeight="1" x14ac:dyDescent="0.25">
      <c r="G471" s="28"/>
      <c r="N471" s="16"/>
    </row>
    <row r="472" spans="7:14" ht="14.25" customHeight="1" x14ac:dyDescent="0.25">
      <c r="G472" s="28"/>
      <c r="N472" s="16"/>
    </row>
    <row r="473" spans="7:14" ht="14.25" customHeight="1" x14ac:dyDescent="0.25">
      <c r="G473" s="28"/>
      <c r="N473" s="16"/>
    </row>
    <row r="474" spans="7:14" ht="14.25" customHeight="1" x14ac:dyDescent="0.25">
      <c r="G474" s="28"/>
      <c r="N474" s="16"/>
    </row>
    <row r="475" spans="7:14" ht="14.25" customHeight="1" x14ac:dyDescent="0.25">
      <c r="G475" s="28"/>
      <c r="N475" s="16"/>
    </row>
    <row r="476" spans="7:14" ht="14.25" customHeight="1" x14ac:dyDescent="0.25">
      <c r="G476" s="28"/>
      <c r="N476" s="16"/>
    </row>
    <row r="477" spans="7:14" ht="14.25" customHeight="1" x14ac:dyDescent="0.25">
      <c r="G477" s="28"/>
      <c r="N477" s="16"/>
    </row>
    <row r="478" spans="7:14" ht="14.25" customHeight="1" x14ac:dyDescent="0.25">
      <c r="G478" s="28"/>
      <c r="N478" s="16"/>
    </row>
    <row r="479" spans="7:14" ht="14.25" customHeight="1" x14ac:dyDescent="0.25">
      <c r="G479" s="28"/>
      <c r="N479" s="16"/>
    </row>
    <row r="480" spans="7:14" ht="14.25" customHeight="1" x14ac:dyDescent="0.25">
      <c r="G480" s="28"/>
      <c r="N480" s="16"/>
    </row>
    <row r="481" spans="7:14" ht="14.25" customHeight="1" x14ac:dyDescent="0.25">
      <c r="G481" s="28"/>
      <c r="N481" s="16"/>
    </row>
    <row r="482" spans="7:14" ht="14.25" customHeight="1" x14ac:dyDescent="0.25">
      <c r="G482" s="28"/>
      <c r="N482" s="16"/>
    </row>
    <row r="483" spans="7:14" ht="14.25" customHeight="1" x14ac:dyDescent="0.25">
      <c r="G483" s="28"/>
      <c r="N483" s="16"/>
    </row>
    <row r="484" spans="7:14" ht="14.25" customHeight="1" x14ac:dyDescent="0.25">
      <c r="G484" s="28"/>
      <c r="N484" s="16"/>
    </row>
    <row r="485" spans="7:14" ht="14.25" customHeight="1" x14ac:dyDescent="0.25">
      <c r="G485" s="28"/>
      <c r="N485" s="16"/>
    </row>
    <row r="486" spans="7:14" ht="14.25" customHeight="1" x14ac:dyDescent="0.25">
      <c r="G486" s="28"/>
      <c r="N486" s="16"/>
    </row>
    <row r="487" spans="7:14" ht="14.25" customHeight="1" x14ac:dyDescent="0.25">
      <c r="G487" s="28"/>
      <c r="N487" s="16"/>
    </row>
    <row r="488" spans="7:14" ht="14.25" customHeight="1" x14ac:dyDescent="0.25">
      <c r="G488" s="28"/>
      <c r="N488" s="16"/>
    </row>
    <row r="489" spans="7:14" ht="14.25" customHeight="1" x14ac:dyDescent="0.25">
      <c r="G489" s="28"/>
      <c r="N489" s="16"/>
    </row>
    <row r="490" spans="7:14" ht="14.25" customHeight="1" x14ac:dyDescent="0.25">
      <c r="G490" s="28"/>
      <c r="N490" s="16"/>
    </row>
    <row r="491" spans="7:14" ht="14.25" customHeight="1" x14ac:dyDescent="0.25">
      <c r="G491" s="28"/>
      <c r="N491" s="16"/>
    </row>
    <row r="492" spans="7:14" ht="14.25" customHeight="1" x14ac:dyDescent="0.25">
      <c r="G492" s="28"/>
      <c r="N492" s="16"/>
    </row>
    <row r="493" spans="7:14" ht="14.25" customHeight="1" x14ac:dyDescent="0.25">
      <c r="G493" s="28"/>
      <c r="N493" s="16"/>
    </row>
    <row r="494" spans="7:14" ht="14.25" customHeight="1" x14ac:dyDescent="0.25">
      <c r="G494" s="28"/>
      <c r="N494" s="16"/>
    </row>
    <row r="495" spans="7:14" ht="14.25" customHeight="1" x14ac:dyDescent="0.25">
      <c r="G495" s="28"/>
      <c r="N495" s="16"/>
    </row>
    <row r="496" spans="7:14" ht="14.25" customHeight="1" x14ac:dyDescent="0.25">
      <c r="G496" s="28"/>
      <c r="N496" s="16"/>
    </row>
    <row r="497" spans="7:14" ht="14.25" customHeight="1" x14ac:dyDescent="0.25">
      <c r="G497" s="28"/>
      <c r="N497" s="16"/>
    </row>
    <row r="498" spans="7:14" ht="14.25" customHeight="1" x14ac:dyDescent="0.25">
      <c r="G498" s="28"/>
      <c r="N498" s="16"/>
    </row>
    <row r="499" spans="7:14" ht="14.25" customHeight="1" x14ac:dyDescent="0.25">
      <c r="G499" s="28"/>
      <c r="N499" s="16"/>
    </row>
    <row r="500" spans="7:14" ht="14.25" customHeight="1" x14ac:dyDescent="0.25">
      <c r="G500" s="28"/>
      <c r="N500" s="16"/>
    </row>
    <row r="501" spans="7:14" ht="14.25" customHeight="1" x14ac:dyDescent="0.25">
      <c r="G501" s="28"/>
      <c r="N501" s="16"/>
    </row>
    <row r="502" spans="7:14" ht="14.25" customHeight="1" x14ac:dyDescent="0.25">
      <c r="G502" s="28"/>
      <c r="N502" s="16"/>
    </row>
    <row r="503" spans="7:14" ht="14.25" customHeight="1" x14ac:dyDescent="0.25">
      <c r="G503" s="28"/>
      <c r="N503" s="16"/>
    </row>
    <row r="504" spans="7:14" ht="14.25" customHeight="1" x14ac:dyDescent="0.25">
      <c r="G504" s="28"/>
      <c r="N504" s="16"/>
    </row>
    <row r="505" spans="7:14" ht="14.25" customHeight="1" x14ac:dyDescent="0.25">
      <c r="G505" s="28"/>
      <c r="N505" s="16"/>
    </row>
    <row r="506" spans="7:14" ht="14.25" customHeight="1" x14ac:dyDescent="0.25">
      <c r="G506" s="28"/>
      <c r="N506" s="16"/>
    </row>
    <row r="507" spans="7:14" ht="14.25" customHeight="1" x14ac:dyDescent="0.25">
      <c r="G507" s="28"/>
      <c r="N507" s="16"/>
    </row>
    <row r="508" spans="7:14" ht="14.25" customHeight="1" x14ac:dyDescent="0.25">
      <c r="G508" s="28"/>
      <c r="N508" s="16"/>
    </row>
    <row r="509" spans="7:14" ht="14.25" customHeight="1" x14ac:dyDescent="0.25">
      <c r="G509" s="28"/>
      <c r="N509" s="16"/>
    </row>
    <row r="510" spans="7:14" ht="14.25" customHeight="1" x14ac:dyDescent="0.25">
      <c r="G510" s="28"/>
      <c r="N510" s="16"/>
    </row>
    <row r="511" spans="7:14" ht="14.25" customHeight="1" x14ac:dyDescent="0.25">
      <c r="G511" s="28"/>
      <c r="N511" s="16"/>
    </row>
    <row r="512" spans="7:14" ht="14.25" customHeight="1" x14ac:dyDescent="0.25">
      <c r="G512" s="28"/>
      <c r="N512" s="16"/>
    </row>
    <row r="513" spans="7:14" ht="14.25" customHeight="1" x14ac:dyDescent="0.25">
      <c r="G513" s="28"/>
      <c r="N513" s="16"/>
    </row>
    <row r="514" spans="7:14" ht="14.25" customHeight="1" x14ac:dyDescent="0.25">
      <c r="G514" s="28"/>
      <c r="N514" s="16"/>
    </row>
    <row r="515" spans="7:14" ht="14.25" customHeight="1" x14ac:dyDescent="0.25">
      <c r="G515" s="28"/>
      <c r="N515" s="16"/>
    </row>
    <row r="516" spans="7:14" ht="14.25" customHeight="1" x14ac:dyDescent="0.25">
      <c r="G516" s="28"/>
      <c r="N516" s="16"/>
    </row>
    <row r="517" spans="7:14" ht="14.25" customHeight="1" x14ac:dyDescent="0.25">
      <c r="G517" s="28"/>
      <c r="N517" s="16"/>
    </row>
    <row r="518" spans="7:14" ht="14.25" customHeight="1" x14ac:dyDescent="0.25">
      <c r="G518" s="28"/>
      <c r="N518" s="16"/>
    </row>
    <row r="519" spans="7:14" ht="14.25" customHeight="1" x14ac:dyDescent="0.25">
      <c r="G519" s="28"/>
      <c r="N519" s="16"/>
    </row>
    <row r="520" spans="7:14" ht="14.25" customHeight="1" x14ac:dyDescent="0.25">
      <c r="G520" s="28"/>
      <c r="N520" s="16"/>
    </row>
    <row r="521" spans="7:14" ht="14.25" customHeight="1" x14ac:dyDescent="0.25">
      <c r="G521" s="28"/>
      <c r="N521" s="16"/>
    </row>
    <row r="522" spans="7:14" ht="14.25" customHeight="1" x14ac:dyDescent="0.25">
      <c r="G522" s="28"/>
      <c r="N522" s="16"/>
    </row>
    <row r="523" spans="7:14" ht="14.25" customHeight="1" x14ac:dyDescent="0.25">
      <c r="G523" s="28"/>
      <c r="N523" s="16"/>
    </row>
    <row r="524" spans="7:14" ht="14.25" customHeight="1" x14ac:dyDescent="0.25">
      <c r="G524" s="28"/>
      <c r="N524" s="16"/>
    </row>
    <row r="525" spans="7:14" ht="14.25" customHeight="1" x14ac:dyDescent="0.25">
      <c r="G525" s="28"/>
      <c r="N525" s="16"/>
    </row>
    <row r="526" spans="7:14" ht="14.25" customHeight="1" x14ac:dyDescent="0.25">
      <c r="G526" s="28"/>
      <c r="N526" s="16"/>
    </row>
    <row r="527" spans="7:14" ht="14.25" customHeight="1" x14ac:dyDescent="0.25">
      <c r="G527" s="28"/>
      <c r="N527" s="16"/>
    </row>
    <row r="528" spans="7:14" ht="14.25" customHeight="1" x14ac:dyDescent="0.25">
      <c r="G528" s="28"/>
      <c r="N528" s="16"/>
    </row>
    <row r="529" spans="7:14" ht="14.25" customHeight="1" x14ac:dyDescent="0.25">
      <c r="G529" s="28"/>
      <c r="N529" s="16"/>
    </row>
    <row r="530" spans="7:14" ht="14.25" customHeight="1" x14ac:dyDescent="0.25">
      <c r="G530" s="28"/>
      <c r="N530" s="16"/>
    </row>
    <row r="531" spans="7:14" ht="14.25" customHeight="1" x14ac:dyDescent="0.25">
      <c r="G531" s="28"/>
      <c r="N531" s="16"/>
    </row>
    <row r="532" spans="7:14" ht="14.25" customHeight="1" x14ac:dyDescent="0.25">
      <c r="G532" s="28"/>
      <c r="N532" s="16"/>
    </row>
    <row r="533" spans="7:14" ht="14.25" customHeight="1" x14ac:dyDescent="0.25">
      <c r="G533" s="28"/>
      <c r="N533" s="16"/>
    </row>
    <row r="534" spans="7:14" ht="14.25" customHeight="1" x14ac:dyDescent="0.25">
      <c r="G534" s="28"/>
      <c r="N534" s="16"/>
    </row>
    <row r="535" spans="7:14" ht="14.25" customHeight="1" x14ac:dyDescent="0.25">
      <c r="G535" s="28"/>
      <c r="N535" s="16"/>
    </row>
    <row r="536" spans="7:14" ht="14.25" customHeight="1" x14ac:dyDescent="0.25">
      <c r="G536" s="28"/>
      <c r="N536" s="16"/>
    </row>
    <row r="537" spans="7:14" ht="14.25" customHeight="1" x14ac:dyDescent="0.25">
      <c r="G537" s="28"/>
      <c r="N537" s="16"/>
    </row>
    <row r="538" spans="7:14" ht="14.25" customHeight="1" x14ac:dyDescent="0.25">
      <c r="G538" s="28"/>
      <c r="N538" s="16"/>
    </row>
    <row r="539" spans="7:14" ht="14.25" customHeight="1" x14ac:dyDescent="0.25">
      <c r="G539" s="28"/>
      <c r="N539" s="16"/>
    </row>
    <row r="540" spans="7:14" ht="14.25" customHeight="1" x14ac:dyDescent="0.25">
      <c r="G540" s="28"/>
      <c r="N540" s="16"/>
    </row>
    <row r="541" spans="7:14" ht="14.25" customHeight="1" x14ac:dyDescent="0.25">
      <c r="G541" s="28"/>
      <c r="N541" s="16"/>
    </row>
    <row r="542" spans="7:14" ht="14.25" customHeight="1" x14ac:dyDescent="0.25">
      <c r="G542" s="28"/>
      <c r="N542" s="16"/>
    </row>
    <row r="543" spans="7:14" ht="14.25" customHeight="1" x14ac:dyDescent="0.25">
      <c r="G543" s="28"/>
      <c r="N543" s="16"/>
    </row>
    <row r="544" spans="7:14" ht="14.25" customHeight="1" x14ac:dyDescent="0.25">
      <c r="G544" s="28"/>
      <c r="N544" s="16"/>
    </row>
    <row r="545" spans="7:14" ht="14.25" customHeight="1" x14ac:dyDescent="0.25">
      <c r="G545" s="28"/>
      <c r="N545" s="16"/>
    </row>
    <row r="546" spans="7:14" ht="14.25" customHeight="1" x14ac:dyDescent="0.25">
      <c r="G546" s="28"/>
      <c r="N546" s="16"/>
    </row>
    <row r="547" spans="7:14" ht="14.25" customHeight="1" x14ac:dyDescent="0.25">
      <c r="G547" s="28"/>
      <c r="N547" s="16"/>
    </row>
    <row r="548" spans="7:14" ht="14.25" customHeight="1" x14ac:dyDescent="0.25">
      <c r="G548" s="28"/>
      <c r="N548" s="16"/>
    </row>
    <row r="549" spans="7:14" ht="14.25" customHeight="1" x14ac:dyDescent="0.25">
      <c r="G549" s="28"/>
      <c r="N549" s="16"/>
    </row>
    <row r="550" spans="7:14" ht="14.25" customHeight="1" x14ac:dyDescent="0.25">
      <c r="G550" s="28"/>
      <c r="N550" s="16"/>
    </row>
    <row r="551" spans="7:14" ht="14.25" customHeight="1" x14ac:dyDescent="0.25">
      <c r="G551" s="28"/>
      <c r="N551" s="16"/>
    </row>
    <row r="552" spans="7:14" ht="14.25" customHeight="1" x14ac:dyDescent="0.25">
      <c r="G552" s="28"/>
      <c r="N552" s="16"/>
    </row>
    <row r="553" spans="7:14" ht="14.25" customHeight="1" x14ac:dyDescent="0.25">
      <c r="G553" s="28"/>
      <c r="N553" s="16"/>
    </row>
    <row r="554" spans="7:14" ht="14.25" customHeight="1" x14ac:dyDescent="0.25">
      <c r="G554" s="28"/>
      <c r="N554" s="16"/>
    </row>
    <row r="555" spans="7:14" ht="14.25" customHeight="1" x14ac:dyDescent="0.25">
      <c r="G555" s="28"/>
      <c r="N555" s="16"/>
    </row>
    <row r="556" spans="7:14" ht="14.25" customHeight="1" x14ac:dyDescent="0.25">
      <c r="G556" s="28"/>
      <c r="N556" s="16"/>
    </row>
    <row r="557" spans="7:14" ht="14.25" customHeight="1" x14ac:dyDescent="0.25">
      <c r="G557" s="28"/>
      <c r="N557" s="16"/>
    </row>
    <row r="558" spans="7:14" ht="14.25" customHeight="1" x14ac:dyDescent="0.25">
      <c r="G558" s="28"/>
      <c r="N558" s="16"/>
    </row>
    <row r="559" spans="7:14" ht="14.25" customHeight="1" x14ac:dyDescent="0.25">
      <c r="G559" s="28"/>
      <c r="N559" s="16"/>
    </row>
    <row r="560" spans="7:14" ht="14.25" customHeight="1" x14ac:dyDescent="0.25">
      <c r="G560" s="28"/>
      <c r="N560" s="16"/>
    </row>
    <row r="561" spans="7:14" ht="14.25" customHeight="1" x14ac:dyDescent="0.25">
      <c r="G561" s="28"/>
      <c r="N561" s="16"/>
    </row>
    <row r="562" spans="7:14" ht="14.25" customHeight="1" x14ac:dyDescent="0.25">
      <c r="G562" s="28"/>
      <c r="N562" s="16"/>
    </row>
    <row r="563" spans="7:14" ht="14.25" customHeight="1" x14ac:dyDescent="0.25">
      <c r="G563" s="28"/>
      <c r="N563" s="16"/>
    </row>
    <row r="564" spans="7:14" ht="14.25" customHeight="1" x14ac:dyDescent="0.25">
      <c r="G564" s="28"/>
      <c r="N564" s="16"/>
    </row>
    <row r="565" spans="7:14" ht="14.25" customHeight="1" x14ac:dyDescent="0.25">
      <c r="G565" s="28"/>
      <c r="N565" s="16"/>
    </row>
    <row r="566" spans="7:14" ht="14.25" customHeight="1" x14ac:dyDescent="0.25">
      <c r="G566" s="28"/>
      <c r="N566" s="16"/>
    </row>
    <row r="567" spans="7:14" ht="14.25" customHeight="1" x14ac:dyDescent="0.25">
      <c r="G567" s="28"/>
      <c r="N567" s="16"/>
    </row>
    <row r="568" spans="7:14" ht="14.25" customHeight="1" x14ac:dyDescent="0.25">
      <c r="G568" s="28"/>
      <c r="N568" s="16"/>
    </row>
    <row r="569" spans="7:14" ht="14.25" customHeight="1" x14ac:dyDescent="0.25">
      <c r="G569" s="28"/>
      <c r="N569" s="16"/>
    </row>
    <row r="570" spans="7:14" ht="14.25" customHeight="1" x14ac:dyDescent="0.25">
      <c r="G570" s="28"/>
      <c r="N570" s="16"/>
    </row>
    <row r="571" spans="7:14" ht="14.25" customHeight="1" x14ac:dyDescent="0.25">
      <c r="G571" s="28"/>
      <c r="N571" s="16"/>
    </row>
    <row r="572" spans="7:14" ht="14.25" customHeight="1" x14ac:dyDescent="0.25">
      <c r="G572" s="28"/>
      <c r="N572" s="16"/>
    </row>
    <row r="573" spans="7:14" ht="14.25" customHeight="1" x14ac:dyDescent="0.25">
      <c r="G573" s="28"/>
      <c r="N573" s="16"/>
    </row>
    <row r="574" spans="7:14" ht="14.25" customHeight="1" x14ac:dyDescent="0.25">
      <c r="G574" s="28"/>
      <c r="N574" s="16"/>
    </row>
    <row r="575" spans="7:14" ht="14.25" customHeight="1" x14ac:dyDescent="0.25">
      <c r="G575" s="28"/>
      <c r="N575" s="16"/>
    </row>
    <row r="576" spans="7:14" ht="14.25" customHeight="1" x14ac:dyDescent="0.25">
      <c r="G576" s="28"/>
      <c r="N576" s="16"/>
    </row>
    <row r="577" spans="7:14" ht="14.25" customHeight="1" x14ac:dyDescent="0.25">
      <c r="G577" s="28"/>
      <c r="N577" s="16"/>
    </row>
    <row r="578" spans="7:14" ht="14.25" customHeight="1" x14ac:dyDescent="0.25">
      <c r="G578" s="28"/>
      <c r="N578" s="16"/>
    </row>
    <row r="579" spans="7:14" ht="14.25" customHeight="1" x14ac:dyDescent="0.25">
      <c r="G579" s="28"/>
      <c r="N579" s="16"/>
    </row>
    <row r="580" spans="7:14" ht="14.25" customHeight="1" x14ac:dyDescent="0.25">
      <c r="G580" s="28"/>
      <c r="N580" s="16"/>
    </row>
    <row r="581" spans="7:14" ht="14.25" customHeight="1" x14ac:dyDescent="0.25">
      <c r="G581" s="28"/>
      <c r="N581" s="16"/>
    </row>
    <row r="582" spans="7:14" ht="14.25" customHeight="1" x14ac:dyDescent="0.25">
      <c r="G582" s="28"/>
      <c r="N582" s="16"/>
    </row>
    <row r="583" spans="7:14" ht="14.25" customHeight="1" x14ac:dyDescent="0.25">
      <c r="G583" s="28"/>
      <c r="N583" s="16"/>
    </row>
    <row r="584" spans="7:14" ht="14.25" customHeight="1" x14ac:dyDescent="0.25">
      <c r="G584" s="28"/>
      <c r="N584" s="16"/>
    </row>
    <row r="585" spans="7:14" ht="14.25" customHeight="1" x14ac:dyDescent="0.25">
      <c r="G585" s="28"/>
      <c r="N585" s="16"/>
    </row>
    <row r="586" spans="7:14" ht="14.25" customHeight="1" x14ac:dyDescent="0.25">
      <c r="G586" s="28"/>
      <c r="N586" s="16"/>
    </row>
    <row r="587" spans="7:14" ht="14.25" customHeight="1" x14ac:dyDescent="0.25">
      <c r="G587" s="28"/>
      <c r="N587" s="16"/>
    </row>
    <row r="588" spans="7:14" ht="14.25" customHeight="1" x14ac:dyDescent="0.25">
      <c r="G588" s="28"/>
      <c r="N588" s="16"/>
    </row>
    <row r="589" spans="7:14" ht="14.25" customHeight="1" x14ac:dyDescent="0.25">
      <c r="G589" s="28"/>
      <c r="N589" s="16"/>
    </row>
    <row r="590" spans="7:14" ht="14.25" customHeight="1" x14ac:dyDescent="0.25">
      <c r="G590" s="28"/>
      <c r="N590" s="16"/>
    </row>
    <row r="591" spans="7:14" ht="14.25" customHeight="1" x14ac:dyDescent="0.25">
      <c r="G591" s="28"/>
      <c r="N591" s="16"/>
    </row>
    <row r="592" spans="7:14" ht="14.25" customHeight="1" x14ac:dyDescent="0.25">
      <c r="G592" s="28"/>
      <c r="N592" s="16"/>
    </row>
    <row r="593" spans="7:14" ht="14.25" customHeight="1" x14ac:dyDescent="0.25">
      <c r="G593" s="28"/>
      <c r="N593" s="16"/>
    </row>
    <row r="594" spans="7:14" ht="14.25" customHeight="1" x14ac:dyDescent="0.25">
      <c r="G594" s="28"/>
      <c r="N594" s="16"/>
    </row>
    <row r="595" spans="7:14" ht="14.25" customHeight="1" x14ac:dyDescent="0.25">
      <c r="G595" s="28"/>
      <c r="N595" s="16"/>
    </row>
    <row r="596" spans="7:14" ht="14.25" customHeight="1" x14ac:dyDescent="0.25">
      <c r="G596" s="28"/>
      <c r="N596" s="16"/>
    </row>
    <row r="597" spans="7:14" ht="14.25" customHeight="1" x14ac:dyDescent="0.25">
      <c r="G597" s="28"/>
      <c r="N597" s="16"/>
    </row>
    <row r="598" spans="7:14" ht="14.25" customHeight="1" x14ac:dyDescent="0.25">
      <c r="G598" s="28"/>
      <c r="N598" s="16"/>
    </row>
    <row r="599" spans="7:14" ht="14.25" customHeight="1" x14ac:dyDescent="0.25">
      <c r="G599" s="28"/>
      <c r="N599" s="16"/>
    </row>
    <row r="600" spans="7:14" ht="14.25" customHeight="1" x14ac:dyDescent="0.25">
      <c r="G600" s="28"/>
      <c r="N600" s="16"/>
    </row>
    <row r="601" spans="7:14" ht="14.25" customHeight="1" x14ac:dyDescent="0.25">
      <c r="G601" s="28"/>
      <c r="N601" s="16"/>
    </row>
    <row r="602" spans="7:14" ht="14.25" customHeight="1" x14ac:dyDescent="0.25">
      <c r="G602" s="28"/>
      <c r="N602" s="16"/>
    </row>
    <row r="603" spans="7:14" ht="14.25" customHeight="1" x14ac:dyDescent="0.25">
      <c r="G603" s="28"/>
      <c r="N603" s="16"/>
    </row>
    <row r="604" spans="7:14" ht="14.25" customHeight="1" x14ac:dyDescent="0.25">
      <c r="G604" s="28"/>
      <c r="N604" s="16"/>
    </row>
    <row r="605" spans="7:14" ht="14.25" customHeight="1" x14ac:dyDescent="0.25">
      <c r="G605" s="28"/>
      <c r="N605" s="16"/>
    </row>
    <row r="606" spans="7:14" ht="14.25" customHeight="1" x14ac:dyDescent="0.25">
      <c r="G606" s="28"/>
      <c r="N606" s="16"/>
    </row>
    <row r="607" spans="7:14" ht="14.25" customHeight="1" x14ac:dyDescent="0.25">
      <c r="G607" s="28"/>
      <c r="N607" s="16"/>
    </row>
    <row r="608" spans="7:14" ht="14.25" customHeight="1" x14ac:dyDescent="0.25">
      <c r="G608" s="28"/>
      <c r="N608" s="16"/>
    </row>
    <row r="609" spans="7:14" ht="14.25" customHeight="1" x14ac:dyDescent="0.25">
      <c r="G609" s="28"/>
      <c r="N609" s="16"/>
    </row>
    <row r="610" spans="7:14" ht="14.25" customHeight="1" x14ac:dyDescent="0.25">
      <c r="G610" s="28"/>
      <c r="N610" s="16"/>
    </row>
    <row r="611" spans="7:14" ht="14.25" customHeight="1" x14ac:dyDescent="0.25">
      <c r="G611" s="28"/>
      <c r="N611" s="16"/>
    </row>
    <row r="612" spans="7:14" ht="14.25" customHeight="1" x14ac:dyDescent="0.25">
      <c r="G612" s="28"/>
      <c r="N612" s="16"/>
    </row>
    <row r="613" spans="7:14" ht="14.25" customHeight="1" x14ac:dyDescent="0.25">
      <c r="G613" s="28"/>
      <c r="N613" s="16"/>
    </row>
    <row r="614" spans="7:14" ht="14.25" customHeight="1" x14ac:dyDescent="0.25">
      <c r="G614" s="28"/>
      <c r="N614" s="16"/>
    </row>
    <row r="615" spans="7:14" ht="14.25" customHeight="1" x14ac:dyDescent="0.25">
      <c r="G615" s="28"/>
      <c r="N615" s="16"/>
    </row>
    <row r="616" spans="7:14" ht="14.25" customHeight="1" x14ac:dyDescent="0.25">
      <c r="G616" s="28"/>
      <c r="N616" s="16"/>
    </row>
    <row r="617" spans="7:14" ht="14.25" customHeight="1" x14ac:dyDescent="0.25">
      <c r="G617" s="28"/>
      <c r="N617" s="16"/>
    </row>
    <row r="618" spans="7:14" ht="14.25" customHeight="1" x14ac:dyDescent="0.25">
      <c r="G618" s="28"/>
      <c r="N618" s="16"/>
    </row>
    <row r="619" spans="7:14" ht="14.25" customHeight="1" x14ac:dyDescent="0.25">
      <c r="G619" s="28"/>
      <c r="N619" s="16"/>
    </row>
    <row r="620" spans="7:14" ht="14.25" customHeight="1" x14ac:dyDescent="0.25">
      <c r="G620" s="28"/>
      <c r="N620" s="16"/>
    </row>
    <row r="621" spans="7:14" ht="14.25" customHeight="1" x14ac:dyDescent="0.25">
      <c r="G621" s="28"/>
      <c r="N621" s="16"/>
    </row>
    <row r="622" spans="7:14" ht="14.25" customHeight="1" x14ac:dyDescent="0.25">
      <c r="G622" s="28"/>
      <c r="N622" s="16"/>
    </row>
    <row r="623" spans="7:14" ht="14.25" customHeight="1" x14ac:dyDescent="0.25">
      <c r="G623" s="28"/>
      <c r="N623" s="16"/>
    </row>
    <row r="624" spans="7:14" ht="14.25" customHeight="1" x14ac:dyDescent="0.25">
      <c r="G624" s="28"/>
      <c r="N624" s="16"/>
    </row>
    <row r="625" spans="7:14" ht="14.25" customHeight="1" x14ac:dyDescent="0.25">
      <c r="G625" s="28"/>
      <c r="N625" s="16"/>
    </row>
    <row r="626" spans="7:14" ht="14.25" customHeight="1" x14ac:dyDescent="0.25">
      <c r="G626" s="28"/>
      <c r="N626" s="16"/>
    </row>
    <row r="627" spans="7:14" ht="14.25" customHeight="1" x14ac:dyDescent="0.25">
      <c r="G627" s="28"/>
      <c r="N627" s="16"/>
    </row>
    <row r="628" spans="7:14" ht="14.25" customHeight="1" x14ac:dyDescent="0.25">
      <c r="G628" s="28"/>
      <c r="N628" s="16"/>
    </row>
    <row r="629" spans="7:14" ht="14.25" customHeight="1" x14ac:dyDescent="0.25">
      <c r="G629" s="28"/>
      <c r="N629" s="16"/>
    </row>
    <row r="630" spans="7:14" ht="14.25" customHeight="1" x14ac:dyDescent="0.25">
      <c r="G630" s="28"/>
      <c r="N630" s="16"/>
    </row>
    <row r="631" spans="7:14" ht="14.25" customHeight="1" x14ac:dyDescent="0.25">
      <c r="G631" s="28"/>
      <c r="N631" s="16"/>
    </row>
    <row r="632" spans="7:14" ht="14.25" customHeight="1" x14ac:dyDescent="0.25">
      <c r="G632" s="28"/>
      <c r="N632" s="16"/>
    </row>
    <row r="633" spans="7:14" ht="14.25" customHeight="1" x14ac:dyDescent="0.25">
      <c r="G633" s="28"/>
      <c r="N633" s="16"/>
    </row>
    <row r="634" spans="7:14" ht="14.25" customHeight="1" x14ac:dyDescent="0.25">
      <c r="G634" s="28"/>
      <c r="N634" s="16"/>
    </row>
    <row r="635" spans="7:14" ht="14.25" customHeight="1" x14ac:dyDescent="0.25">
      <c r="G635" s="28"/>
      <c r="N635" s="16"/>
    </row>
    <row r="636" spans="7:14" ht="14.25" customHeight="1" x14ac:dyDescent="0.25">
      <c r="G636" s="28"/>
      <c r="N636" s="16"/>
    </row>
    <row r="637" spans="7:14" ht="14.25" customHeight="1" x14ac:dyDescent="0.25">
      <c r="G637" s="28"/>
      <c r="N637" s="16"/>
    </row>
    <row r="638" spans="7:14" ht="14.25" customHeight="1" x14ac:dyDescent="0.25">
      <c r="G638" s="28"/>
      <c r="N638" s="16"/>
    </row>
    <row r="639" spans="7:14" ht="14.25" customHeight="1" x14ac:dyDescent="0.25">
      <c r="G639" s="28"/>
      <c r="N639" s="16"/>
    </row>
    <row r="640" spans="7:14" ht="14.25" customHeight="1" x14ac:dyDescent="0.25">
      <c r="G640" s="28"/>
      <c r="N640" s="16"/>
    </row>
    <row r="641" spans="7:14" ht="14.25" customHeight="1" x14ac:dyDescent="0.25">
      <c r="G641" s="28"/>
      <c r="N641" s="16"/>
    </row>
    <row r="642" spans="7:14" ht="14.25" customHeight="1" x14ac:dyDescent="0.25">
      <c r="G642" s="28"/>
      <c r="N642" s="16"/>
    </row>
    <row r="643" spans="7:14" ht="14.25" customHeight="1" x14ac:dyDescent="0.25">
      <c r="G643" s="28"/>
      <c r="N643" s="16"/>
    </row>
    <row r="644" spans="7:14" ht="14.25" customHeight="1" x14ac:dyDescent="0.25">
      <c r="G644" s="28"/>
      <c r="N644" s="16"/>
    </row>
    <row r="645" spans="7:14" ht="14.25" customHeight="1" x14ac:dyDescent="0.25">
      <c r="G645" s="28"/>
      <c r="N645" s="16"/>
    </row>
    <row r="646" spans="7:14" ht="14.25" customHeight="1" x14ac:dyDescent="0.25">
      <c r="G646" s="28"/>
      <c r="N646" s="16"/>
    </row>
    <row r="647" spans="7:14" ht="14.25" customHeight="1" x14ac:dyDescent="0.25">
      <c r="G647" s="28"/>
      <c r="N647" s="16"/>
    </row>
    <row r="648" spans="7:14" ht="14.25" customHeight="1" x14ac:dyDescent="0.25">
      <c r="G648" s="28"/>
      <c r="N648" s="16"/>
    </row>
    <row r="649" spans="7:14" ht="14.25" customHeight="1" x14ac:dyDescent="0.25">
      <c r="G649" s="28"/>
      <c r="N649" s="16"/>
    </row>
    <row r="650" spans="7:14" ht="14.25" customHeight="1" x14ac:dyDescent="0.25">
      <c r="G650" s="28"/>
      <c r="N650" s="16"/>
    </row>
    <row r="651" spans="7:14" ht="14.25" customHeight="1" x14ac:dyDescent="0.25">
      <c r="G651" s="28"/>
      <c r="N651" s="16"/>
    </row>
    <row r="652" spans="7:14" ht="14.25" customHeight="1" x14ac:dyDescent="0.25">
      <c r="G652" s="28"/>
      <c r="N652" s="16"/>
    </row>
    <row r="653" spans="7:14" ht="14.25" customHeight="1" x14ac:dyDescent="0.25">
      <c r="G653" s="28"/>
      <c r="N653" s="16"/>
    </row>
    <row r="654" spans="7:14" ht="14.25" customHeight="1" x14ac:dyDescent="0.25">
      <c r="G654" s="28"/>
      <c r="N654" s="16"/>
    </row>
    <row r="655" spans="7:14" ht="14.25" customHeight="1" x14ac:dyDescent="0.25">
      <c r="G655" s="28"/>
      <c r="N655" s="16"/>
    </row>
    <row r="656" spans="7:14" ht="14.25" customHeight="1" x14ac:dyDescent="0.25">
      <c r="G656" s="28"/>
      <c r="N656" s="16"/>
    </row>
    <row r="657" spans="7:14" ht="14.25" customHeight="1" x14ac:dyDescent="0.25">
      <c r="G657" s="28"/>
      <c r="N657" s="16"/>
    </row>
    <row r="658" spans="7:14" ht="14.25" customHeight="1" x14ac:dyDescent="0.25">
      <c r="G658" s="28"/>
      <c r="N658" s="16"/>
    </row>
    <row r="659" spans="7:14" ht="14.25" customHeight="1" x14ac:dyDescent="0.25">
      <c r="G659" s="28"/>
      <c r="N659" s="16"/>
    </row>
    <row r="660" spans="7:14" ht="14.25" customHeight="1" x14ac:dyDescent="0.25">
      <c r="G660" s="28"/>
      <c r="N660" s="16"/>
    </row>
    <row r="661" spans="7:14" ht="14.25" customHeight="1" x14ac:dyDescent="0.25">
      <c r="G661" s="28"/>
      <c r="N661" s="16"/>
    </row>
    <row r="662" spans="7:14" ht="14.25" customHeight="1" x14ac:dyDescent="0.25">
      <c r="G662" s="28"/>
      <c r="N662" s="16"/>
    </row>
    <row r="663" spans="7:14" ht="14.25" customHeight="1" x14ac:dyDescent="0.25">
      <c r="G663" s="28"/>
      <c r="N663" s="16"/>
    </row>
    <row r="664" spans="7:14" ht="14.25" customHeight="1" x14ac:dyDescent="0.25">
      <c r="G664" s="28"/>
      <c r="N664" s="16"/>
    </row>
    <row r="665" spans="7:14" ht="14.25" customHeight="1" x14ac:dyDescent="0.25">
      <c r="G665" s="28"/>
      <c r="N665" s="16"/>
    </row>
    <row r="666" spans="7:14" ht="14.25" customHeight="1" x14ac:dyDescent="0.25">
      <c r="G666" s="28"/>
      <c r="N666" s="16"/>
    </row>
    <row r="667" spans="7:14" ht="14.25" customHeight="1" x14ac:dyDescent="0.25">
      <c r="G667" s="28"/>
      <c r="N667" s="16"/>
    </row>
    <row r="668" spans="7:14" ht="14.25" customHeight="1" x14ac:dyDescent="0.25">
      <c r="G668" s="28"/>
      <c r="N668" s="16"/>
    </row>
    <row r="669" spans="7:14" ht="14.25" customHeight="1" x14ac:dyDescent="0.25">
      <c r="G669" s="28"/>
      <c r="N669" s="16"/>
    </row>
    <row r="670" spans="7:14" ht="14.25" customHeight="1" x14ac:dyDescent="0.25">
      <c r="G670" s="28"/>
      <c r="N670" s="16"/>
    </row>
    <row r="671" spans="7:14" ht="14.25" customHeight="1" x14ac:dyDescent="0.25">
      <c r="G671" s="28"/>
      <c r="N671" s="16"/>
    </row>
    <row r="672" spans="7:14" ht="14.25" customHeight="1" x14ac:dyDescent="0.25">
      <c r="G672" s="28"/>
      <c r="N672" s="16"/>
    </row>
    <row r="673" spans="7:14" ht="14.25" customHeight="1" x14ac:dyDescent="0.25">
      <c r="G673" s="28"/>
      <c r="N673" s="16"/>
    </row>
    <row r="674" spans="7:14" ht="14.25" customHeight="1" x14ac:dyDescent="0.25">
      <c r="G674" s="28"/>
      <c r="N674" s="16"/>
    </row>
    <row r="675" spans="7:14" ht="14.25" customHeight="1" x14ac:dyDescent="0.25">
      <c r="G675" s="28"/>
      <c r="N675" s="16"/>
    </row>
    <row r="676" spans="7:14" ht="14.25" customHeight="1" x14ac:dyDescent="0.25">
      <c r="G676" s="28"/>
      <c r="N676" s="16"/>
    </row>
    <row r="677" spans="7:14" ht="14.25" customHeight="1" x14ac:dyDescent="0.25">
      <c r="G677" s="28"/>
      <c r="N677" s="16"/>
    </row>
    <row r="678" spans="7:14" ht="14.25" customHeight="1" x14ac:dyDescent="0.25">
      <c r="G678" s="28"/>
      <c r="N678" s="16"/>
    </row>
    <row r="679" spans="7:14" ht="14.25" customHeight="1" x14ac:dyDescent="0.25">
      <c r="G679" s="28"/>
      <c r="N679" s="16"/>
    </row>
    <row r="680" spans="7:14" ht="14.25" customHeight="1" x14ac:dyDescent="0.25">
      <c r="G680" s="28"/>
      <c r="N680" s="16"/>
    </row>
    <row r="681" spans="7:14" ht="14.25" customHeight="1" x14ac:dyDescent="0.25">
      <c r="G681" s="28"/>
      <c r="N681" s="16"/>
    </row>
    <row r="682" spans="7:14" ht="14.25" customHeight="1" x14ac:dyDescent="0.25">
      <c r="G682" s="28"/>
      <c r="N682" s="16"/>
    </row>
    <row r="683" spans="7:14" ht="14.25" customHeight="1" x14ac:dyDescent="0.25">
      <c r="G683" s="28"/>
      <c r="N683" s="16"/>
    </row>
    <row r="684" spans="7:14" ht="14.25" customHeight="1" x14ac:dyDescent="0.25">
      <c r="G684" s="28"/>
      <c r="N684" s="16"/>
    </row>
    <row r="685" spans="7:14" ht="14.25" customHeight="1" x14ac:dyDescent="0.25">
      <c r="G685" s="28"/>
      <c r="N685" s="16"/>
    </row>
    <row r="686" spans="7:14" ht="14.25" customHeight="1" x14ac:dyDescent="0.25">
      <c r="G686" s="28"/>
      <c r="N686" s="16"/>
    </row>
    <row r="687" spans="7:14" ht="14.25" customHeight="1" x14ac:dyDescent="0.25">
      <c r="G687" s="28"/>
      <c r="N687" s="16"/>
    </row>
    <row r="688" spans="7:14" ht="14.25" customHeight="1" x14ac:dyDescent="0.25">
      <c r="G688" s="28"/>
      <c r="N688" s="16"/>
    </row>
    <row r="689" spans="7:14" ht="14.25" customHeight="1" x14ac:dyDescent="0.25">
      <c r="G689" s="28"/>
      <c r="N689" s="16"/>
    </row>
    <row r="690" spans="7:14" ht="14.25" customHeight="1" x14ac:dyDescent="0.25">
      <c r="G690" s="28"/>
      <c r="N690" s="16"/>
    </row>
    <row r="691" spans="7:14" ht="14.25" customHeight="1" x14ac:dyDescent="0.25">
      <c r="G691" s="28"/>
      <c r="N691" s="16"/>
    </row>
    <row r="692" spans="7:14" ht="14.25" customHeight="1" x14ac:dyDescent="0.25">
      <c r="G692" s="28"/>
      <c r="N692" s="16"/>
    </row>
    <row r="693" spans="7:14" ht="14.25" customHeight="1" x14ac:dyDescent="0.25">
      <c r="G693" s="28"/>
      <c r="N693" s="16"/>
    </row>
    <row r="694" spans="7:14" ht="14.25" customHeight="1" x14ac:dyDescent="0.25">
      <c r="G694" s="28"/>
      <c r="N694" s="16"/>
    </row>
    <row r="695" spans="7:14" ht="14.25" customHeight="1" x14ac:dyDescent="0.25">
      <c r="G695" s="28"/>
      <c r="N695" s="16"/>
    </row>
    <row r="696" spans="7:14" ht="14.25" customHeight="1" x14ac:dyDescent="0.25">
      <c r="G696" s="28"/>
      <c r="N696" s="16"/>
    </row>
    <row r="697" spans="7:14" ht="14.25" customHeight="1" x14ac:dyDescent="0.25">
      <c r="G697" s="28"/>
      <c r="N697" s="16"/>
    </row>
    <row r="698" spans="7:14" ht="14.25" customHeight="1" x14ac:dyDescent="0.25">
      <c r="G698" s="28"/>
      <c r="N698" s="16"/>
    </row>
    <row r="699" spans="7:14" ht="14.25" customHeight="1" x14ac:dyDescent="0.25">
      <c r="G699" s="28"/>
      <c r="N699" s="16"/>
    </row>
    <row r="700" spans="7:14" ht="14.25" customHeight="1" x14ac:dyDescent="0.25">
      <c r="G700" s="28"/>
      <c r="N700" s="16"/>
    </row>
    <row r="701" spans="7:14" ht="14.25" customHeight="1" x14ac:dyDescent="0.25">
      <c r="G701" s="28"/>
      <c r="N701" s="16"/>
    </row>
    <row r="702" spans="7:14" ht="14.25" customHeight="1" x14ac:dyDescent="0.25">
      <c r="G702" s="28"/>
      <c r="N702" s="16"/>
    </row>
    <row r="703" spans="7:14" ht="14.25" customHeight="1" x14ac:dyDescent="0.25">
      <c r="G703" s="28"/>
      <c r="N703" s="16"/>
    </row>
    <row r="704" spans="7:14" ht="14.25" customHeight="1" x14ac:dyDescent="0.25">
      <c r="G704" s="28"/>
      <c r="N704" s="16"/>
    </row>
    <row r="705" spans="7:14" ht="14.25" customHeight="1" x14ac:dyDescent="0.25">
      <c r="G705" s="28"/>
      <c r="N705" s="16"/>
    </row>
    <row r="706" spans="7:14" ht="14.25" customHeight="1" x14ac:dyDescent="0.25">
      <c r="G706" s="28"/>
      <c r="N706" s="16"/>
    </row>
    <row r="707" spans="7:14" ht="14.25" customHeight="1" x14ac:dyDescent="0.25">
      <c r="G707" s="28"/>
      <c r="N707" s="16"/>
    </row>
    <row r="708" spans="7:14" ht="14.25" customHeight="1" x14ac:dyDescent="0.25">
      <c r="G708" s="28"/>
      <c r="N708" s="16"/>
    </row>
    <row r="709" spans="7:14" ht="14.25" customHeight="1" x14ac:dyDescent="0.25">
      <c r="G709" s="28"/>
      <c r="N709" s="16"/>
    </row>
    <row r="710" spans="7:14" ht="14.25" customHeight="1" x14ac:dyDescent="0.25">
      <c r="G710" s="28"/>
      <c r="N710" s="16"/>
    </row>
    <row r="711" spans="7:14" ht="14.25" customHeight="1" x14ac:dyDescent="0.25">
      <c r="G711" s="28"/>
      <c r="N711" s="16"/>
    </row>
    <row r="712" spans="7:14" ht="14.25" customHeight="1" x14ac:dyDescent="0.25">
      <c r="G712" s="28"/>
      <c r="N712" s="16"/>
    </row>
    <row r="713" spans="7:14" ht="14.25" customHeight="1" x14ac:dyDescent="0.25">
      <c r="G713" s="28"/>
      <c r="N713" s="16"/>
    </row>
    <row r="714" spans="7:14" ht="14.25" customHeight="1" x14ac:dyDescent="0.25">
      <c r="G714" s="28"/>
      <c r="N714" s="16"/>
    </row>
    <row r="715" spans="7:14" ht="14.25" customHeight="1" x14ac:dyDescent="0.25">
      <c r="G715" s="28"/>
      <c r="N715" s="16"/>
    </row>
    <row r="716" spans="7:14" ht="14.25" customHeight="1" x14ac:dyDescent="0.25">
      <c r="G716" s="28"/>
      <c r="N716" s="16"/>
    </row>
    <row r="717" spans="7:14" ht="14.25" customHeight="1" x14ac:dyDescent="0.25">
      <c r="G717" s="28"/>
      <c r="N717" s="16"/>
    </row>
    <row r="718" spans="7:14" ht="14.25" customHeight="1" x14ac:dyDescent="0.25">
      <c r="G718" s="28"/>
      <c r="N718" s="16"/>
    </row>
    <row r="719" spans="7:14" ht="14.25" customHeight="1" x14ac:dyDescent="0.25">
      <c r="G719" s="28"/>
      <c r="N719" s="16"/>
    </row>
    <row r="720" spans="7:14" ht="14.25" customHeight="1" x14ac:dyDescent="0.25">
      <c r="G720" s="28"/>
      <c r="N720" s="16"/>
    </row>
    <row r="721" spans="7:14" ht="14.25" customHeight="1" x14ac:dyDescent="0.25">
      <c r="G721" s="28"/>
      <c r="N721" s="16"/>
    </row>
    <row r="722" spans="7:14" ht="14.25" customHeight="1" x14ac:dyDescent="0.25">
      <c r="G722" s="28"/>
      <c r="N722" s="16"/>
    </row>
    <row r="723" spans="7:14" ht="14.25" customHeight="1" x14ac:dyDescent="0.25">
      <c r="G723" s="28"/>
      <c r="N723" s="16"/>
    </row>
    <row r="724" spans="7:14" ht="14.25" customHeight="1" x14ac:dyDescent="0.25">
      <c r="G724" s="28"/>
      <c r="N724" s="16"/>
    </row>
    <row r="725" spans="7:14" ht="14.25" customHeight="1" x14ac:dyDescent="0.25">
      <c r="G725" s="28"/>
      <c r="N725" s="16"/>
    </row>
    <row r="726" spans="7:14" ht="14.25" customHeight="1" x14ac:dyDescent="0.25">
      <c r="G726" s="28"/>
      <c r="N726" s="16"/>
    </row>
    <row r="727" spans="7:14" ht="14.25" customHeight="1" x14ac:dyDescent="0.25">
      <c r="G727" s="28"/>
      <c r="N727" s="16"/>
    </row>
    <row r="728" spans="7:14" ht="14.25" customHeight="1" x14ac:dyDescent="0.25">
      <c r="G728" s="28"/>
      <c r="N728" s="16"/>
    </row>
    <row r="729" spans="7:14" ht="14.25" customHeight="1" x14ac:dyDescent="0.25">
      <c r="G729" s="28"/>
      <c r="N729" s="16"/>
    </row>
    <row r="730" spans="7:14" ht="14.25" customHeight="1" x14ac:dyDescent="0.25">
      <c r="G730" s="28"/>
      <c r="N730" s="16"/>
    </row>
    <row r="731" spans="7:14" ht="14.25" customHeight="1" x14ac:dyDescent="0.25">
      <c r="G731" s="28"/>
      <c r="N731" s="16"/>
    </row>
    <row r="732" spans="7:14" ht="14.25" customHeight="1" x14ac:dyDescent="0.25">
      <c r="G732" s="28"/>
      <c r="N732" s="16"/>
    </row>
    <row r="733" spans="7:14" ht="14.25" customHeight="1" x14ac:dyDescent="0.25">
      <c r="G733" s="28"/>
      <c r="N733" s="16"/>
    </row>
    <row r="734" spans="7:14" ht="14.25" customHeight="1" x14ac:dyDescent="0.25">
      <c r="G734" s="28"/>
      <c r="N734" s="16"/>
    </row>
    <row r="735" spans="7:14" ht="14.25" customHeight="1" x14ac:dyDescent="0.25">
      <c r="G735" s="28"/>
      <c r="N735" s="16"/>
    </row>
    <row r="736" spans="7:14" ht="14.25" customHeight="1" x14ac:dyDescent="0.25">
      <c r="G736" s="28"/>
      <c r="N736" s="16"/>
    </row>
    <row r="737" spans="7:14" ht="14.25" customHeight="1" x14ac:dyDescent="0.25">
      <c r="G737" s="28"/>
      <c r="N737" s="16"/>
    </row>
    <row r="738" spans="7:14" ht="14.25" customHeight="1" x14ac:dyDescent="0.25">
      <c r="G738" s="28"/>
      <c r="N738" s="16"/>
    </row>
    <row r="739" spans="7:14" ht="14.25" customHeight="1" x14ac:dyDescent="0.25">
      <c r="G739" s="28"/>
      <c r="N739" s="16"/>
    </row>
    <row r="740" spans="7:14" ht="14.25" customHeight="1" x14ac:dyDescent="0.25">
      <c r="G740" s="28"/>
      <c r="N740" s="16"/>
    </row>
    <row r="741" spans="7:14" ht="14.25" customHeight="1" x14ac:dyDescent="0.25">
      <c r="G741" s="28"/>
      <c r="N741" s="16"/>
    </row>
    <row r="742" spans="7:14" ht="14.25" customHeight="1" x14ac:dyDescent="0.25">
      <c r="G742" s="28"/>
      <c r="N742" s="16"/>
    </row>
    <row r="743" spans="7:14" ht="14.25" customHeight="1" x14ac:dyDescent="0.25">
      <c r="G743" s="28"/>
      <c r="N743" s="16"/>
    </row>
    <row r="744" spans="7:14" ht="14.25" customHeight="1" x14ac:dyDescent="0.25">
      <c r="G744" s="28"/>
      <c r="N744" s="16"/>
    </row>
    <row r="745" spans="7:14" ht="14.25" customHeight="1" x14ac:dyDescent="0.25">
      <c r="G745" s="28"/>
      <c r="N745" s="16"/>
    </row>
    <row r="746" spans="7:14" ht="14.25" customHeight="1" x14ac:dyDescent="0.25">
      <c r="G746" s="28"/>
      <c r="N746" s="16"/>
    </row>
    <row r="747" spans="7:14" ht="14.25" customHeight="1" x14ac:dyDescent="0.25">
      <c r="G747" s="28"/>
      <c r="N747" s="16"/>
    </row>
    <row r="748" spans="7:14" ht="14.25" customHeight="1" x14ac:dyDescent="0.25">
      <c r="G748" s="28"/>
      <c r="N748" s="16"/>
    </row>
    <row r="749" spans="7:14" ht="14.25" customHeight="1" x14ac:dyDescent="0.25">
      <c r="G749" s="28"/>
      <c r="N749" s="16"/>
    </row>
    <row r="750" spans="7:14" ht="14.25" customHeight="1" x14ac:dyDescent="0.25">
      <c r="G750" s="28"/>
      <c r="N750" s="16"/>
    </row>
    <row r="751" spans="7:14" ht="14.25" customHeight="1" x14ac:dyDescent="0.25">
      <c r="G751" s="28"/>
      <c r="N751" s="16"/>
    </row>
    <row r="752" spans="7:14" ht="14.25" customHeight="1" x14ac:dyDescent="0.25">
      <c r="G752" s="28"/>
      <c r="N752" s="16"/>
    </row>
    <row r="753" spans="7:14" ht="14.25" customHeight="1" x14ac:dyDescent="0.25">
      <c r="G753" s="28"/>
      <c r="N753" s="16"/>
    </row>
    <row r="754" spans="7:14" ht="14.25" customHeight="1" x14ac:dyDescent="0.25">
      <c r="G754" s="28"/>
      <c r="N754" s="16"/>
    </row>
    <row r="755" spans="7:14" ht="14.25" customHeight="1" x14ac:dyDescent="0.25">
      <c r="G755" s="28"/>
      <c r="N755" s="16"/>
    </row>
    <row r="756" spans="7:14" ht="14.25" customHeight="1" x14ac:dyDescent="0.25">
      <c r="G756" s="28"/>
      <c r="N756" s="16"/>
    </row>
    <row r="757" spans="7:14" ht="14.25" customHeight="1" x14ac:dyDescent="0.25">
      <c r="G757" s="28"/>
      <c r="N757" s="16"/>
    </row>
    <row r="758" spans="7:14" ht="14.25" customHeight="1" x14ac:dyDescent="0.25">
      <c r="G758" s="28"/>
      <c r="N758" s="16"/>
    </row>
    <row r="759" spans="7:14" ht="14.25" customHeight="1" x14ac:dyDescent="0.25">
      <c r="G759" s="28"/>
      <c r="N759" s="16"/>
    </row>
    <row r="760" spans="7:14" ht="14.25" customHeight="1" x14ac:dyDescent="0.25">
      <c r="G760" s="28"/>
      <c r="N760" s="16"/>
    </row>
    <row r="761" spans="7:14" ht="14.25" customHeight="1" x14ac:dyDescent="0.25">
      <c r="G761" s="28"/>
      <c r="N761" s="16"/>
    </row>
    <row r="762" spans="7:14" ht="14.25" customHeight="1" x14ac:dyDescent="0.25">
      <c r="G762" s="28"/>
      <c r="N762" s="16"/>
    </row>
    <row r="763" spans="7:14" ht="14.25" customHeight="1" x14ac:dyDescent="0.25">
      <c r="G763" s="28"/>
      <c r="N763" s="16"/>
    </row>
    <row r="764" spans="7:14" ht="14.25" customHeight="1" x14ac:dyDescent="0.25">
      <c r="G764" s="28"/>
      <c r="N764" s="16"/>
    </row>
    <row r="765" spans="7:14" ht="14.25" customHeight="1" x14ac:dyDescent="0.25">
      <c r="G765" s="28"/>
      <c r="N765" s="16"/>
    </row>
    <row r="766" spans="7:14" ht="14.25" customHeight="1" x14ac:dyDescent="0.25">
      <c r="G766" s="28"/>
      <c r="N766" s="16"/>
    </row>
    <row r="767" spans="7:14" ht="14.25" customHeight="1" x14ac:dyDescent="0.25">
      <c r="G767" s="28"/>
      <c r="N767" s="16"/>
    </row>
    <row r="768" spans="7:14" ht="14.25" customHeight="1" x14ac:dyDescent="0.25">
      <c r="G768" s="28"/>
      <c r="N768" s="16"/>
    </row>
    <row r="769" spans="7:14" ht="14.25" customHeight="1" x14ac:dyDescent="0.25">
      <c r="G769" s="28"/>
      <c r="N769" s="16"/>
    </row>
    <row r="770" spans="7:14" ht="14.25" customHeight="1" x14ac:dyDescent="0.25">
      <c r="G770" s="28"/>
      <c r="N770" s="16"/>
    </row>
    <row r="771" spans="7:14" ht="14.25" customHeight="1" x14ac:dyDescent="0.25">
      <c r="G771" s="28"/>
      <c r="N771" s="16"/>
    </row>
    <row r="772" spans="7:14" ht="14.25" customHeight="1" x14ac:dyDescent="0.25">
      <c r="G772" s="28"/>
      <c r="N772" s="16"/>
    </row>
    <row r="773" spans="7:14" ht="14.25" customHeight="1" x14ac:dyDescent="0.25">
      <c r="G773" s="28"/>
      <c r="N773" s="16"/>
    </row>
    <row r="774" spans="7:14" ht="14.25" customHeight="1" x14ac:dyDescent="0.25">
      <c r="G774" s="28"/>
      <c r="N774" s="16"/>
    </row>
    <row r="775" spans="7:14" ht="14.25" customHeight="1" x14ac:dyDescent="0.25">
      <c r="G775" s="28"/>
      <c r="N775" s="16"/>
    </row>
    <row r="776" spans="7:14" ht="14.25" customHeight="1" x14ac:dyDescent="0.25">
      <c r="G776" s="28"/>
      <c r="N776" s="16"/>
    </row>
    <row r="777" spans="7:14" ht="14.25" customHeight="1" x14ac:dyDescent="0.25">
      <c r="G777" s="28"/>
      <c r="N777" s="16"/>
    </row>
    <row r="778" spans="7:14" ht="14.25" customHeight="1" x14ac:dyDescent="0.25">
      <c r="G778" s="28"/>
      <c r="N778" s="16"/>
    </row>
    <row r="779" spans="7:14" ht="14.25" customHeight="1" x14ac:dyDescent="0.25">
      <c r="G779" s="28"/>
      <c r="N779" s="16"/>
    </row>
    <row r="780" spans="7:14" ht="14.25" customHeight="1" x14ac:dyDescent="0.25">
      <c r="G780" s="28"/>
      <c r="N780" s="16"/>
    </row>
    <row r="781" spans="7:14" ht="14.25" customHeight="1" x14ac:dyDescent="0.25">
      <c r="G781" s="28"/>
      <c r="N781" s="16"/>
    </row>
    <row r="782" spans="7:14" ht="14.25" customHeight="1" x14ac:dyDescent="0.25">
      <c r="G782" s="28"/>
      <c r="N782" s="16"/>
    </row>
    <row r="783" spans="7:14" ht="14.25" customHeight="1" x14ac:dyDescent="0.25">
      <c r="G783" s="28"/>
      <c r="N783" s="16"/>
    </row>
    <row r="784" spans="7:14" ht="14.25" customHeight="1" x14ac:dyDescent="0.25">
      <c r="G784" s="28"/>
      <c r="N784" s="16"/>
    </row>
    <row r="785" spans="7:14" ht="14.25" customHeight="1" x14ac:dyDescent="0.25">
      <c r="G785" s="28"/>
      <c r="N785" s="16"/>
    </row>
    <row r="786" spans="7:14" ht="14.25" customHeight="1" x14ac:dyDescent="0.25">
      <c r="G786" s="28"/>
      <c r="N786" s="16"/>
    </row>
    <row r="787" spans="7:14" ht="14.25" customHeight="1" x14ac:dyDescent="0.25">
      <c r="G787" s="28"/>
      <c r="N787" s="16"/>
    </row>
    <row r="788" spans="7:14" ht="14.25" customHeight="1" x14ac:dyDescent="0.25">
      <c r="G788" s="28"/>
      <c r="N788" s="16"/>
    </row>
    <row r="789" spans="7:14" ht="14.25" customHeight="1" x14ac:dyDescent="0.25">
      <c r="G789" s="28"/>
      <c r="N789" s="16"/>
    </row>
    <row r="790" spans="7:14" ht="14.25" customHeight="1" x14ac:dyDescent="0.25">
      <c r="G790" s="28"/>
      <c r="N790" s="16"/>
    </row>
    <row r="791" spans="7:14" ht="14.25" customHeight="1" x14ac:dyDescent="0.25">
      <c r="G791" s="28"/>
      <c r="N791" s="16"/>
    </row>
    <row r="792" spans="7:14" ht="14.25" customHeight="1" x14ac:dyDescent="0.25">
      <c r="G792" s="28"/>
      <c r="N792" s="16"/>
    </row>
    <row r="793" spans="7:14" ht="14.25" customHeight="1" x14ac:dyDescent="0.25">
      <c r="G793" s="28"/>
      <c r="N793" s="16"/>
    </row>
    <row r="794" spans="7:14" ht="14.25" customHeight="1" x14ac:dyDescent="0.25">
      <c r="G794" s="28"/>
      <c r="N794" s="16"/>
    </row>
    <row r="795" spans="7:14" ht="14.25" customHeight="1" x14ac:dyDescent="0.25">
      <c r="G795" s="28"/>
      <c r="N795" s="16"/>
    </row>
    <row r="796" spans="7:14" ht="14.25" customHeight="1" x14ac:dyDescent="0.25">
      <c r="G796" s="28"/>
      <c r="N796" s="16"/>
    </row>
    <row r="797" spans="7:14" ht="14.25" customHeight="1" x14ac:dyDescent="0.25">
      <c r="G797" s="28"/>
      <c r="N797" s="16"/>
    </row>
    <row r="798" spans="7:14" ht="14.25" customHeight="1" x14ac:dyDescent="0.25">
      <c r="G798" s="28"/>
      <c r="N798" s="16"/>
    </row>
    <row r="799" spans="7:14" ht="14.25" customHeight="1" x14ac:dyDescent="0.25">
      <c r="G799" s="28"/>
      <c r="N799" s="16"/>
    </row>
    <row r="800" spans="7:14" ht="14.25" customHeight="1" x14ac:dyDescent="0.25">
      <c r="G800" s="28"/>
      <c r="N800" s="16"/>
    </row>
    <row r="801" spans="7:14" ht="14.25" customHeight="1" x14ac:dyDescent="0.25">
      <c r="G801" s="28"/>
      <c r="N801" s="16"/>
    </row>
    <row r="802" spans="7:14" ht="14.25" customHeight="1" x14ac:dyDescent="0.25">
      <c r="G802" s="28"/>
      <c r="N802" s="16"/>
    </row>
    <row r="803" spans="7:14" ht="14.25" customHeight="1" x14ac:dyDescent="0.25">
      <c r="G803" s="28"/>
      <c r="N803" s="16"/>
    </row>
    <row r="804" spans="7:14" ht="14.25" customHeight="1" x14ac:dyDescent="0.25">
      <c r="G804" s="28"/>
      <c r="N804" s="16"/>
    </row>
    <row r="805" spans="7:14" ht="14.25" customHeight="1" x14ac:dyDescent="0.25">
      <c r="G805" s="28"/>
      <c r="N805" s="16"/>
    </row>
    <row r="806" spans="7:14" ht="14.25" customHeight="1" x14ac:dyDescent="0.25">
      <c r="G806" s="28"/>
      <c r="N806" s="16"/>
    </row>
    <row r="807" spans="7:14" ht="14.25" customHeight="1" x14ac:dyDescent="0.25">
      <c r="G807" s="28"/>
      <c r="N807" s="16"/>
    </row>
    <row r="808" spans="7:14" ht="14.25" customHeight="1" x14ac:dyDescent="0.25">
      <c r="G808" s="28"/>
      <c r="N808" s="16"/>
    </row>
    <row r="809" spans="7:14" ht="14.25" customHeight="1" x14ac:dyDescent="0.25">
      <c r="G809" s="28"/>
      <c r="N809" s="16"/>
    </row>
    <row r="810" spans="7:14" ht="14.25" customHeight="1" x14ac:dyDescent="0.25">
      <c r="G810" s="28"/>
      <c r="N810" s="16"/>
    </row>
    <row r="811" spans="7:14" ht="14.25" customHeight="1" x14ac:dyDescent="0.25">
      <c r="G811" s="28"/>
      <c r="N811" s="16"/>
    </row>
    <row r="812" spans="7:14" ht="14.25" customHeight="1" x14ac:dyDescent="0.25">
      <c r="G812" s="28"/>
      <c r="N812" s="16"/>
    </row>
    <row r="813" spans="7:14" ht="14.25" customHeight="1" x14ac:dyDescent="0.25">
      <c r="G813" s="28"/>
      <c r="N813" s="16"/>
    </row>
    <row r="814" spans="7:14" ht="14.25" customHeight="1" x14ac:dyDescent="0.25">
      <c r="G814" s="28"/>
      <c r="N814" s="16"/>
    </row>
    <row r="815" spans="7:14" ht="14.25" customHeight="1" x14ac:dyDescent="0.25">
      <c r="G815" s="28"/>
      <c r="N815" s="16"/>
    </row>
    <row r="816" spans="7:14" ht="14.25" customHeight="1" x14ac:dyDescent="0.25">
      <c r="G816" s="28"/>
      <c r="N816" s="16"/>
    </row>
    <row r="817" spans="7:14" ht="14.25" customHeight="1" x14ac:dyDescent="0.25">
      <c r="G817" s="28"/>
      <c r="N817" s="16"/>
    </row>
    <row r="818" spans="7:14" ht="14.25" customHeight="1" x14ac:dyDescent="0.25">
      <c r="G818" s="28"/>
      <c r="N818" s="16"/>
    </row>
    <row r="819" spans="7:14" ht="14.25" customHeight="1" x14ac:dyDescent="0.25">
      <c r="G819" s="28"/>
      <c r="N819" s="16"/>
    </row>
    <row r="820" spans="7:14" ht="14.25" customHeight="1" x14ac:dyDescent="0.25">
      <c r="G820" s="28"/>
      <c r="N820" s="16"/>
    </row>
    <row r="821" spans="7:14" ht="14.25" customHeight="1" x14ac:dyDescent="0.25">
      <c r="G821" s="28"/>
      <c r="N821" s="16"/>
    </row>
    <row r="822" spans="7:14" ht="14.25" customHeight="1" x14ac:dyDescent="0.25">
      <c r="G822" s="28"/>
      <c r="N822" s="16"/>
    </row>
    <row r="823" spans="7:14" ht="14.25" customHeight="1" x14ac:dyDescent="0.25">
      <c r="G823" s="28"/>
      <c r="N823" s="16"/>
    </row>
    <row r="824" spans="7:14" ht="14.25" customHeight="1" x14ac:dyDescent="0.25">
      <c r="G824" s="28"/>
      <c r="N824" s="16"/>
    </row>
    <row r="825" spans="7:14" ht="14.25" customHeight="1" x14ac:dyDescent="0.25">
      <c r="G825" s="28"/>
      <c r="N825" s="16"/>
    </row>
    <row r="826" spans="7:14" ht="14.25" customHeight="1" x14ac:dyDescent="0.25">
      <c r="G826" s="28"/>
      <c r="N826" s="16"/>
    </row>
    <row r="827" spans="7:14" ht="14.25" customHeight="1" x14ac:dyDescent="0.25">
      <c r="G827" s="28"/>
      <c r="N827" s="16"/>
    </row>
    <row r="828" spans="7:14" ht="14.25" customHeight="1" x14ac:dyDescent="0.25">
      <c r="G828" s="28"/>
      <c r="N828" s="16"/>
    </row>
    <row r="829" spans="7:14" ht="14.25" customHeight="1" x14ac:dyDescent="0.25">
      <c r="G829" s="28"/>
      <c r="N829" s="16"/>
    </row>
    <row r="830" spans="7:14" ht="14.25" customHeight="1" x14ac:dyDescent="0.25">
      <c r="G830" s="28"/>
      <c r="N830" s="16"/>
    </row>
    <row r="831" spans="7:14" ht="14.25" customHeight="1" x14ac:dyDescent="0.25">
      <c r="G831" s="28"/>
      <c r="N831" s="16"/>
    </row>
    <row r="832" spans="7:14" ht="14.25" customHeight="1" x14ac:dyDescent="0.25">
      <c r="G832" s="28"/>
      <c r="N832" s="16"/>
    </row>
    <row r="833" spans="7:14" ht="14.25" customHeight="1" x14ac:dyDescent="0.25">
      <c r="G833" s="28"/>
      <c r="N833" s="16"/>
    </row>
    <row r="834" spans="7:14" ht="14.25" customHeight="1" x14ac:dyDescent="0.25">
      <c r="G834" s="28"/>
      <c r="N834" s="16"/>
    </row>
    <row r="835" spans="7:14" ht="14.25" customHeight="1" x14ac:dyDescent="0.25">
      <c r="G835" s="28"/>
      <c r="N835" s="16"/>
    </row>
    <row r="836" spans="7:14" ht="14.25" customHeight="1" x14ac:dyDescent="0.25">
      <c r="G836" s="28"/>
      <c r="N836" s="16"/>
    </row>
    <row r="837" spans="7:14" ht="14.25" customHeight="1" x14ac:dyDescent="0.25">
      <c r="G837" s="28"/>
      <c r="N837" s="16"/>
    </row>
    <row r="838" spans="7:14" ht="14.25" customHeight="1" x14ac:dyDescent="0.25">
      <c r="G838" s="28"/>
      <c r="N838" s="16"/>
    </row>
    <row r="839" spans="7:14" ht="14.25" customHeight="1" x14ac:dyDescent="0.25">
      <c r="G839" s="28"/>
      <c r="N839" s="16"/>
    </row>
    <row r="840" spans="7:14" ht="14.25" customHeight="1" x14ac:dyDescent="0.25">
      <c r="G840" s="28"/>
      <c r="N840" s="16"/>
    </row>
    <row r="841" spans="7:14" ht="14.25" customHeight="1" x14ac:dyDescent="0.25">
      <c r="G841" s="28"/>
      <c r="N841" s="16"/>
    </row>
    <row r="842" spans="7:14" ht="14.25" customHeight="1" x14ac:dyDescent="0.25">
      <c r="G842" s="28"/>
      <c r="N842" s="16"/>
    </row>
    <row r="843" spans="7:14" ht="14.25" customHeight="1" x14ac:dyDescent="0.25">
      <c r="G843" s="28"/>
      <c r="N843" s="16"/>
    </row>
    <row r="844" spans="7:14" ht="14.25" customHeight="1" x14ac:dyDescent="0.25">
      <c r="G844" s="28"/>
      <c r="N844" s="16"/>
    </row>
    <row r="845" spans="7:14" ht="14.25" customHeight="1" x14ac:dyDescent="0.25">
      <c r="G845" s="28"/>
      <c r="N845" s="16"/>
    </row>
    <row r="846" spans="7:14" ht="14.25" customHeight="1" x14ac:dyDescent="0.25">
      <c r="G846" s="28"/>
      <c r="N846" s="16"/>
    </row>
    <row r="847" spans="7:14" ht="14.25" customHeight="1" x14ac:dyDescent="0.25">
      <c r="G847" s="28"/>
      <c r="N847" s="16"/>
    </row>
    <row r="848" spans="7:14" ht="14.25" customHeight="1" x14ac:dyDescent="0.25">
      <c r="G848" s="28"/>
      <c r="N848" s="16"/>
    </row>
    <row r="849" spans="7:14" ht="14.25" customHeight="1" x14ac:dyDescent="0.25">
      <c r="G849" s="28"/>
      <c r="N849" s="16"/>
    </row>
    <row r="850" spans="7:14" ht="14.25" customHeight="1" x14ac:dyDescent="0.25">
      <c r="G850" s="28"/>
      <c r="N850" s="16"/>
    </row>
    <row r="851" spans="7:14" ht="14.25" customHeight="1" x14ac:dyDescent="0.25">
      <c r="G851" s="28"/>
      <c r="N851" s="16"/>
    </row>
    <row r="852" spans="7:14" ht="14.25" customHeight="1" x14ac:dyDescent="0.25">
      <c r="G852" s="28"/>
      <c r="N852" s="16"/>
    </row>
    <row r="853" spans="7:14" ht="14.25" customHeight="1" x14ac:dyDescent="0.25">
      <c r="G853" s="28"/>
      <c r="N853" s="16"/>
    </row>
    <row r="854" spans="7:14" ht="14.25" customHeight="1" x14ac:dyDescent="0.25">
      <c r="G854" s="28"/>
      <c r="N854" s="16"/>
    </row>
    <row r="855" spans="7:14" ht="14.25" customHeight="1" x14ac:dyDescent="0.25">
      <c r="G855" s="28"/>
      <c r="N855" s="16"/>
    </row>
    <row r="856" spans="7:14" ht="14.25" customHeight="1" x14ac:dyDescent="0.25">
      <c r="G856" s="28"/>
      <c r="N856" s="16"/>
    </row>
    <row r="857" spans="7:14" ht="14.25" customHeight="1" x14ac:dyDescent="0.25">
      <c r="G857" s="28"/>
      <c r="N857" s="16"/>
    </row>
    <row r="858" spans="7:14" ht="14.25" customHeight="1" x14ac:dyDescent="0.25">
      <c r="G858" s="28"/>
      <c r="N858" s="16"/>
    </row>
    <row r="859" spans="7:14" ht="14.25" customHeight="1" x14ac:dyDescent="0.25">
      <c r="G859" s="28"/>
      <c r="N859" s="16"/>
    </row>
    <row r="860" spans="7:14" ht="14.25" customHeight="1" x14ac:dyDescent="0.25">
      <c r="G860" s="28"/>
      <c r="N860" s="16"/>
    </row>
    <row r="861" spans="7:14" ht="14.25" customHeight="1" x14ac:dyDescent="0.25">
      <c r="G861" s="28"/>
      <c r="N861" s="16"/>
    </row>
    <row r="862" spans="7:14" ht="14.25" customHeight="1" x14ac:dyDescent="0.25">
      <c r="G862" s="28"/>
      <c r="N862" s="16"/>
    </row>
    <row r="863" spans="7:14" ht="14.25" customHeight="1" x14ac:dyDescent="0.25">
      <c r="G863" s="28"/>
      <c r="N863" s="16"/>
    </row>
    <row r="864" spans="7:14" ht="14.25" customHeight="1" x14ac:dyDescent="0.25">
      <c r="G864" s="28"/>
      <c r="N864" s="16"/>
    </row>
    <row r="865" spans="7:14" ht="14.25" customHeight="1" x14ac:dyDescent="0.25">
      <c r="G865" s="28"/>
      <c r="N865" s="16"/>
    </row>
    <row r="866" spans="7:14" ht="14.25" customHeight="1" x14ac:dyDescent="0.25">
      <c r="G866" s="28"/>
      <c r="N866" s="16"/>
    </row>
    <row r="867" spans="7:14" ht="14.25" customHeight="1" x14ac:dyDescent="0.25">
      <c r="G867" s="28"/>
      <c r="N867" s="16"/>
    </row>
    <row r="868" spans="7:14" ht="14.25" customHeight="1" x14ac:dyDescent="0.25">
      <c r="G868" s="28"/>
      <c r="N868" s="16"/>
    </row>
    <row r="869" spans="7:14" ht="14.25" customHeight="1" x14ac:dyDescent="0.25">
      <c r="G869" s="28"/>
      <c r="N869" s="16"/>
    </row>
    <row r="870" spans="7:14" ht="14.25" customHeight="1" x14ac:dyDescent="0.25">
      <c r="G870" s="28"/>
      <c r="N870" s="16"/>
    </row>
    <row r="871" spans="7:14" ht="14.25" customHeight="1" x14ac:dyDescent="0.25">
      <c r="G871" s="28"/>
      <c r="N871" s="16"/>
    </row>
    <row r="872" spans="7:14" ht="14.25" customHeight="1" x14ac:dyDescent="0.25">
      <c r="G872" s="28"/>
      <c r="N872" s="16"/>
    </row>
    <row r="873" spans="7:14" ht="14.25" customHeight="1" x14ac:dyDescent="0.25">
      <c r="G873" s="28"/>
      <c r="N873" s="16"/>
    </row>
    <row r="874" spans="7:14" ht="14.25" customHeight="1" x14ac:dyDescent="0.25">
      <c r="G874" s="28"/>
      <c r="N874" s="16"/>
    </row>
    <row r="875" spans="7:14" ht="14.25" customHeight="1" x14ac:dyDescent="0.25">
      <c r="G875" s="28"/>
      <c r="N875" s="16"/>
    </row>
    <row r="876" spans="7:14" ht="14.25" customHeight="1" x14ac:dyDescent="0.25">
      <c r="G876" s="28"/>
      <c r="N876" s="16"/>
    </row>
    <row r="877" spans="7:14" ht="14.25" customHeight="1" x14ac:dyDescent="0.25">
      <c r="G877" s="28"/>
      <c r="N877" s="16"/>
    </row>
    <row r="878" spans="7:14" ht="14.25" customHeight="1" x14ac:dyDescent="0.25">
      <c r="G878" s="28"/>
      <c r="N878" s="16"/>
    </row>
    <row r="879" spans="7:14" ht="14.25" customHeight="1" x14ac:dyDescent="0.25">
      <c r="G879" s="28"/>
      <c r="N879" s="16"/>
    </row>
    <row r="880" spans="7:14" ht="14.25" customHeight="1" x14ac:dyDescent="0.25">
      <c r="G880" s="28"/>
      <c r="N880" s="16"/>
    </row>
    <row r="881" spans="7:14" ht="14.25" customHeight="1" x14ac:dyDescent="0.25">
      <c r="G881" s="28"/>
      <c r="N881" s="16"/>
    </row>
    <row r="882" spans="7:14" ht="14.25" customHeight="1" x14ac:dyDescent="0.25">
      <c r="G882" s="28"/>
      <c r="N882" s="16"/>
    </row>
    <row r="883" spans="7:14" ht="14.25" customHeight="1" x14ac:dyDescent="0.25">
      <c r="G883" s="28"/>
      <c r="N883" s="16"/>
    </row>
    <row r="884" spans="7:14" ht="14.25" customHeight="1" x14ac:dyDescent="0.25">
      <c r="G884" s="28"/>
      <c r="N884" s="16"/>
    </row>
    <row r="885" spans="7:14" ht="14.25" customHeight="1" x14ac:dyDescent="0.25">
      <c r="G885" s="28"/>
      <c r="N885" s="16"/>
    </row>
    <row r="886" spans="7:14" ht="14.25" customHeight="1" x14ac:dyDescent="0.25">
      <c r="G886" s="28"/>
      <c r="N886" s="16"/>
    </row>
    <row r="887" spans="7:14" ht="14.25" customHeight="1" x14ac:dyDescent="0.25">
      <c r="G887" s="28"/>
      <c r="N887" s="16"/>
    </row>
    <row r="888" spans="7:14" ht="14.25" customHeight="1" x14ac:dyDescent="0.25">
      <c r="G888" s="28"/>
      <c r="N888" s="16"/>
    </row>
    <row r="889" spans="7:14" ht="14.25" customHeight="1" x14ac:dyDescent="0.25">
      <c r="G889" s="28"/>
      <c r="N889" s="16"/>
    </row>
    <row r="890" spans="7:14" ht="14.25" customHeight="1" x14ac:dyDescent="0.25">
      <c r="G890" s="28"/>
      <c r="N890" s="16"/>
    </row>
    <row r="891" spans="7:14" ht="14.25" customHeight="1" x14ac:dyDescent="0.25">
      <c r="G891" s="28"/>
      <c r="N891" s="16"/>
    </row>
    <row r="892" spans="7:14" ht="14.25" customHeight="1" x14ac:dyDescent="0.25">
      <c r="G892" s="28"/>
      <c r="N892" s="16"/>
    </row>
    <row r="893" spans="7:14" ht="14.25" customHeight="1" x14ac:dyDescent="0.25">
      <c r="G893" s="28"/>
      <c r="N893" s="16"/>
    </row>
    <row r="894" spans="7:14" ht="14.25" customHeight="1" x14ac:dyDescent="0.25">
      <c r="G894" s="28"/>
      <c r="N894" s="16"/>
    </row>
    <row r="895" spans="7:14" ht="14.25" customHeight="1" x14ac:dyDescent="0.25">
      <c r="G895" s="28"/>
      <c r="N895" s="16"/>
    </row>
    <row r="896" spans="7:14" ht="14.25" customHeight="1" x14ac:dyDescent="0.25">
      <c r="G896" s="28"/>
      <c r="N896" s="16"/>
    </row>
    <row r="897" spans="7:14" ht="14.25" customHeight="1" x14ac:dyDescent="0.25">
      <c r="G897" s="28"/>
      <c r="N897" s="16"/>
    </row>
    <row r="898" spans="7:14" ht="14.25" customHeight="1" x14ac:dyDescent="0.25">
      <c r="G898" s="28"/>
      <c r="N898" s="16"/>
    </row>
    <row r="899" spans="7:14" ht="14.25" customHeight="1" x14ac:dyDescent="0.25">
      <c r="G899" s="28"/>
      <c r="N899" s="16"/>
    </row>
    <row r="900" spans="7:14" ht="14.25" customHeight="1" x14ac:dyDescent="0.25">
      <c r="G900" s="28"/>
      <c r="N900" s="16"/>
    </row>
    <row r="901" spans="7:14" ht="14.25" customHeight="1" x14ac:dyDescent="0.25">
      <c r="G901" s="28"/>
      <c r="N901" s="16"/>
    </row>
    <row r="902" spans="7:14" ht="14.25" customHeight="1" x14ac:dyDescent="0.25">
      <c r="G902" s="28"/>
      <c r="N902" s="16"/>
    </row>
    <row r="903" spans="7:14" ht="14.25" customHeight="1" x14ac:dyDescent="0.25">
      <c r="G903" s="28"/>
      <c r="N903" s="16"/>
    </row>
    <row r="904" spans="7:14" ht="14.25" customHeight="1" x14ac:dyDescent="0.25">
      <c r="G904" s="28"/>
      <c r="N904" s="16"/>
    </row>
    <row r="905" spans="7:14" ht="14.25" customHeight="1" x14ac:dyDescent="0.25">
      <c r="G905" s="28"/>
      <c r="N905" s="16"/>
    </row>
    <row r="906" spans="7:14" ht="14.25" customHeight="1" x14ac:dyDescent="0.25">
      <c r="G906" s="28"/>
      <c r="N906" s="16"/>
    </row>
    <row r="907" spans="7:14" ht="14.25" customHeight="1" x14ac:dyDescent="0.25">
      <c r="G907" s="28"/>
      <c r="N907" s="16"/>
    </row>
    <row r="908" spans="7:14" ht="14.25" customHeight="1" x14ac:dyDescent="0.25">
      <c r="G908" s="28"/>
      <c r="N908" s="16"/>
    </row>
    <row r="909" spans="7:14" ht="14.25" customHeight="1" x14ac:dyDescent="0.25">
      <c r="G909" s="28"/>
      <c r="N909" s="16"/>
    </row>
    <row r="910" spans="7:14" ht="14.25" customHeight="1" x14ac:dyDescent="0.25">
      <c r="G910" s="28"/>
      <c r="N910" s="16"/>
    </row>
    <row r="911" spans="7:14" ht="14.25" customHeight="1" x14ac:dyDescent="0.25">
      <c r="G911" s="28"/>
      <c r="N911" s="16"/>
    </row>
    <row r="912" spans="7:14" ht="14.25" customHeight="1" x14ac:dyDescent="0.25">
      <c r="G912" s="28"/>
      <c r="N912" s="16"/>
    </row>
    <row r="913" spans="7:14" ht="14.25" customHeight="1" x14ac:dyDescent="0.25">
      <c r="G913" s="28"/>
      <c r="N913" s="16"/>
    </row>
    <row r="914" spans="7:14" ht="14.25" customHeight="1" x14ac:dyDescent="0.25">
      <c r="G914" s="28"/>
      <c r="N914" s="16"/>
    </row>
    <row r="915" spans="7:14" ht="14.25" customHeight="1" x14ac:dyDescent="0.25">
      <c r="G915" s="28"/>
      <c r="N915" s="16"/>
    </row>
    <row r="916" spans="7:14" ht="14.25" customHeight="1" x14ac:dyDescent="0.25">
      <c r="G916" s="28"/>
      <c r="N916" s="16"/>
    </row>
    <row r="917" spans="7:14" ht="14.25" customHeight="1" x14ac:dyDescent="0.25">
      <c r="G917" s="28"/>
      <c r="N917" s="16"/>
    </row>
    <row r="918" spans="7:14" ht="14.25" customHeight="1" x14ac:dyDescent="0.25">
      <c r="G918" s="28"/>
      <c r="N918" s="16"/>
    </row>
    <row r="919" spans="7:14" ht="14.25" customHeight="1" x14ac:dyDescent="0.25">
      <c r="G919" s="28"/>
      <c r="N919" s="16"/>
    </row>
    <row r="920" spans="7:14" ht="14.25" customHeight="1" x14ac:dyDescent="0.25">
      <c r="G920" s="28"/>
      <c r="N920" s="16"/>
    </row>
    <row r="921" spans="7:14" ht="14.25" customHeight="1" x14ac:dyDescent="0.25">
      <c r="G921" s="28"/>
      <c r="N921" s="16"/>
    </row>
    <row r="922" spans="7:14" ht="14.25" customHeight="1" x14ac:dyDescent="0.25">
      <c r="G922" s="28"/>
      <c r="N922" s="16"/>
    </row>
    <row r="923" spans="7:14" ht="14.25" customHeight="1" x14ac:dyDescent="0.25">
      <c r="G923" s="28"/>
      <c r="N923" s="16"/>
    </row>
    <row r="924" spans="7:14" ht="14.25" customHeight="1" x14ac:dyDescent="0.25">
      <c r="G924" s="28"/>
      <c r="N924" s="16"/>
    </row>
    <row r="925" spans="7:14" ht="14.25" customHeight="1" x14ac:dyDescent="0.25">
      <c r="G925" s="28"/>
      <c r="N925" s="16"/>
    </row>
    <row r="926" spans="7:14" ht="14.25" customHeight="1" x14ac:dyDescent="0.25">
      <c r="G926" s="28"/>
      <c r="N926" s="16"/>
    </row>
    <row r="927" spans="7:14" ht="14.25" customHeight="1" x14ac:dyDescent="0.25">
      <c r="G927" s="28"/>
      <c r="N927" s="16"/>
    </row>
    <row r="928" spans="7:14" ht="14.25" customHeight="1" x14ac:dyDescent="0.25">
      <c r="G928" s="28"/>
      <c r="N928" s="16"/>
    </row>
    <row r="929" spans="7:14" ht="14.25" customHeight="1" x14ac:dyDescent="0.25">
      <c r="G929" s="28"/>
      <c r="N929" s="16"/>
    </row>
    <row r="930" spans="7:14" ht="14.25" customHeight="1" x14ac:dyDescent="0.25">
      <c r="G930" s="28"/>
      <c r="N930" s="16"/>
    </row>
    <row r="931" spans="7:14" ht="14.25" customHeight="1" x14ac:dyDescent="0.25">
      <c r="G931" s="28"/>
      <c r="N931" s="16"/>
    </row>
    <row r="932" spans="7:14" ht="14.25" customHeight="1" x14ac:dyDescent="0.25">
      <c r="G932" s="28"/>
      <c r="N932" s="16"/>
    </row>
    <row r="933" spans="7:14" ht="14.25" customHeight="1" x14ac:dyDescent="0.25">
      <c r="G933" s="28"/>
      <c r="N933" s="16"/>
    </row>
    <row r="934" spans="7:14" ht="14.25" customHeight="1" x14ac:dyDescent="0.25">
      <c r="G934" s="28"/>
      <c r="N934" s="16"/>
    </row>
    <row r="935" spans="7:14" ht="14.25" customHeight="1" x14ac:dyDescent="0.25">
      <c r="G935" s="28"/>
      <c r="N935" s="16"/>
    </row>
    <row r="936" spans="7:14" ht="14.25" customHeight="1" x14ac:dyDescent="0.25">
      <c r="G936" s="28"/>
      <c r="N936" s="16"/>
    </row>
    <row r="937" spans="7:14" ht="14.25" customHeight="1" x14ac:dyDescent="0.25">
      <c r="G937" s="28"/>
      <c r="N937" s="16"/>
    </row>
    <row r="938" spans="7:14" ht="14.25" customHeight="1" x14ac:dyDescent="0.25">
      <c r="G938" s="28"/>
      <c r="N938" s="16"/>
    </row>
    <row r="939" spans="7:14" ht="14.25" customHeight="1" x14ac:dyDescent="0.25">
      <c r="G939" s="28"/>
      <c r="N939" s="16"/>
    </row>
    <row r="940" spans="7:14" ht="14.25" customHeight="1" x14ac:dyDescent="0.25">
      <c r="G940" s="28"/>
      <c r="N940" s="16"/>
    </row>
    <row r="941" spans="7:14" ht="14.25" customHeight="1" x14ac:dyDescent="0.25">
      <c r="G941" s="28"/>
      <c r="N941" s="16"/>
    </row>
    <row r="942" spans="7:14" ht="14.25" customHeight="1" x14ac:dyDescent="0.25">
      <c r="G942" s="28"/>
      <c r="N942" s="16"/>
    </row>
    <row r="943" spans="7:14" ht="14.25" customHeight="1" x14ac:dyDescent="0.25">
      <c r="G943" s="28"/>
      <c r="N943" s="16"/>
    </row>
    <row r="944" spans="7:14" ht="14.25" customHeight="1" x14ac:dyDescent="0.25">
      <c r="G944" s="28"/>
      <c r="N944" s="16"/>
    </row>
    <row r="945" spans="7:14" ht="14.25" customHeight="1" x14ac:dyDescent="0.25">
      <c r="G945" s="28"/>
      <c r="N945" s="16"/>
    </row>
    <row r="946" spans="7:14" ht="14.25" customHeight="1" x14ac:dyDescent="0.25">
      <c r="G946" s="28"/>
      <c r="N946" s="16"/>
    </row>
    <row r="947" spans="7:14" ht="14.25" customHeight="1" x14ac:dyDescent="0.25">
      <c r="G947" s="28"/>
      <c r="N947" s="16"/>
    </row>
    <row r="948" spans="7:14" ht="14.25" customHeight="1" x14ac:dyDescent="0.25">
      <c r="G948" s="28"/>
      <c r="N948" s="16"/>
    </row>
    <row r="949" spans="7:14" ht="14.25" customHeight="1" x14ac:dyDescent="0.25">
      <c r="G949" s="28"/>
      <c r="N949" s="16"/>
    </row>
    <row r="950" spans="7:14" ht="14.25" customHeight="1" x14ac:dyDescent="0.25">
      <c r="G950" s="28"/>
      <c r="N950" s="16"/>
    </row>
    <row r="951" spans="7:14" ht="14.25" customHeight="1" x14ac:dyDescent="0.25">
      <c r="G951" s="28"/>
      <c r="N951" s="16"/>
    </row>
    <row r="952" spans="7:14" ht="14.25" customHeight="1" x14ac:dyDescent="0.25">
      <c r="G952" s="28"/>
      <c r="N952" s="16"/>
    </row>
    <row r="953" spans="7:14" ht="14.25" customHeight="1" x14ac:dyDescent="0.25">
      <c r="G953" s="28"/>
      <c r="N953" s="16"/>
    </row>
    <row r="954" spans="7:14" ht="14.25" customHeight="1" x14ac:dyDescent="0.25">
      <c r="G954" s="28"/>
      <c r="N954" s="16"/>
    </row>
    <row r="955" spans="7:14" ht="14.25" customHeight="1" x14ac:dyDescent="0.25">
      <c r="G955" s="28"/>
      <c r="N955" s="16"/>
    </row>
    <row r="956" spans="7:14" ht="14.25" customHeight="1" x14ac:dyDescent="0.25">
      <c r="G956" s="28"/>
      <c r="N956" s="16"/>
    </row>
    <row r="957" spans="7:14" ht="14.25" customHeight="1" x14ac:dyDescent="0.25">
      <c r="G957" s="28"/>
      <c r="N957" s="16"/>
    </row>
    <row r="958" spans="7:14" ht="14.25" customHeight="1" x14ac:dyDescent="0.25">
      <c r="G958" s="28"/>
      <c r="N958" s="16"/>
    </row>
    <row r="959" spans="7:14" ht="14.25" customHeight="1" x14ac:dyDescent="0.25">
      <c r="G959" s="28"/>
      <c r="N959" s="16"/>
    </row>
    <row r="960" spans="7:14" ht="14.25" customHeight="1" x14ac:dyDescent="0.25">
      <c r="G960" s="28"/>
      <c r="N960" s="16"/>
    </row>
    <row r="961" spans="7:14" ht="14.25" customHeight="1" x14ac:dyDescent="0.25">
      <c r="G961" s="28"/>
      <c r="N961" s="16"/>
    </row>
    <row r="962" spans="7:14" ht="14.25" customHeight="1" x14ac:dyDescent="0.25">
      <c r="G962" s="28"/>
      <c r="N962" s="16"/>
    </row>
    <row r="963" spans="7:14" ht="14.25" customHeight="1" x14ac:dyDescent="0.25">
      <c r="G963" s="28"/>
      <c r="N963" s="16"/>
    </row>
    <row r="964" spans="7:14" ht="14.25" customHeight="1" x14ac:dyDescent="0.25">
      <c r="G964" s="28"/>
      <c r="N964" s="16"/>
    </row>
    <row r="965" spans="7:14" ht="14.25" customHeight="1" x14ac:dyDescent="0.25">
      <c r="G965" s="28"/>
      <c r="N965" s="16"/>
    </row>
    <row r="966" spans="7:14" ht="14.25" customHeight="1" x14ac:dyDescent="0.25">
      <c r="G966" s="28"/>
      <c r="N966" s="16"/>
    </row>
    <row r="967" spans="7:14" ht="14.25" customHeight="1" x14ac:dyDescent="0.25">
      <c r="G967" s="28"/>
      <c r="N967" s="16"/>
    </row>
    <row r="968" spans="7:14" ht="14.25" customHeight="1" x14ac:dyDescent="0.25">
      <c r="G968" s="28"/>
      <c r="N968" s="16"/>
    </row>
    <row r="969" spans="7:14" ht="14.25" customHeight="1" x14ac:dyDescent="0.25">
      <c r="G969" s="28"/>
      <c r="N969" s="16"/>
    </row>
    <row r="970" spans="7:14" ht="14.25" customHeight="1" x14ac:dyDescent="0.25">
      <c r="G970" s="28"/>
      <c r="N970" s="16"/>
    </row>
    <row r="971" spans="7:14" ht="14.25" customHeight="1" x14ac:dyDescent="0.25">
      <c r="G971" s="28"/>
      <c r="N971" s="16"/>
    </row>
    <row r="972" spans="7:14" ht="14.25" customHeight="1" x14ac:dyDescent="0.25">
      <c r="G972" s="28"/>
      <c r="N972" s="16"/>
    </row>
    <row r="973" spans="7:14" ht="14.25" customHeight="1" x14ac:dyDescent="0.25">
      <c r="G973" s="28"/>
      <c r="N973" s="16"/>
    </row>
    <row r="974" spans="7:14" ht="14.25" customHeight="1" x14ac:dyDescent="0.25">
      <c r="G974" s="28"/>
      <c r="N974" s="16"/>
    </row>
    <row r="975" spans="7:14" ht="14.25" customHeight="1" x14ac:dyDescent="0.25">
      <c r="G975" s="28"/>
      <c r="N975" s="16"/>
    </row>
    <row r="976" spans="7:14" ht="14.25" customHeight="1" x14ac:dyDescent="0.25">
      <c r="G976" s="28"/>
      <c r="N976" s="16"/>
    </row>
    <row r="977" spans="7:14" ht="14.25" customHeight="1" x14ac:dyDescent="0.25">
      <c r="G977" s="28"/>
      <c r="N977" s="16"/>
    </row>
    <row r="978" spans="7:14" ht="14.25" customHeight="1" x14ac:dyDescent="0.25">
      <c r="G978" s="28"/>
      <c r="N978" s="16"/>
    </row>
    <row r="979" spans="7:14" ht="14.25" customHeight="1" x14ac:dyDescent="0.25">
      <c r="G979" s="28"/>
      <c r="N979" s="16"/>
    </row>
    <row r="980" spans="7:14" ht="14.25" customHeight="1" x14ac:dyDescent="0.25">
      <c r="G980" s="28"/>
      <c r="N980" s="16"/>
    </row>
    <row r="981" spans="7:14" ht="14.25" customHeight="1" x14ac:dyDescent="0.25">
      <c r="G981" s="28"/>
      <c r="N981" s="16"/>
    </row>
    <row r="982" spans="7:14" ht="14.25" customHeight="1" x14ac:dyDescent="0.25">
      <c r="G982" s="28"/>
      <c r="N982" s="16"/>
    </row>
    <row r="983" spans="7:14" ht="14.25" customHeight="1" x14ac:dyDescent="0.25">
      <c r="G983" s="28"/>
      <c r="N983" s="16"/>
    </row>
    <row r="984" spans="7:14" ht="14.25" customHeight="1" x14ac:dyDescent="0.25">
      <c r="G984" s="28"/>
      <c r="N984" s="16"/>
    </row>
    <row r="985" spans="7:14" ht="14.25" customHeight="1" x14ac:dyDescent="0.25">
      <c r="G985" s="28"/>
      <c r="N985" s="16"/>
    </row>
    <row r="986" spans="7:14" ht="14.25" customHeight="1" x14ac:dyDescent="0.25">
      <c r="G986" s="28"/>
      <c r="N986" s="16"/>
    </row>
    <row r="987" spans="7:14" ht="14.25" customHeight="1" x14ac:dyDescent="0.25">
      <c r="G987" s="28"/>
      <c r="N987" s="16"/>
    </row>
    <row r="988" spans="7:14" ht="14.25" customHeight="1" x14ac:dyDescent="0.25">
      <c r="G988" s="28"/>
      <c r="N988" s="16"/>
    </row>
    <row r="989" spans="7:14" ht="14.25" customHeight="1" x14ac:dyDescent="0.25">
      <c r="G989" s="28"/>
      <c r="N989" s="16"/>
    </row>
    <row r="990" spans="7:14" ht="14.25" customHeight="1" x14ac:dyDescent="0.25">
      <c r="G990" s="28"/>
      <c r="N990" s="16"/>
    </row>
    <row r="991" spans="7:14" ht="14.25" customHeight="1" x14ac:dyDescent="0.25">
      <c r="G991" s="28"/>
      <c r="N991" s="16"/>
    </row>
    <row r="992" spans="7:14" ht="14.25" customHeight="1" x14ac:dyDescent="0.25">
      <c r="G992" s="28"/>
      <c r="N992" s="16"/>
    </row>
    <row r="993" spans="7:14" ht="14.25" customHeight="1" x14ac:dyDescent="0.25">
      <c r="G993" s="28"/>
      <c r="N993" s="16"/>
    </row>
    <row r="994" spans="7:14" ht="14.25" customHeight="1" x14ac:dyDescent="0.25">
      <c r="G994" s="28"/>
      <c r="N994" s="16"/>
    </row>
    <row r="995" spans="7:14" ht="14.25" customHeight="1" x14ac:dyDescent="0.25">
      <c r="G995" s="28"/>
      <c r="N995" s="16"/>
    </row>
    <row r="996" spans="7:14" ht="14.25" customHeight="1" x14ac:dyDescent="0.25">
      <c r="G996" s="28"/>
      <c r="N996" s="16"/>
    </row>
    <row r="997" spans="7:14" ht="14.25" customHeight="1" x14ac:dyDescent="0.25">
      <c r="G997" s="28"/>
      <c r="N997" s="16"/>
    </row>
    <row r="998" spans="7:14" ht="14.25" customHeight="1" x14ac:dyDescent="0.25">
      <c r="G998" s="28"/>
      <c r="N998" s="16"/>
    </row>
    <row r="999" spans="7:14" ht="14.25" customHeight="1" x14ac:dyDescent="0.25">
      <c r="G999" s="28"/>
      <c r="N999" s="16"/>
    </row>
    <row r="1000" spans="7:14" ht="14.25" customHeight="1" x14ac:dyDescent="0.25">
      <c r="G1000" s="28"/>
      <c r="N1000" s="16"/>
    </row>
    <row r="1001" spans="7:14" ht="14.25" customHeight="1" x14ac:dyDescent="0.25">
      <c r="G1001" s="28"/>
      <c r="N1001" s="1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Sales</vt:lpstr>
      <vt:lpstr>Feb-25</vt:lpstr>
      <vt:lpstr>Ads_Cost</vt:lpstr>
      <vt:lpstr>Customer_Insights</vt:lpstr>
      <vt:lpstr>Returns</vt:lpstr>
      <vt:lpstr>Inventory</vt:lpstr>
      <vt:lpstr>Disbursements</vt:lpstr>
      <vt:lpstr>Added_Stock</vt:lpstr>
      <vt:lpstr>Target_List</vt:lpstr>
      <vt:lpstr>Review Purchase</vt:lpstr>
      <vt:lpstr>Data_Validation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Naji Shareef</dc:creator>
  <cp:lastModifiedBy>DESIGNER -2</cp:lastModifiedBy>
  <dcterms:created xsi:type="dcterms:W3CDTF">2024-03-12T20:35:39Z</dcterms:created>
  <dcterms:modified xsi:type="dcterms:W3CDTF">2025-06-02T10:37:25Z</dcterms:modified>
</cp:coreProperties>
</file>